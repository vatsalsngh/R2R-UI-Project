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people.ey.com/personal/subha_chowdhury_gds_ey_com/Documents/Docss/R2R Training academy/"/>
    </mc:Choice>
  </mc:AlternateContent>
  <xr:revisionPtr revIDLastSave="2" documentId="8_{C2D67EB0-453B-4483-8094-E5A120835921}" xr6:coauthVersionLast="47" xr6:coauthVersionMax="47" xr10:uidLastSave="{FA47AAF2-FC8E-411F-9098-A4A963DED720}"/>
  <bookViews>
    <workbookView xWindow="-110" yWindow="-110" windowWidth="19420" windowHeight="11500" firstSheet="1" activeTab="1" xr2:uid="{1917EB4F-6E29-4728-A576-26BC487AA05D}"/>
  </bookViews>
  <sheets>
    <sheet name="Global CoA template (L1 to L4)" sheetId="1" r:id="rId1"/>
    <sheet name="Harmonized COA Exampl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6" i="1"/>
  <c r="C10" i="1"/>
  <c r="C11" i="1" s="1"/>
  <c r="C15" i="1"/>
  <c r="C17" i="1"/>
  <c r="C26" i="1"/>
  <c r="C36" i="1"/>
  <c r="B4" i="1"/>
  <c r="B5" i="1" s="1"/>
  <c r="B6" i="1" s="1"/>
  <c r="B7" i="1" s="1"/>
  <c r="B8" i="1" s="1"/>
  <c r="B10" i="1"/>
  <c r="B11" i="1"/>
  <c r="B12" i="1"/>
  <c r="B13" i="1"/>
  <c r="B15" i="1"/>
  <c r="B16" i="1"/>
  <c r="B17" i="1" s="1"/>
  <c r="B18" i="1" s="1"/>
  <c r="B20" i="1"/>
  <c r="B22" i="1"/>
  <c r="B23" i="1"/>
  <c r="B24" i="1" s="1"/>
  <c r="B26" i="1"/>
  <c r="B27" i="1" s="1"/>
  <c r="B28" i="1" s="1"/>
  <c r="B30" i="1"/>
  <c r="B32" i="1"/>
  <c r="B33" i="1"/>
  <c r="B35" i="1"/>
  <c r="B36" i="1"/>
  <c r="B37" i="1"/>
  <c r="B38" i="1" s="1"/>
  <c r="B40" i="1"/>
  <c r="B43" i="1"/>
  <c r="A4" i="1"/>
  <c r="A5" i="1"/>
  <c r="A6" i="1"/>
  <c r="A7" i="1" s="1"/>
  <c r="A8" i="1" s="1"/>
  <c r="A10" i="1"/>
  <c r="A11" i="1"/>
  <c r="A12" i="1"/>
  <c r="A13" i="1"/>
  <c r="A15" i="1"/>
  <c r="A16" i="1" s="1"/>
  <c r="A17" i="1" s="1"/>
  <c r="A18" i="1" s="1"/>
  <c r="A20" i="1"/>
  <c r="A22" i="1"/>
  <c r="A23" i="1" s="1"/>
  <c r="A24" i="1" s="1"/>
  <c r="A26" i="1"/>
  <c r="A27" i="1"/>
  <c r="A28" i="1"/>
  <c r="A30" i="1"/>
  <c r="A32" i="1"/>
  <c r="A33" i="1"/>
  <c r="A35" i="1"/>
  <c r="A36" i="1"/>
  <c r="A37" i="1" s="1"/>
  <c r="A38" i="1" s="1"/>
  <c r="A39" i="1" s="1"/>
  <c r="A40" i="1" s="1"/>
  <c r="A41" i="1" s="1"/>
  <c r="A42" i="1" s="1"/>
  <c r="A43" i="1" s="1"/>
</calcChain>
</file>

<file path=xl/sharedStrings.xml><?xml version="1.0" encoding="utf-8"?>
<sst xmlns="http://schemas.openxmlformats.org/spreadsheetml/2006/main" count="262" uniqueCount="175">
  <si>
    <t>Here is a structured Global Chart of Accounts (CoA) Template for the Finance domain, with L1 to L4 granularity. This structure is aligned with best practices for global financial reporting and ERP implementations (e.g., SAP, Oracle).</t>
  </si>
  <si>
    <t>L1</t>
  </si>
  <si>
    <t>L2</t>
  </si>
  <si>
    <t>L3</t>
  </si>
  <si>
    <t>L4</t>
  </si>
  <si>
    <t>Asset</t>
  </si>
  <si>
    <t>Current Asset</t>
  </si>
  <si>
    <t>Cash and Cash Equivalents</t>
  </si>
  <si>
    <t>101010 - Main Operating Bank Account</t>
  </si>
  <si>
    <t>101020 - Petty Cash - Location A</t>
  </si>
  <si>
    <t>Trade Receivables</t>
  </si>
  <si>
    <t>102010 - Accounts Receivable - Domestic</t>
  </si>
  <si>
    <t>102020 - Accounts Receivable - Intercompany</t>
  </si>
  <si>
    <t>Prepaid Expenses</t>
  </si>
  <si>
    <t>103010 - Prepaid Insurance</t>
  </si>
  <si>
    <t>Inventory</t>
  </si>
  <si>
    <t>104010 - Raw Materials</t>
  </si>
  <si>
    <t>Non Current Asset</t>
  </si>
  <si>
    <t>Property, Plant, and Equipment</t>
  </si>
  <si>
    <t>105010 - Land</t>
  </si>
  <si>
    <t>105020 - Buildings</t>
  </si>
  <si>
    <t>105030 - Machinery &amp; Equipment</t>
  </si>
  <si>
    <t>Intangible Assets</t>
  </si>
  <si>
    <t>106010 - Software Licenses</t>
  </si>
  <si>
    <t>Capital Work in Progress (CWIP)</t>
  </si>
  <si>
    <t>107010 - CWIP - Manufacturing Expansion</t>
  </si>
  <si>
    <t>Liabilities</t>
  </si>
  <si>
    <t>Current Liabilities</t>
  </si>
  <si>
    <t>Trade Payables</t>
  </si>
  <si>
    <t>201010 - Accounts Payable - Domestic</t>
  </si>
  <si>
    <t>201020 - Accounts Payable - Intercompany</t>
  </si>
  <si>
    <t>Accrued Liabilities</t>
  </si>
  <si>
    <t>202010 - Accrued Payroll</t>
  </si>
  <si>
    <t>202020 - Accrued Utilities</t>
  </si>
  <si>
    <t>Taxes Payable</t>
  </si>
  <si>
    <t>203010 - GST Payable</t>
  </si>
  <si>
    <t>Non Current Liabilities</t>
  </si>
  <si>
    <t>Long-term Loans</t>
  </si>
  <si>
    <t>204010 - Term Loan from Bank A</t>
  </si>
  <si>
    <t>Lease Liabilities</t>
  </si>
  <si>
    <t>205010 - Finance Lease - Equipment</t>
  </si>
  <si>
    <t>Equity</t>
  </si>
  <si>
    <t>Shareholders' Equity</t>
  </si>
  <si>
    <t>Share Capital</t>
  </si>
  <si>
    <t>301010 - Common Stock</t>
  </si>
  <si>
    <t>Retained Earnings</t>
  </si>
  <si>
    <t>302010 - Retained Earnings - Prior Years</t>
  </si>
  <si>
    <t>Reserves</t>
  </si>
  <si>
    <t>303010 - FX Translation Reserve</t>
  </si>
  <si>
    <t>Non-controlling Interests</t>
  </si>
  <si>
    <t>304010 - NCI in Subsidiary A</t>
  </si>
  <si>
    <t>Revenue</t>
  </si>
  <si>
    <t>Operating Revenue</t>
  </si>
  <si>
    <t>Product Sales</t>
  </si>
  <si>
    <t>401010 - Product Sales - Domestic</t>
  </si>
  <si>
    <t>401020 - Product Sales - Export</t>
  </si>
  <si>
    <t>Service Revenue</t>
  </si>
  <si>
    <t>402010 - Consulting Revenue</t>
  </si>
  <si>
    <t>Other Operating Revenue</t>
  </si>
  <si>
    <t>403010 - Scrap Sales</t>
  </si>
  <si>
    <t>Non Operating Revenue</t>
  </si>
  <si>
    <t>Interest Income</t>
  </si>
  <si>
    <t>404010 - Bank Interest</t>
  </si>
  <si>
    <t>Dividend Income</t>
  </si>
  <si>
    <t>405010 - Dividends from Subsidiary B</t>
  </si>
  <si>
    <t>Expense</t>
  </si>
  <si>
    <t>Cost of goods sold ( COGS)</t>
  </si>
  <si>
    <t>Material Cost</t>
  </si>
  <si>
    <t>501010 - Raw Material Consumption</t>
  </si>
  <si>
    <t>Labor Cost</t>
  </si>
  <si>
    <t>501020 - Direct Labor</t>
  </si>
  <si>
    <t>Manufacturing Overhead</t>
  </si>
  <si>
    <t>501030 - Factory Utilities</t>
  </si>
  <si>
    <t>Operating Expense</t>
  </si>
  <si>
    <t>Salaries and Wages</t>
  </si>
  <si>
    <t>502010 - Salaries - Admin</t>
  </si>
  <si>
    <t>Rent and Utilities</t>
  </si>
  <si>
    <t>502020 - Office Rent</t>
  </si>
  <si>
    <t>502030 - Electricity Charges</t>
  </si>
  <si>
    <t>IT and Communication</t>
  </si>
  <si>
    <t>502040 - Internet and Hosting</t>
  </si>
  <si>
    <t>Depreciation &amp; Amortization</t>
  </si>
  <si>
    <t>503010 - Depreciation - Buildings</t>
  </si>
  <si>
    <t>Selling &amp; admin expense</t>
  </si>
  <si>
    <t>Marketing</t>
  </si>
  <si>
    <t>504010 - Ad Campaigns</t>
  </si>
  <si>
    <t>Travel &amp; Entertainment</t>
  </si>
  <si>
    <t>504020 - Travel - Sales Team</t>
  </si>
  <si>
    <t>Finance cost</t>
  </si>
  <si>
    <t>Interest Expense</t>
  </si>
  <si>
    <t>505010 - Loan Interest</t>
  </si>
  <si>
    <t>Tax</t>
  </si>
  <si>
    <t>Income Tax</t>
  </si>
  <si>
    <t>506010 - Corporate Tax - Current Year</t>
  </si>
  <si>
    <t>Deferred Tax</t>
  </si>
  <si>
    <t>506020 - Deferred Tax Asset / Liability</t>
  </si>
  <si>
    <t>Notes:</t>
  </si>
  <si>
    <t>This structure can be customized per industry (e.g., manufacturing, services, financial institutions).</t>
  </si>
  <si>
    <t>Account codes (L4) can be adjusted to fit SAP’s number range or the organization’s historical structure.</t>
  </si>
  <si>
    <t>Additional L5 levels (if needed) can be used for internal management reporting or profit center-level tracking.</t>
  </si>
  <si>
    <t>Here is a detailed example of a Harmonized Chart of Accounts (CoA) in SAP for the Finance domain, structured across key financial categories. This includes how accounts are typically configured in SAP and aligned with a global template.</t>
  </si>
  <si>
    <t>GL Account No.</t>
  </si>
  <si>
    <t>Account Name</t>
  </si>
  <si>
    <t>Account Group</t>
  </si>
  <si>
    <t>Account Type</t>
  </si>
  <si>
    <t>Reconciliation Account</t>
  </si>
  <si>
    <t>Description</t>
  </si>
  <si>
    <t>Cash &amp; Bank</t>
  </si>
  <si>
    <t>Assets</t>
  </si>
  <si>
    <t>Balance Sheet</t>
  </si>
  <si>
    <t>No</t>
  </si>
  <si>
    <t>Main bank operating account</t>
  </si>
  <si>
    <t>Petty Cash – Location A</t>
  </si>
  <si>
    <t>Cash fund for small expenses</t>
  </si>
  <si>
    <t>Trade Receivables – Domestic</t>
  </si>
  <si>
    <t>Yes (Customer)</t>
  </si>
  <si>
    <t>Customer AR – local</t>
  </si>
  <si>
    <t>Trade Receivables – Intercompany</t>
  </si>
  <si>
    <t>Intercompany receivables</t>
  </si>
  <si>
    <t>Inventory – Raw Materials</t>
  </si>
  <si>
    <t>Stock of raw materials</t>
  </si>
  <si>
    <t>Fixed Assets – Buildings</t>
  </si>
  <si>
    <t>Capitalized buildings</t>
  </si>
  <si>
    <t>Accumulated Depreciation – Buildings</t>
  </si>
  <si>
    <t>Contra asset account</t>
  </si>
  <si>
    <t>AUC linked with WBS</t>
  </si>
  <si>
    <t>Accounts Payable – Domestic</t>
  </si>
  <si>
    <t>Yes (Vendor)</t>
  </si>
  <si>
    <t>Vendor payables</t>
  </si>
  <si>
    <t>Accounts Payable – Intercompany</t>
  </si>
  <si>
    <t>IC liabilities</t>
  </si>
  <si>
    <t>Accrued Expenses – Payroll</t>
  </si>
  <si>
    <t>Payroll payable</t>
  </si>
  <si>
    <t>Tax Payable – GST</t>
  </si>
  <si>
    <t>Output GST collected</t>
  </si>
  <si>
    <t>Loans Payable – Bank</t>
  </si>
  <si>
    <t>Long-term external loan</t>
  </si>
  <si>
    <t>Lease Liability – Equipment</t>
  </si>
  <si>
    <t>IFRS 16 finance lease</t>
  </si>
  <si>
    <t>Common Stock</t>
  </si>
  <si>
    <t>Issued share capital</t>
  </si>
  <si>
    <t>Cumulative profits</t>
  </si>
  <si>
    <t>Translation Reserve – FX</t>
  </si>
  <si>
    <t>FX gain/loss reserve</t>
  </si>
  <si>
    <t>Sales Revenue – Domestic</t>
  </si>
  <si>
    <t>P&amp;L</t>
  </si>
  <si>
    <t>Product sales in local market</t>
  </si>
  <si>
    <t>Sales Revenue – Export</t>
  </si>
  <si>
    <t>Product sales to foreign markets</t>
  </si>
  <si>
    <t>Service Income</t>
  </si>
  <si>
    <t>Consulting/installation income</t>
  </si>
  <si>
    <t>Bank or investment interest</t>
  </si>
  <si>
    <t>Cost of Goods Sold</t>
  </si>
  <si>
    <t>Expenses</t>
  </si>
  <si>
    <t>Direct cost of materials &amp; production</t>
  </si>
  <si>
    <t>Salaries &amp; Wages – Admin</t>
  </si>
  <si>
    <t>Office/administrative payroll</t>
  </si>
  <si>
    <t>Salaries &amp; Wages – Factory</t>
  </si>
  <si>
    <t>Factory payroll for operations</t>
  </si>
  <si>
    <t>Rent Expense – Office</t>
  </si>
  <si>
    <t>Lease or rent for buildings</t>
  </si>
  <si>
    <t>Depreciation Expense – Buildings</t>
  </si>
  <si>
    <t>Monthly depreciation</t>
  </si>
  <si>
    <t>Travel &amp; Entertainment – Sales</t>
  </si>
  <si>
    <t>T&amp;E for commercial teams</t>
  </si>
  <si>
    <t>Interest Expense – Loans</t>
  </si>
  <si>
    <t>Loan servicing cost</t>
  </si>
  <si>
    <t>Income Tax – Current</t>
  </si>
  <si>
    <t>Income tax provision</t>
  </si>
  <si>
    <t>Benefits of Harmonized CoA in SAP</t>
  </si>
  <si>
    <t>Uniform financial reporting across global entities</t>
  </si>
  <si>
    <t>Easier consolidation (OneStream, Group Reporting, etc.)</t>
  </si>
  <si>
    <t>Simpler intercompany reconciliation</t>
  </si>
  <si>
    <t>Streamlined audits and internal controls</t>
  </si>
  <si>
    <t>Consistency in automation (e.g., allocations, settlements, accruals)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</si>
</sst>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theme="1"/>
      <name val="Aptos"/>
      <family val="2"/>
    </font>
    <font>
      <b/>
      <sz val="11"/>
      <color theme="1"/>
      <name val="Aptos"/>
      <family val="2"/>
    </font>
    <font>
      <sz val="14"/>
      <color theme="0"/>
      <name val="Aptos"/>
      <family val="2"/>
    </font>
    <font>
      <b/>
      <sz val="12"/>
      <color theme="0"/>
      <name val="Aptos Narrow"/>
      <family val="2"/>
      <scheme val="minor"/>
    </font>
    <font>
      <sz val="12"/>
      <color theme="1"/>
      <name val="Aptos Narrow"/>
      <family val="2"/>
      <scheme val="minor"/>
    </font>
    <font>
      <sz val="11"/>
      <color theme="0"/>
      <name val="Aptos"/>
      <family val="2"/>
    </font>
  </fonts>
  <fills count="4">
    <fill>
      <patternFill patternType="none"/>
    </fill>
    <fill>
      <patternFill patternType="gray125"/>
    </fill>
    <fill>
      <patternFill patternType="solid">
        <fgColor theme="4" tint="-0.499984740745262"/>
        <bgColor indexed="64"/>
      </patternFill>
    </fill>
    <fill>
      <patternFill patternType="solid">
        <fgColor theme="1"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vertical="center" wrapText="1"/>
    </xf>
    <xf numFmtId="0" fontId="1" fillId="0" borderId="0" xfId="0" applyFont="1" applyAlignment="1">
      <alignment horizontal="left" vertical="center" indent="1"/>
    </xf>
    <xf numFmtId="0" fontId="4" fillId="3" borderId="1" xfId="0" applyFont="1" applyFill="1" applyBorder="1" applyAlignment="1">
      <alignment horizontal="center" vertical="center"/>
    </xf>
    <xf numFmtId="0" fontId="5" fillId="0" borderId="1" xfId="0" applyFont="1" applyBorder="1" applyAlignment="1">
      <alignment horizontal="center" vertical="center"/>
    </xf>
    <xf numFmtId="0" fontId="1" fillId="0" borderId="1" xfId="0" applyFont="1" applyBorder="1" applyAlignment="1">
      <alignment horizontal="center"/>
    </xf>
    <xf numFmtId="0" fontId="2" fillId="0" borderId="0" xfId="0" applyFont="1" applyAlignment="1">
      <alignment vertical="center"/>
    </xf>
    <xf numFmtId="0" fontId="3" fillId="2" borderId="1" xfId="0" applyFont="1" applyFill="1" applyBorder="1" applyAlignment="1">
      <alignment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A7E4-E621-4664-A876-23D16D8CB59A}">
  <dimension ref="A1:O48"/>
  <sheetViews>
    <sheetView showGridLines="0" topLeftCell="A17" zoomScale="70" zoomScaleNormal="70" workbookViewId="0">
      <selection activeCell="A46" sqref="A46"/>
    </sheetView>
  </sheetViews>
  <sheetFormatPr defaultRowHeight="14.45"/>
  <cols>
    <col min="1" max="1" width="15.85546875" customWidth="1"/>
    <col min="2" max="2" width="30.85546875" customWidth="1"/>
    <col min="3" max="3" width="35.5703125" customWidth="1"/>
    <col min="4" max="4" width="50.42578125" customWidth="1"/>
  </cols>
  <sheetData>
    <row r="1" spans="1:15" ht="51.95" customHeight="1">
      <c r="A1" s="7" t="s">
        <v>0</v>
      </c>
      <c r="B1" s="7"/>
      <c r="C1" s="7"/>
      <c r="D1" s="7"/>
      <c r="E1" s="1"/>
      <c r="F1" s="1"/>
      <c r="G1" s="1"/>
      <c r="H1" s="1"/>
      <c r="I1" s="1"/>
      <c r="J1" s="1"/>
      <c r="K1" s="1"/>
      <c r="L1" s="1"/>
      <c r="M1" s="1"/>
      <c r="N1" s="1"/>
      <c r="O1" s="1"/>
    </row>
    <row r="2" spans="1:15" ht="22.5" customHeight="1">
      <c r="A2" s="3" t="s">
        <v>1</v>
      </c>
      <c r="B2" s="3" t="s">
        <v>2</v>
      </c>
      <c r="C2" s="3" t="s">
        <v>3</v>
      </c>
      <c r="D2" s="3" t="s">
        <v>4</v>
      </c>
    </row>
    <row r="3" spans="1:15" ht="15.95">
      <c r="A3" s="4" t="s">
        <v>5</v>
      </c>
      <c r="B3" s="4" t="s">
        <v>6</v>
      </c>
      <c r="C3" s="4" t="s">
        <v>7</v>
      </c>
      <c r="D3" s="4" t="s">
        <v>8</v>
      </c>
    </row>
    <row r="4" spans="1:15" ht="15.95">
      <c r="A4" s="4" t="str">
        <f t="shared" ref="A4:A8" si="0">A3</f>
        <v>Asset</v>
      </c>
      <c r="B4" s="4" t="str">
        <f t="shared" ref="B4:B8" si="1">B3</f>
        <v>Current Asset</v>
      </c>
      <c r="C4" s="4" t="str">
        <f>C3</f>
        <v>Cash and Cash Equivalents</v>
      </c>
      <c r="D4" s="4" t="s">
        <v>9</v>
      </c>
    </row>
    <row r="5" spans="1:15" ht="15.95">
      <c r="A5" s="4" t="str">
        <f t="shared" si="0"/>
        <v>Asset</v>
      </c>
      <c r="B5" s="4" t="str">
        <f t="shared" si="1"/>
        <v>Current Asset</v>
      </c>
      <c r="C5" s="4" t="s">
        <v>10</v>
      </c>
      <c r="D5" s="4" t="s">
        <v>11</v>
      </c>
    </row>
    <row r="6" spans="1:15" ht="15.95">
      <c r="A6" s="4" t="str">
        <f t="shared" si="0"/>
        <v>Asset</v>
      </c>
      <c r="B6" s="4" t="str">
        <f t="shared" si="1"/>
        <v>Current Asset</v>
      </c>
      <c r="C6" s="4" t="str">
        <f>C5</f>
        <v>Trade Receivables</v>
      </c>
      <c r="D6" s="4" t="s">
        <v>12</v>
      </c>
    </row>
    <row r="7" spans="1:15" ht="15.95">
      <c r="A7" s="4" t="str">
        <f t="shared" si="0"/>
        <v>Asset</v>
      </c>
      <c r="B7" s="4" t="str">
        <f t="shared" si="1"/>
        <v>Current Asset</v>
      </c>
      <c r="C7" s="4" t="s">
        <v>13</v>
      </c>
      <c r="D7" s="4" t="s">
        <v>14</v>
      </c>
    </row>
    <row r="8" spans="1:15" ht="15.95">
      <c r="A8" s="4" t="str">
        <f t="shared" si="0"/>
        <v>Asset</v>
      </c>
      <c r="B8" s="4" t="str">
        <f t="shared" si="1"/>
        <v>Current Asset</v>
      </c>
      <c r="C8" s="4" t="s">
        <v>15</v>
      </c>
      <c r="D8" s="4" t="s">
        <v>16</v>
      </c>
    </row>
    <row r="9" spans="1:15" ht="15.95">
      <c r="A9" s="4" t="s">
        <v>5</v>
      </c>
      <c r="B9" s="4" t="s">
        <v>17</v>
      </c>
      <c r="C9" s="4" t="s">
        <v>18</v>
      </c>
      <c r="D9" s="4" t="s">
        <v>19</v>
      </c>
    </row>
    <row r="10" spans="1:15" ht="15.95">
      <c r="A10" s="4" t="str">
        <f t="shared" ref="A10:A13" si="2">A9</f>
        <v>Asset</v>
      </c>
      <c r="B10" s="4" t="str">
        <f t="shared" ref="B10:B13" si="3">B9</f>
        <v>Non Current Asset</v>
      </c>
      <c r="C10" s="4" t="str">
        <f t="shared" ref="C10:C11" si="4">C9</f>
        <v>Property, Plant, and Equipment</v>
      </c>
      <c r="D10" s="4" t="s">
        <v>20</v>
      </c>
    </row>
    <row r="11" spans="1:15" ht="15.95">
      <c r="A11" s="4" t="str">
        <f t="shared" si="2"/>
        <v>Asset</v>
      </c>
      <c r="B11" s="4" t="str">
        <f t="shared" si="3"/>
        <v>Non Current Asset</v>
      </c>
      <c r="C11" s="4" t="str">
        <f t="shared" si="4"/>
        <v>Property, Plant, and Equipment</v>
      </c>
      <c r="D11" s="4" t="s">
        <v>21</v>
      </c>
    </row>
    <row r="12" spans="1:15" ht="15.95">
      <c r="A12" s="4" t="str">
        <f t="shared" si="2"/>
        <v>Asset</v>
      </c>
      <c r="B12" s="4" t="str">
        <f t="shared" si="3"/>
        <v>Non Current Asset</v>
      </c>
      <c r="C12" s="4" t="s">
        <v>22</v>
      </c>
      <c r="D12" s="4" t="s">
        <v>23</v>
      </c>
    </row>
    <row r="13" spans="1:15" ht="15.95">
      <c r="A13" s="4" t="str">
        <f t="shared" si="2"/>
        <v>Asset</v>
      </c>
      <c r="B13" s="4" t="str">
        <f t="shared" si="3"/>
        <v>Non Current Asset</v>
      </c>
      <c r="C13" s="4" t="s">
        <v>24</v>
      </c>
      <c r="D13" s="4" t="s">
        <v>25</v>
      </c>
    </row>
    <row r="14" spans="1:15" ht="15.95">
      <c r="A14" s="4" t="s">
        <v>26</v>
      </c>
      <c r="B14" s="4" t="s">
        <v>27</v>
      </c>
      <c r="C14" s="4" t="s">
        <v>28</v>
      </c>
      <c r="D14" s="4" t="s">
        <v>29</v>
      </c>
    </row>
    <row r="15" spans="1:15" ht="15.95">
      <c r="A15" s="4" t="str">
        <f t="shared" ref="A15:A18" si="5">A14</f>
        <v>Liabilities</v>
      </c>
      <c r="B15" s="4" t="str">
        <f t="shared" ref="B15:B18" si="6">B14</f>
        <v>Current Liabilities</v>
      </c>
      <c r="C15" s="4" t="str">
        <f>C14</f>
        <v>Trade Payables</v>
      </c>
      <c r="D15" s="4" t="s">
        <v>30</v>
      </c>
    </row>
    <row r="16" spans="1:15" ht="15.95">
      <c r="A16" s="4" t="str">
        <f t="shared" si="5"/>
        <v>Liabilities</v>
      </c>
      <c r="B16" s="4" t="str">
        <f t="shared" si="6"/>
        <v>Current Liabilities</v>
      </c>
      <c r="C16" s="4" t="s">
        <v>31</v>
      </c>
      <c r="D16" s="4" t="s">
        <v>32</v>
      </c>
    </row>
    <row r="17" spans="1:4" ht="15.95">
      <c r="A17" s="4" t="str">
        <f t="shared" si="5"/>
        <v>Liabilities</v>
      </c>
      <c r="B17" s="4" t="str">
        <f t="shared" si="6"/>
        <v>Current Liabilities</v>
      </c>
      <c r="C17" s="4" t="str">
        <f>C16</f>
        <v>Accrued Liabilities</v>
      </c>
      <c r="D17" s="4" t="s">
        <v>33</v>
      </c>
    </row>
    <row r="18" spans="1:4" ht="15.95">
      <c r="A18" s="4" t="str">
        <f t="shared" si="5"/>
        <v>Liabilities</v>
      </c>
      <c r="B18" s="4" t="str">
        <f t="shared" si="6"/>
        <v>Current Liabilities</v>
      </c>
      <c r="C18" s="4" t="s">
        <v>34</v>
      </c>
      <c r="D18" s="4" t="s">
        <v>35</v>
      </c>
    </row>
    <row r="19" spans="1:4" ht="15.95">
      <c r="A19" s="4" t="s">
        <v>26</v>
      </c>
      <c r="B19" s="4" t="s">
        <v>36</v>
      </c>
      <c r="C19" s="4" t="s">
        <v>37</v>
      </c>
      <c r="D19" s="4" t="s">
        <v>38</v>
      </c>
    </row>
    <row r="20" spans="1:4" ht="15.95">
      <c r="A20" s="4" t="str">
        <f>A19</f>
        <v>Liabilities</v>
      </c>
      <c r="B20" s="4" t="str">
        <f>B19</f>
        <v>Non Current Liabilities</v>
      </c>
      <c r="C20" s="4" t="s">
        <v>39</v>
      </c>
      <c r="D20" s="4" t="s">
        <v>40</v>
      </c>
    </row>
    <row r="21" spans="1:4" ht="15.95">
      <c r="A21" s="4" t="s">
        <v>41</v>
      </c>
      <c r="B21" s="4" t="s">
        <v>42</v>
      </c>
      <c r="C21" s="4" t="s">
        <v>43</v>
      </c>
      <c r="D21" s="4" t="s">
        <v>44</v>
      </c>
    </row>
    <row r="22" spans="1:4" ht="15.95">
      <c r="A22" s="4" t="str">
        <f t="shared" ref="A22:A24" si="7">A21</f>
        <v>Equity</v>
      </c>
      <c r="B22" s="4" t="str">
        <f t="shared" ref="B22:B24" si="8">B21</f>
        <v>Shareholders' Equity</v>
      </c>
      <c r="C22" s="4" t="s">
        <v>45</v>
      </c>
      <c r="D22" s="4" t="s">
        <v>46</v>
      </c>
    </row>
    <row r="23" spans="1:4" ht="15.95">
      <c r="A23" s="4" t="str">
        <f t="shared" si="7"/>
        <v>Equity</v>
      </c>
      <c r="B23" s="4" t="str">
        <f t="shared" si="8"/>
        <v>Shareholders' Equity</v>
      </c>
      <c r="C23" s="4" t="s">
        <v>47</v>
      </c>
      <c r="D23" s="4" t="s">
        <v>48</v>
      </c>
    </row>
    <row r="24" spans="1:4" ht="15.95">
      <c r="A24" s="4" t="str">
        <f t="shared" si="7"/>
        <v>Equity</v>
      </c>
      <c r="B24" s="4" t="str">
        <f t="shared" si="8"/>
        <v>Shareholders' Equity</v>
      </c>
      <c r="C24" s="4" t="s">
        <v>49</v>
      </c>
      <c r="D24" s="4" t="s">
        <v>50</v>
      </c>
    </row>
    <row r="25" spans="1:4" ht="15.95">
      <c r="A25" s="4" t="s">
        <v>51</v>
      </c>
      <c r="B25" s="4" t="s">
        <v>52</v>
      </c>
      <c r="C25" s="4" t="s">
        <v>53</v>
      </c>
      <c r="D25" s="4" t="s">
        <v>54</v>
      </c>
    </row>
    <row r="26" spans="1:4" ht="15.95">
      <c r="A26" s="4" t="str">
        <f t="shared" ref="A26:A28" si="9">A25</f>
        <v>Revenue</v>
      </c>
      <c r="B26" s="4" t="str">
        <f t="shared" ref="B26:B28" si="10">B25</f>
        <v>Operating Revenue</v>
      </c>
      <c r="C26" s="4" t="str">
        <f>C25</f>
        <v>Product Sales</v>
      </c>
      <c r="D26" s="4" t="s">
        <v>55</v>
      </c>
    </row>
    <row r="27" spans="1:4" ht="15.95">
      <c r="A27" s="4" t="str">
        <f t="shared" si="9"/>
        <v>Revenue</v>
      </c>
      <c r="B27" s="4" t="str">
        <f t="shared" si="10"/>
        <v>Operating Revenue</v>
      </c>
      <c r="C27" s="4" t="s">
        <v>56</v>
      </c>
      <c r="D27" s="4" t="s">
        <v>57</v>
      </c>
    </row>
    <row r="28" spans="1:4" ht="15.95">
      <c r="A28" s="4" t="str">
        <f t="shared" si="9"/>
        <v>Revenue</v>
      </c>
      <c r="B28" s="4" t="str">
        <f t="shared" si="10"/>
        <v>Operating Revenue</v>
      </c>
      <c r="C28" s="4" t="s">
        <v>58</v>
      </c>
      <c r="D28" s="4" t="s">
        <v>59</v>
      </c>
    </row>
    <row r="29" spans="1:4" ht="15.95">
      <c r="A29" s="4" t="s">
        <v>51</v>
      </c>
      <c r="B29" s="4" t="s">
        <v>60</v>
      </c>
      <c r="C29" s="4" t="s">
        <v>61</v>
      </c>
      <c r="D29" s="4" t="s">
        <v>62</v>
      </c>
    </row>
    <row r="30" spans="1:4" ht="15.95">
      <c r="A30" s="4" t="str">
        <f>A29</f>
        <v>Revenue</v>
      </c>
      <c r="B30" s="4" t="str">
        <f>B29</f>
        <v>Non Operating Revenue</v>
      </c>
      <c r="C30" s="4" t="s">
        <v>63</v>
      </c>
      <c r="D30" s="4" t="s">
        <v>64</v>
      </c>
    </row>
    <row r="31" spans="1:4" ht="15.95">
      <c r="A31" s="4" t="s">
        <v>65</v>
      </c>
      <c r="B31" s="4" t="s">
        <v>66</v>
      </c>
      <c r="C31" s="4" t="s">
        <v>67</v>
      </c>
      <c r="D31" s="4" t="s">
        <v>68</v>
      </c>
    </row>
    <row r="32" spans="1:4" ht="15.95">
      <c r="A32" s="4" t="str">
        <f t="shared" ref="A32:A33" si="11">A31</f>
        <v>Expense</v>
      </c>
      <c r="B32" s="4" t="str">
        <f t="shared" ref="B32:B33" si="12">B31</f>
        <v>Cost of goods sold ( COGS)</v>
      </c>
      <c r="C32" s="4" t="s">
        <v>69</v>
      </c>
      <c r="D32" s="4" t="s">
        <v>70</v>
      </c>
    </row>
    <row r="33" spans="1:4" ht="15.95">
      <c r="A33" s="4" t="str">
        <f t="shared" si="11"/>
        <v>Expense</v>
      </c>
      <c r="B33" s="4" t="str">
        <f t="shared" si="12"/>
        <v>Cost of goods sold ( COGS)</v>
      </c>
      <c r="C33" s="4" t="s">
        <v>71</v>
      </c>
      <c r="D33" s="4" t="s">
        <v>72</v>
      </c>
    </row>
    <row r="34" spans="1:4" ht="15.95">
      <c r="A34" s="4" t="s">
        <v>65</v>
      </c>
      <c r="B34" s="4" t="s">
        <v>73</v>
      </c>
      <c r="C34" s="4" t="s">
        <v>74</v>
      </c>
      <c r="D34" s="4" t="s">
        <v>75</v>
      </c>
    </row>
    <row r="35" spans="1:4" ht="15.95">
      <c r="A35" s="4" t="str">
        <f t="shared" ref="A35:A43" si="13">A34</f>
        <v>Expense</v>
      </c>
      <c r="B35" s="4" t="str">
        <f t="shared" ref="B35:B38" si="14">B34</f>
        <v>Operating Expense</v>
      </c>
      <c r="C35" s="4" t="s">
        <v>76</v>
      </c>
      <c r="D35" s="4" t="s">
        <v>77</v>
      </c>
    </row>
    <row r="36" spans="1:4" ht="15.95">
      <c r="A36" s="4" t="str">
        <f t="shared" si="13"/>
        <v>Expense</v>
      </c>
      <c r="B36" s="4" t="str">
        <f t="shared" si="14"/>
        <v>Operating Expense</v>
      </c>
      <c r="C36" s="4" t="str">
        <f>C35</f>
        <v>Rent and Utilities</v>
      </c>
      <c r="D36" s="4" t="s">
        <v>78</v>
      </c>
    </row>
    <row r="37" spans="1:4" ht="15.95">
      <c r="A37" s="4" t="str">
        <f t="shared" si="13"/>
        <v>Expense</v>
      </c>
      <c r="B37" s="4" t="str">
        <f t="shared" si="14"/>
        <v>Operating Expense</v>
      </c>
      <c r="C37" s="4" t="s">
        <v>79</v>
      </c>
      <c r="D37" s="4" t="s">
        <v>80</v>
      </c>
    </row>
    <row r="38" spans="1:4" ht="15.95">
      <c r="A38" s="4" t="str">
        <f t="shared" si="13"/>
        <v>Expense</v>
      </c>
      <c r="B38" s="4" t="str">
        <f t="shared" si="14"/>
        <v>Operating Expense</v>
      </c>
      <c r="C38" s="4" t="s">
        <v>81</v>
      </c>
      <c r="D38" s="4" t="s">
        <v>82</v>
      </c>
    </row>
    <row r="39" spans="1:4" ht="15.95">
      <c r="A39" s="4" t="str">
        <f t="shared" si="13"/>
        <v>Expense</v>
      </c>
      <c r="B39" s="4" t="s">
        <v>83</v>
      </c>
      <c r="C39" s="4" t="s">
        <v>84</v>
      </c>
      <c r="D39" s="4" t="s">
        <v>85</v>
      </c>
    </row>
    <row r="40" spans="1:4" ht="15.95">
      <c r="A40" s="4" t="str">
        <f t="shared" si="13"/>
        <v>Expense</v>
      </c>
      <c r="B40" s="4" t="str">
        <f>B39</f>
        <v>Selling &amp; admin expense</v>
      </c>
      <c r="C40" s="4" t="s">
        <v>86</v>
      </c>
      <c r="D40" s="4" t="s">
        <v>87</v>
      </c>
    </row>
    <row r="41" spans="1:4" ht="15.95">
      <c r="A41" s="4" t="str">
        <f t="shared" si="13"/>
        <v>Expense</v>
      </c>
      <c r="B41" s="4" t="s">
        <v>88</v>
      </c>
      <c r="C41" s="4" t="s">
        <v>89</v>
      </c>
      <c r="D41" s="4" t="s">
        <v>90</v>
      </c>
    </row>
    <row r="42" spans="1:4" ht="15.95">
      <c r="A42" s="4" t="str">
        <f t="shared" si="13"/>
        <v>Expense</v>
      </c>
      <c r="B42" s="4" t="s">
        <v>91</v>
      </c>
      <c r="C42" s="4" t="s">
        <v>92</v>
      </c>
      <c r="D42" s="4" t="s">
        <v>93</v>
      </c>
    </row>
    <row r="43" spans="1:4" ht="15.95">
      <c r="A43" s="4" t="str">
        <f t="shared" si="13"/>
        <v>Expense</v>
      </c>
      <c r="B43" s="4" t="str">
        <f>B42</f>
        <v>Tax</v>
      </c>
      <c r="C43" s="4" t="s">
        <v>94</v>
      </c>
      <c r="D43" s="4" t="s">
        <v>95</v>
      </c>
    </row>
    <row r="45" spans="1:4">
      <c r="A45" s="6" t="s">
        <v>96</v>
      </c>
    </row>
    <row r="46" spans="1:4">
      <c r="A46" s="2" t="s">
        <v>97</v>
      </c>
    </row>
    <row r="47" spans="1:4">
      <c r="A47" s="2" t="s">
        <v>98</v>
      </c>
    </row>
    <row r="48" spans="1:4">
      <c r="A48" s="2" t="s">
        <v>99</v>
      </c>
    </row>
  </sheetData>
  <mergeCells count="1">
    <mergeCell ref="A1:D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3E885-A7CC-4C09-B36E-28A69D95EBCC}">
  <dimension ref="A1:F39"/>
  <sheetViews>
    <sheetView showGridLines="0" tabSelected="1" zoomScale="90" zoomScaleNormal="90" workbookViewId="0">
      <selection activeCell="A35" sqref="A35"/>
    </sheetView>
  </sheetViews>
  <sheetFormatPr defaultRowHeight="14.45"/>
  <cols>
    <col min="1" max="1" width="15" bestFit="1" customWidth="1"/>
    <col min="2" max="2" width="34.140625" bestFit="1" customWidth="1"/>
    <col min="3" max="3" width="9.140625" bestFit="1" customWidth="1"/>
    <col min="4" max="4" width="13.42578125" bestFit="1" customWidth="1"/>
    <col min="5" max="5" width="22.140625" bestFit="1" customWidth="1"/>
    <col min="6" max="6" width="32.85546875" bestFit="1" customWidth="1"/>
  </cols>
  <sheetData>
    <row r="1" spans="1:6" ht="18.600000000000001" customHeight="1">
      <c r="A1" s="8" t="s">
        <v>100</v>
      </c>
      <c r="B1" s="9"/>
      <c r="C1" s="9"/>
      <c r="D1" s="9"/>
      <c r="E1" s="9"/>
      <c r="F1" s="10"/>
    </row>
    <row r="2" spans="1:6" ht="30.95" customHeight="1">
      <c r="A2" s="11"/>
      <c r="B2" s="12"/>
      <c r="C2" s="12"/>
      <c r="D2" s="12"/>
      <c r="E2" s="12"/>
      <c r="F2" s="13"/>
    </row>
    <row r="3" spans="1:6" ht="15.95">
      <c r="A3" s="3" t="s">
        <v>101</v>
      </c>
      <c r="B3" s="3" t="s">
        <v>102</v>
      </c>
      <c r="C3" s="3" t="s">
        <v>103</v>
      </c>
      <c r="D3" s="3" t="s">
        <v>104</v>
      </c>
      <c r="E3" s="3" t="s">
        <v>105</v>
      </c>
      <c r="F3" s="3" t="s">
        <v>106</v>
      </c>
    </row>
    <row r="4" spans="1:6">
      <c r="A4" s="5">
        <v>100000</v>
      </c>
      <c r="B4" s="5" t="s">
        <v>107</v>
      </c>
      <c r="C4" s="5" t="s">
        <v>108</v>
      </c>
      <c r="D4" s="5" t="s">
        <v>109</v>
      </c>
      <c r="E4" s="5" t="s">
        <v>110</v>
      </c>
      <c r="F4" s="5" t="s">
        <v>111</v>
      </c>
    </row>
    <row r="5" spans="1:6">
      <c r="A5" s="5">
        <v>101000</v>
      </c>
      <c r="B5" s="5" t="s">
        <v>112</v>
      </c>
      <c r="C5" s="5" t="s">
        <v>108</v>
      </c>
      <c r="D5" s="5" t="s">
        <v>109</v>
      </c>
      <c r="E5" s="5" t="s">
        <v>110</v>
      </c>
      <c r="F5" s="5" t="s">
        <v>113</v>
      </c>
    </row>
    <row r="6" spans="1:6">
      <c r="A6" s="5">
        <v>120000</v>
      </c>
      <c r="B6" s="5" t="s">
        <v>114</v>
      </c>
      <c r="C6" s="5" t="s">
        <v>108</v>
      </c>
      <c r="D6" s="5" t="s">
        <v>109</v>
      </c>
      <c r="E6" s="5" t="s">
        <v>115</v>
      </c>
      <c r="F6" s="5" t="s">
        <v>116</v>
      </c>
    </row>
    <row r="7" spans="1:6">
      <c r="A7" s="5">
        <v>120100</v>
      </c>
      <c r="B7" s="5" t="s">
        <v>117</v>
      </c>
      <c r="C7" s="5" t="s">
        <v>108</v>
      </c>
      <c r="D7" s="5" t="s">
        <v>109</v>
      </c>
      <c r="E7" s="5" t="s">
        <v>115</v>
      </c>
      <c r="F7" s="5" t="s">
        <v>118</v>
      </c>
    </row>
    <row r="8" spans="1:6">
      <c r="A8" s="5">
        <v>140000</v>
      </c>
      <c r="B8" s="5" t="s">
        <v>119</v>
      </c>
      <c r="C8" s="5" t="s">
        <v>108</v>
      </c>
      <c r="D8" s="5" t="s">
        <v>109</v>
      </c>
      <c r="E8" s="5" t="s">
        <v>110</v>
      </c>
      <c r="F8" s="5" t="s">
        <v>120</v>
      </c>
    </row>
    <row r="9" spans="1:6">
      <c r="A9" s="5">
        <v>160000</v>
      </c>
      <c r="B9" s="5" t="s">
        <v>121</v>
      </c>
      <c r="C9" s="5" t="s">
        <v>108</v>
      </c>
      <c r="D9" s="5" t="s">
        <v>109</v>
      </c>
      <c r="E9" s="5" t="s">
        <v>110</v>
      </c>
      <c r="F9" s="5" t="s">
        <v>122</v>
      </c>
    </row>
    <row r="10" spans="1:6">
      <c r="A10" s="5">
        <v>160500</v>
      </c>
      <c r="B10" s="5" t="s">
        <v>123</v>
      </c>
      <c r="C10" s="5" t="s">
        <v>108</v>
      </c>
      <c r="D10" s="5" t="s">
        <v>109</v>
      </c>
      <c r="E10" s="5" t="s">
        <v>110</v>
      </c>
      <c r="F10" s="5" t="s">
        <v>124</v>
      </c>
    </row>
    <row r="11" spans="1:6">
      <c r="A11" s="5">
        <v>170000</v>
      </c>
      <c r="B11" s="5" t="s">
        <v>24</v>
      </c>
      <c r="C11" s="5" t="s">
        <v>108</v>
      </c>
      <c r="D11" s="5" t="s">
        <v>109</v>
      </c>
      <c r="E11" s="5" t="s">
        <v>110</v>
      </c>
      <c r="F11" s="5" t="s">
        <v>125</v>
      </c>
    </row>
    <row r="12" spans="1:6">
      <c r="A12" s="5">
        <v>200000</v>
      </c>
      <c r="B12" s="5" t="s">
        <v>126</v>
      </c>
      <c r="C12" s="5" t="s">
        <v>26</v>
      </c>
      <c r="D12" s="5" t="s">
        <v>109</v>
      </c>
      <c r="E12" s="5" t="s">
        <v>127</v>
      </c>
      <c r="F12" s="5" t="s">
        <v>128</v>
      </c>
    </row>
    <row r="13" spans="1:6">
      <c r="A13" s="5">
        <v>200100</v>
      </c>
      <c r="B13" s="5" t="s">
        <v>129</v>
      </c>
      <c r="C13" s="5" t="s">
        <v>26</v>
      </c>
      <c r="D13" s="5" t="s">
        <v>109</v>
      </c>
      <c r="E13" s="5" t="s">
        <v>127</v>
      </c>
      <c r="F13" s="5" t="s">
        <v>130</v>
      </c>
    </row>
    <row r="14" spans="1:6">
      <c r="A14" s="5">
        <v>210000</v>
      </c>
      <c r="B14" s="5" t="s">
        <v>131</v>
      </c>
      <c r="C14" s="5" t="s">
        <v>26</v>
      </c>
      <c r="D14" s="5" t="s">
        <v>109</v>
      </c>
      <c r="E14" s="5" t="s">
        <v>110</v>
      </c>
      <c r="F14" s="5" t="s">
        <v>132</v>
      </c>
    </row>
    <row r="15" spans="1:6">
      <c r="A15" s="5">
        <v>220000</v>
      </c>
      <c r="B15" s="5" t="s">
        <v>133</v>
      </c>
      <c r="C15" s="5" t="s">
        <v>26</v>
      </c>
      <c r="D15" s="5" t="s">
        <v>109</v>
      </c>
      <c r="E15" s="5" t="s">
        <v>110</v>
      </c>
      <c r="F15" s="5" t="s">
        <v>134</v>
      </c>
    </row>
    <row r="16" spans="1:6">
      <c r="A16" s="5">
        <v>230000</v>
      </c>
      <c r="B16" s="5" t="s">
        <v>135</v>
      </c>
      <c r="C16" s="5" t="s">
        <v>26</v>
      </c>
      <c r="D16" s="5" t="s">
        <v>109</v>
      </c>
      <c r="E16" s="5" t="s">
        <v>110</v>
      </c>
      <c r="F16" s="5" t="s">
        <v>136</v>
      </c>
    </row>
    <row r="17" spans="1:6">
      <c r="A17" s="5">
        <v>240000</v>
      </c>
      <c r="B17" s="5" t="s">
        <v>137</v>
      </c>
      <c r="C17" s="5" t="s">
        <v>26</v>
      </c>
      <c r="D17" s="5" t="s">
        <v>109</v>
      </c>
      <c r="E17" s="5" t="s">
        <v>110</v>
      </c>
      <c r="F17" s="5" t="s">
        <v>138</v>
      </c>
    </row>
    <row r="18" spans="1:6">
      <c r="A18" s="5">
        <v>300000</v>
      </c>
      <c r="B18" s="5" t="s">
        <v>139</v>
      </c>
      <c r="C18" s="5" t="s">
        <v>41</v>
      </c>
      <c r="D18" s="5" t="s">
        <v>109</v>
      </c>
      <c r="E18" s="5" t="s">
        <v>110</v>
      </c>
      <c r="F18" s="5" t="s">
        <v>140</v>
      </c>
    </row>
    <row r="19" spans="1:6">
      <c r="A19" s="5">
        <v>310000</v>
      </c>
      <c r="B19" s="5" t="s">
        <v>45</v>
      </c>
      <c r="C19" s="5" t="s">
        <v>41</v>
      </c>
      <c r="D19" s="5" t="s">
        <v>109</v>
      </c>
      <c r="E19" s="5" t="s">
        <v>110</v>
      </c>
      <c r="F19" s="5" t="s">
        <v>141</v>
      </c>
    </row>
    <row r="20" spans="1:6">
      <c r="A20" s="5">
        <v>320000</v>
      </c>
      <c r="B20" s="5" t="s">
        <v>142</v>
      </c>
      <c r="C20" s="5" t="s">
        <v>41</v>
      </c>
      <c r="D20" s="5" t="s">
        <v>109</v>
      </c>
      <c r="E20" s="5" t="s">
        <v>110</v>
      </c>
      <c r="F20" s="5" t="s">
        <v>143</v>
      </c>
    </row>
    <row r="21" spans="1:6">
      <c r="A21" s="5">
        <v>400000</v>
      </c>
      <c r="B21" s="5" t="s">
        <v>144</v>
      </c>
      <c r="C21" s="5" t="s">
        <v>51</v>
      </c>
      <c r="D21" s="5" t="s">
        <v>145</v>
      </c>
      <c r="E21" s="5" t="s">
        <v>110</v>
      </c>
      <c r="F21" s="5" t="s">
        <v>146</v>
      </c>
    </row>
    <row r="22" spans="1:6">
      <c r="A22" s="5">
        <v>400100</v>
      </c>
      <c r="B22" s="5" t="s">
        <v>147</v>
      </c>
      <c r="C22" s="5" t="s">
        <v>51</v>
      </c>
      <c r="D22" s="5" t="s">
        <v>145</v>
      </c>
      <c r="E22" s="5" t="s">
        <v>110</v>
      </c>
      <c r="F22" s="5" t="s">
        <v>148</v>
      </c>
    </row>
    <row r="23" spans="1:6">
      <c r="A23" s="5">
        <v>410000</v>
      </c>
      <c r="B23" s="5" t="s">
        <v>149</v>
      </c>
      <c r="C23" s="5" t="s">
        <v>51</v>
      </c>
      <c r="D23" s="5" t="s">
        <v>145</v>
      </c>
      <c r="E23" s="5" t="s">
        <v>110</v>
      </c>
      <c r="F23" s="5" t="s">
        <v>150</v>
      </c>
    </row>
    <row r="24" spans="1:6">
      <c r="A24" s="5">
        <v>420000</v>
      </c>
      <c r="B24" s="5" t="s">
        <v>61</v>
      </c>
      <c r="C24" s="5" t="s">
        <v>51</v>
      </c>
      <c r="D24" s="5" t="s">
        <v>145</v>
      </c>
      <c r="E24" s="5" t="s">
        <v>110</v>
      </c>
      <c r="F24" s="5" t="s">
        <v>151</v>
      </c>
    </row>
    <row r="25" spans="1:6">
      <c r="A25" s="5">
        <v>500000</v>
      </c>
      <c r="B25" s="5" t="s">
        <v>152</v>
      </c>
      <c r="C25" s="5" t="s">
        <v>153</v>
      </c>
      <c r="D25" s="5" t="s">
        <v>145</v>
      </c>
      <c r="E25" s="5" t="s">
        <v>110</v>
      </c>
      <c r="F25" s="5" t="s">
        <v>154</v>
      </c>
    </row>
    <row r="26" spans="1:6">
      <c r="A26" s="5">
        <v>510000</v>
      </c>
      <c r="B26" s="5" t="s">
        <v>155</v>
      </c>
      <c r="C26" s="5" t="s">
        <v>153</v>
      </c>
      <c r="D26" s="5" t="s">
        <v>145</v>
      </c>
      <c r="E26" s="5" t="s">
        <v>110</v>
      </c>
      <c r="F26" s="5" t="s">
        <v>156</v>
      </c>
    </row>
    <row r="27" spans="1:6">
      <c r="A27" s="5">
        <v>510500</v>
      </c>
      <c r="B27" s="5" t="s">
        <v>157</v>
      </c>
      <c r="C27" s="5" t="s">
        <v>153</v>
      </c>
      <c r="D27" s="5" t="s">
        <v>145</v>
      </c>
      <c r="E27" s="5" t="s">
        <v>110</v>
      </c>
      <c r="F27" s="5" t="s">
        <v>158</v>
      </c>
    </row>
    <row r="28" spans="1:6">
      <c r="A28" s="5">
        <v>520000</v>
      </c>
      <c r="B28" s="5" t="s">
        <v>159</v>
      </c>
      <c r="C28" s="5" t="s">
        <v>153</v>
      </c>
      <c r="D28" s="5" t="s">
        <v>145</v>
      </c>
      <c r="E28" s="5" t="s">
        <v>110</v>
      </c>
      <c r="F28" s="5" t="s">
        <v>160</v>
      </c>
    </row>
    <row r="29" spans="1:6">
      <c r="A29" s="5">
        <v>530000</v>
      </c>
      <c r="B29" s="5" t="s">
        <v>161</v>
      </c>
      <c r="C29" s="5" t="s">
        <v>153</v>
      </c>
      <c r="D29" s="5" t="s">
        <v>145</v>
      </c>
      <c r="E29" s="5" t="s">
        <v>110</v>
      </c>
      <c r="F29" s="5" t="s">
        <v>162</v>
      </c>
    </row>
    <row r="30" spans="1:6">
      <c r="A30" s="5">
        <v>540000</v>
      </c>
      <c r="B30" s="5" t="s">
        <v>163</v>
      </c>
      <c r="C30" s="5" t="s">
        <v>153</v>
      </c>
      <c r="D30" s="5" t="s">
        <v>145</v>
      </c>
      <c r="E30" s="5" t="s">
        <v>110</v>
      </c>
      <c r="F30" s="5" t="s">
        <v>164</v>
      </c>
    </row>
    <row r="31" spans="1:6">
      <c r="A31" s="5">
        <v>550000</v>
      </c>
      <c r="B31" s="5" t="s">
        <v>165</v>
      </c>
      <c r="C31" s="5" t="s">
        <v>153</v>
      </c>
      <c r="D31" s="5" t="s">
        <v>145</v>
      </c>
      <c r="E31" s="5" t="s">
        <v>110</v>
      </c>
      <c r="F31" s="5" t="s">
        <v>166</v>
      </c>
    </row>
    <row r="32" spans="1:6">
      <c r="A32" s="5">
        <v>560000</v>
      </c>
      <c r="B32" s="5" t="s">
        <v>167</v>
      </c>
      <c r="C32" s="5" t="s">
        <v>153</v>
      </c>
      <c r="D32" s="5" t="s">
        <v>145</v>
      </c>
      <c r="E32" s="5" t="s">
        <v>110</v>
      </c>
      <c r="F32" s="5" t="s">
        <v>168</v>
      </c>
    </row>
    <row r="34" spans="1:1">
      <c r="A34" s="6" t="s">
        <v>169</v>
      </c>
    </row>
    <row r="35" spans="1:1">
      <c r="A35" s="2" t="s">
        <v>170</v>
      </c>
    </row>
    <row r="36" spans="1:1">
      <c r="A36" s="2" t="s">
        <v>171</v>
      </c>
    </row>
    <row r="37" spans="1:1">
      <c r="A37" s="2" t="s">
        <v>172</v>
      </c>
    </row>
    <row r="38" spans="1:1">
      <c r="A38" s="2" t="s">
        <v>173</v>
      </c>
    </row>
    <row r="39" spans="1:1">
      <c r="A39" s="2" t="s">
        <v>174</v>
      </c>
    </row>
  </sheetData>
  <mergeCells count="1">
    <mergeCell ref="A1: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87FB8A11048E4EBD62242F9892B7D2" ma:contentTypeVersion="3" ma:contentTypeDescription="Create a new document." ma:contentTypeScope="" ma:versionID="394d1f17ab50b167fd1c9bdf83a70e96">
  <xsd:schema xmlns:xsd="http://www.w3.org/2001/XMLSchema" xmlns:xs="http://www.w3.org/2001/XMLSchema" xmlns:p="http://schemas.microsoft.com/office/2006/metadata/properties" xmlns:ns2="1f68a0f6-12ba-43bc-af29-28e621509147" targetNamespace="http://schemas.microsoft.com/office/2006/metadata/properties" ma:root="true" ma:fieldsID="e30850b013ddcf4a47f8c418a9d2d3ec" ns2:_="">
    <xsd:import namespace="1f68a0f6-12ba-43bc-af29-28e62150914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68a0f6-12ba-43bc-af29-28e6215091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91A5E4-69BC-456C-B964-55C5FA608D15}"/>
</file>

<file path=customXml/itemProps2.xml><?xml version="1.0" encoding="utf-8"?>
<ds:datastoreItem xmlns:ds="http://schemas.openxmlformats.org/officeDocument/2006/customXml" ds:itemID="{707664D1-7EAB-4725-BDA7-269DBF2B8F17}"/>
</file>

<file path=customXml/itemProps3.xml><?xml version="1.0" encoding="utf-8"?>
<ds:datastoreItem xmlns:ds="http://schemas.openxmlformats.org/officeDocument/2006/customXml" ds:itemID="{D1A9307A-8D21-4947-A136-AA57F6B3FA6D}"/>
</file>

<file path=docProps/app.xml><?xml version="1.0" encoding="utf-8"?>
<Properties xmlns="http://schemas.openxmlformats.org/officeDocument/2006/extended-properties" xmlns:vt="http://schemas.openxmlformats.org/officeDocument/2006/docPropsVTypes">
  <Application>Microsoft Excel Online</Application>
  <Manager/>
  <Company>EY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Subha Chowdhury</dc:creator>
  <cp:keywords/>
  <dc:description/>
  <cp:lastModifiedBy>Vidur Sharma</cp:lastModifiedBy>
  <cp:revision/>
  <dcterms:created xsi:type="dcterms:W3CDTF">2025-07-30T08:39:17Z</dcterms:created>
  <dcterms:modified xsi:type="dcterms:W3CDTF">2025-12-19T09:16:12Z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0x010100AF87FB8A11048E4EBD62242F9892B7D2</vt:lpwstr>
  </property>
</Properties>
</file>