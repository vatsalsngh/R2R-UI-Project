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944BF\Downloads\"/>
    </mc:Choice>
  </mc:AlternateContent>
  <xr:revisionPtr revIDLastSave="0" documentId="13_ncr:1_{F89F70FC-822B-4CC0-BE6E-580262F03E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I Calculator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B28" i="1"/>
  <c r="C21" i="1"/>
  <c r="B21" i="1"/>
  <c r="C20" i="1"/>
  <c r="C22" i="1" s="1"/>
  <c r="B20" i="1"/>
  <c r="C16" i="1"/>
  <c r="C17" i="1" s="1"/>
  <c r="B16" i="1"/>
  <c r="C18" i="1" l="1"/>
  <c r="B18" i="1"/>
  <c r="C23" i="1"/>
  <c r="B23" i="1"/>
  <c r="B17" i="1"/>
  <c r="B22" i="1"/>
  <c r="C24" i="1" l="1"/>
  <c r="B24" i="1"/>
  <c r="B19" i="1"/>
  <c r="C19" i="1"/>
  <c r="C25" i="1" l="1"/>
  <c r="B25" i="1"/>
  <c r="C26" i="1" l="1"/>
  <c r="B26" i="1"/>
  <c r="C30" i="1" l="1"/>
  <c r="B30" i="1"/>
  <c r="C29" i="1"/>
  <c r="C27" i="1"/>
  <c r="B29" i="1"/>
  <c r="B27" i="1"/>
</calcChain>
</file>

<file path=xl/sharedStrings.xml><?xml version="1.0" encoding="utf-8"?>
<sst xmlns="http://schemas.openxmlformats.org/spreadsheetml/2006/main" count="87" uniqueCount="78">
  <si>
    <t>Input</t>
  </si>
  <si>
    <t>Value</t>
  </si>
  <si>
    <t>Unit</t>
  </si>
  <si>
    <t>Notes</t>
  </si>
  <si>
    <t>Process Volume per Period</t>
  </si>
  <si>
    <t>transactions</t>
  </si>
  <si>
    <t>e.g., reconciliations per month</t>
  </si>
  <si>
    <t>Current Effort per Unit</t>
  </si>
  <si>
    <t>minutes</t>
  </si>
  <si>
    <t>baseline time per transaction</t>
  </si>
  <si>
    <t>Automated Effort per Unit</t>
  </si>
  <si>
    <t>time after automation</t>
  </si>
  <si>
    <t>Labor Cost per Hour</t>
  </si>
  <si>
    <t>₹/hour</t>
  </si>
  <si>
    <t>fully loaded cost</t>
  </si>
  <si>
    <t>Current Error Rate</t>
  </si>
  <si>
    <t>fraction</t>
  </si>
  <si>
    <t>e.g., 6% = 0.06</t>
  </si>
  <si>
    <t>Automated Error Rate</t>
  </si>
  <si>
    <t>e.g., 2% = 0.02</t>
  </si>
  <si>
    <t>Rework Effort per Error</t>
  </si>
  <si>
    <t>avg rework time</t>
  </si>
  <si>
    <t>Periods per Year</t>
  </si>
  <si>
    <t>count</t>
  </si>
  <si>
    <t>months per year</t>
  </si>
  <si>
    <t>One-time Implementation Cost</t>
  </si>
  <si>
    <t>₹</t>
  </si>
  <si>
    <t>project setup</t>
  </si>
  <si>
    <t>Recurring Annual Cost</t>
  </si>
  <si>
    <t>₹/year</t>
  </si>
  <si>
    <t>licenses/support</t>
  </si>
  <si>
    <t>Discount Rate</t>
  </si>
  <si>
    <t>e.g., 10%</t>
  </si>
  <si>
    <t>Time Horizon (Years)</t>
  </si>
  <si>
    <t>years</t>
  </si>
  <si>
    <t>for NPV/ROI</t>
  </si>
  <si>
    <t>Output</t>
  </si>
  <si>
    <t>Formula</t>
  </si>
  <si>
    <t>Time Saved per Unit (minutes)</t>
  </si>
  <si>
    <t>Δ time per transaction</t>
  </si>
  <si>
    <t>Hours Saved per Period</t>
  </si>
  <si>
    <t>volume × time saved</t>
  </si>
  <si>
    <t>Annual Hours Saved</t>
  </si>
  <si>
    <t>period × periods/year</t>
  </si>
  <si>
    <t>Annual Labor Cost Saved (₹)</t>
  </si>
  <si>
    <t>hours × labor cost</t>
  </si>
  <si>
    <t>Current Errors per Period</t>
  </si>
  <si>
    <t>baseline errors</t>
  </si>
  <si>
    <t>Automated Errors per Period</t>
  </si>
  <si>
    <t>post-automation errors</t>
  </si>
  <si>
    <t>Errors Avoided per Period</t>
  </si>
  <si>
    <t>difference</t>
  </si>
  <si>
    <t>Annual Rework Hours Avoided</t>
  </si>
  <si>
    <t>errors avoided × rework time</t>
  </si>
  <si>
    <t>Annual Rework Cost Saved (₹)</t>
  </si>
  <si>
    <t>rework hours × cost</t>
  </si>
  <si>
    <t>Annual Benefit (₹)</t>
  </si>
  <si>
    <t>labor + rework savings</t>
  </si>
  <si>
    <t>Net Annual Benefit (₹)</t>
  </si>
  <si>
    <t>minus recurring</t>
  </si>
  <si>
    <t>Payback Period (years)</t>
  </si>
  <si>
    <t>one-time / net annual</t>
  </si>
  <si>
    <t>Accuracy Lift (%)</t>
  </si>
  <si>
    <t>quality improvement</t>
  </si>
  <si>
    <t>NPV (₹)</t>
  </si>
  <si>
    <t>discounted cash flow of net annual benefit</t>
  </si>
  <si>
    <t>ROI over Horizon (%)</t>
  </si>
  <si>
    <t>simple cumulative ROI</t>
  </si>
  <si>
    <t>Parameter</t>
  </si>
  <si>
    <t>Low</t>
  </si>
  <si>
    <t>Base</t>
  </si>
  <si>
    <t>High</t>
  </si>
  <si>
    <t>Impact Notes</t>
  </si>
  <si>
    <t>Scale benefits linearly</t>
  </si>
  <si>
    <t>Labor Cost per Hour (₹)</t>
  </si>
  <si>
    <t>Higher cost increases savings</t>
  </si>
  <si>
    <t>More errors → more rework savings</t>
  </si>
  <si>
    <t>Lower is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</si>
</sst>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nsitivity" displayName="Sensitivity" ref="A1:E5">
  <autoFilter ref="A1:E5" xr:uid="{00000000-0009-0000-0100-000001000000}"/>
  <tableColumns count="5">
    <tableColumn id="1" xr3:uid="{00000000-0010-0000-0000-000001000000}" name="Parameter"/>
    <tableColumn id="2" xr3:uid="{00000000-0010-0000-0000-000002000000}" name="Low"/>
    <tableColumn id="3" xr3:uid="{00000000-0010-0000-0000-000003000000}" name="Base"/>
    <tableColumn id="4" xr3:uid="{00000000-0010-0000-0000-000004000000}" name="High"/>
    <tableColumn id="5" xr3:uid="{00000000-0010-0000-0000-000005000000}" name="Impact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9" workbookViewId="0">
      <selection activeCell="B37" sqref="B3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1000</v>
      </c>
      <c r="C2" s="2" t="s">
        <v>5</v>
      </c>
      <c r="D2" s="2" t="s">
        <v>6</v>
      </c>
    </row>
    <row r="3" spans="1:4" x14ac:dyDescent="0.35">
      <c r="A3" s="2" t="s">
        <v>7</v>
      </c>
      <c r="B3" s="2">
        <v>8</v>
      </c>
      <c r="C3" s="2" t="s">
        <v>8</v>
      </c>
      <c r="D3" s="2" t="s">
        <v>9</v>
      </c>
    </row>
    <row r="4" spans="1:4" x14ac:dyDescent="0.35">
      <c r="A4" s="2" t="s">
        <v>10</v>
      </c>
      <c r="B4" s="2">
        <v>3</v>
      </c>
      <c r="C4" s="2" t="s">
        <v>8</v>
      </c>
      <c r="D4" s="2" t="s">
        <v>11</v>
      </c>
    </row>
    <row r="5" spans="1:4" x14ac:dyDescent="0.35">
      <c r="A5" s="2" t="s">
        <v>12</v>
      </c>
      <c r="B5" s="2">
        <v>1800</v>
      </c>
      <c r="C5" s="2" t="s">
        <v>13</v>
      </c>
      <c r="D5" s="2" t="s">
        <v>14</v>
      </c>
    </row>
    <row r="6" spans="1:4" x14ac:dyDescent="0.35">
      <c r="A6" s="2" t="s">
        <v>15</v>
      </c>
      <c r="B6" s="2">
        <v>0.06</v>
      </c>
      <c r="C6" s="2" t="s">
        <v>16</v>
      </c>
      <c r="D6" s="2" t="s">
        <v>17</v>
      </c>
    </row>
    <row r="7" spans="1:4" x14ac:dyDescent="0.35">
      <c r="A7" s="2" t="s">
        <v>18</v>
      </c>
      <c r="B7" s="2">
        <v>0.02</v>
      </c>
      <c r="C7" s="2" t="s">
        <v>16</v>
      </c>
      <c r="D7" s="2" t="s">
        <v>19</v>
      </c>
    </row>
    <row r="8" spans="1:4" x14ac:dyDescent="0.35">
      <c r="A8" s="2" t="s">
        <v>20</v>
      </c>
      <c r="B8" s="2">
        <v>20</v>
      </c>
      <c r="C8" s="2" t="s">
        <v>8</v>
      </c>
      <c r="D8" s="2" t="s">
        <v>21</v>
      </c>
    </row>
    <row r="9" spans="1:4" x14ac:dyDescent="0.35">
      <c r="A9" s="2" t="s">
        <v>22</v>
      </c>
      <c r="B9" s="2">
        <v>12</v>
      </c>
      <c r="C9" s="2" t="s">
        <v>23</v>
      </c>
      <c r="D9" s="2" t="s">
        <v>24</v>
      </c>
    </row>
    <row r="10" spans="1:4" x14ac:dyDescent="0.35">
      <c r="A10" s="2" t="s">
        <v>25</v>
      </c>
      <c r="B10" s="2">
        <v>1800000</v>
      </c>
      <c r="C10" s="2" t="s">
        <v>26</v>
      </c>
      <c r="D10" s="2" t="s">
        <v>27</v>
      </c>
    </row>
    <row r="11" spans="1:4" x14ac:dyDescent="0.35">
      <c r="A11" s="2" t="s">
        <v>28</v>
      </c>
      <c r="B11" s="2">
        <v>900000</v>
      </c>
      <c r="C11" s="2" t="s">
        <v>29</v>
      </c>
      <c r="D11" s="2" t="s">
        <v>30</v>
      </c>
    </row>
    <row r="12" spans="1:4" x14ac:dyDescent="0.35">
      <c r="A12" s="2" t="s">
        <v>31</v>
      </c>
      <c r="B12" s="2">
        <v>0.1</v>
      </c>
      <c r="C12" s="2" t="s">
        <v>16</v>
      </c>
      <c r="D12" s="2" t="s">
        <v>32</v>
      </c>
    </row>
    <row r="13" spans="1:4" x14ac:dyDescent="0.35">
      <c r="A13" s="2" t="s">
        <v>33</v>
      </c>
      <c r="B13" s="2">
        <v>3</v>
      </c>
      <c r="C13" s="2" t="s">
        <v>34</v>
      </c>
      <c r="D13" s="2" t="s">
        <v>35</v>
      </c>
    </row>
    <row r="14" spans="1:4" x14ac:dyDescent="0.35">
      <c r="A14" s="2"/>
      <c r="B14" s="2"/>
      <c r="C14" s="2"/>
      <c r="D14" s="2"/>
    </row>
    <row r="15" spans="1:4" x14ac:dyDescent="0.35">
      <c r="A15" s="3" t="s">
        <v>36</v>
      </c>
      <c r="B15" s="3" t="s">
        <v>37</v>
      </c>
      <c r="C15" s="3" t="s">
        <v>1</v>
      </c>
      <c r="D15" s="3" t="s">
        <v>3</v>
      </c>
    </row>
    <row r="16" spans="1:4" x14ac:dyDescent="0.35">
      <c r="A16" s="2" t="s">
        <v>38</v>
      </c>
      <c r="B16" s="2">
        <f>B3-B4</f>
        <v>5</v>
      </c>
      <c r="C16" s="2">
        <f>B3-B4</f>
        <v>5</v>
      </c>
      <c r="D16" s="2" t="s">
        <v>39</v>
      </c>
    </row>
    <row r="17" spans="1:4" x14ac:dyDescent="0.35">
      <c r="A17" s="2" t="s">
        <v>40</v>
      </c>
      <c r="B17" s="2">
        <f>(B2*(C16)/60)</f>
        <v>83.333333333333329</v>
      </c>
      <c r="C17" s="2">
        <f>(B2*(C16)/60)</f>
        <v>83.333333333333329</v>
      </c>
      <c r="D17" s="2" t="s">
        <v>41</v>
      </c>
    </row>
    <row r="18" spans="1:4" x14ac:dyDescent="0.35">
      <c r="A18" s="2" t="s">
        <v>42</v>
      </c>
      <c r="B18" s="2">
        <f>C17*B9</f>
        <v>1000</v>
      </c>
      <c r="C18" s="2">
        <f>C17*B9</f>
        <v>1000</v>
      </c>
      <c r="D18" s="2" t="s">
        <v>43</v>
      </c>
    </row>
    <row r="19" spans="1:4" x14ac:dyDescent="0.35">
      <c r="A19" s="2" t="s">
        <v>44</v>
      </c>
      <c r="B19" s="2">
        <f>C18*B5</f>
        <v>1800000</v>
      </c>
      <c r="C19" s="2">
        <f>C18*B5</f>
        <v>1800000</v>
      </c>
      <c r="D19" s="2" t="s">
        <v>45</v>
      </c>
    </row>
    <row r="20" spans="1:4" x14ac:dyDescent="0.35">
      <c r="A20" s="2" t="s">
        <v>46</v>
      </c>
      <c r="B20" s="2">
        <f>B2*B6</f>
        <v>60</v>
      </c>
      <c r="C20" s="2">
        <f>B2*B6</f>
        <v>60</v>
      </c>
      <c r="D20" s="2" t="s">
        <v>47</v>
      </c>
    </row>
    <row r="21" spans="1:4" x14ac:dyDescent="0.35">
      <c r="A21" s="2" t="s">
        <v>48</v>
      </c>
      <c r="B21" s="2">
        <f>B2*B7</f>
        <v>20</v>
      </c>
      <c r="C21" s="2">
        <f>B2*B7</f>
        <v>20</v>
      </c>
      <c r="D21" s="2" t="s">
        <v>49</v>
      </c>
    </row>
    <row r="22" spans="1:4" x14ac:dyDescent="0.35">
      <c r="A22" s="2" t="s">
        <v>50</v>
      </c>
      <c r="B22" s="2">
        <f>C20-C21</f>
        <v>40</v>
      </c>
      <c r="C22" s="2">
        <f>C20-C21</f>
        <v>40</v>
      </c>
      <c r="D22" s="2" t="s">
        <v>51</v>
      </c>
    </row>
    <row r="23" spans="1:4" x14ac:dyDescent="0.35">
      <c r="A23" s="2" t="s">
        <v>52</v>
      </c>
      <c r="B23" s="2">
        <f>(C22*B8/60)*B9</f>
        <v>160</v>
      </c>
      <c r="C23" s="2">
        <f>(C22*B8/60)*B9</f>
        <v>160</v>
      </c>
      <c r="D23" s="2" t="s">
        <v>53</v>
      </c>
    </row>
    <row r="24" spans="1:4" x14ac:dyDescent="0.35">
      <c r="A24" s="2" t="s">
        <v>54</v>
      </c>
      <c r="B24" s="2">
        <f>C23*B5</f>
        <v>288000</v>
      </c>
      <c r="C24" s="2">
        <f>C23*B5</f>
        <v>288000</v>
      </c>
      <c r="D24" s="2" t="s">
        <v>55</v>
      </c>
    </row>
    <row r="25" spans="1:4" x14ac:dyDescent="0.35">
      <c r="A25" s="2" t="s">
        <v>56</v>
      </c>
      <c r="B25" s="2">
        <f>C19+C24</f>
        <v>2088000</v>
      </c>
      <c r="C25" s="2">
        <f>C19+C24</f>
        <v>2088000</v>
      </c>
      <c r="D25" s="2" t="s">
        <v>57</v>
      </c>
    </row>
    <row r="26" spans="1:4" x14ac:dyDescent="0.35">
      <c r="A26" s="2" t="s">
        <v>58</v>
      </c>
      <c r="B26" s="2">
        <f>C25-B11</f>
        <v>1188000</v>
      </c>
      <c r="C26" s="2">
        <f>C25-B11</f>
        <v>1188000</v>
      </c>
      <c r="D26" s="2" t="s">
        <v>59</v>
      </c>
    </row>
    <row r="27" spans="1:4" x14ac:dyDescent="0.35">
      <c r="A27" s="2" t="s">
        <v>60</v>
      </c>
      <c r="B27" s="2">
        <f>B10/C26</f>
        <v>1.5151515151515151</v>
      </c>
      <c r="C27" s="2">
        <f>B10/C26</f>
        <v>1.5151515151515151</v>
      </c>
      <c r="D27" s="2" t="s">
        <v>61</v>
      </c>
    </row>
    <row r="28" spans="1:4" x14ac:dyDescent="0.35">
      <c r="A28" s="2" t="s">
        <v>62</v>
      </c>
      <c r="B28" s="2">
        <f>(B6-B7)/B6*100</f>
        <v>66.666666666666657</v>
      </c>
      <c r="C28" s="2">
        <f>(B6-B7)/B6*100</f>
        <v>66.666666666666657</v>
      </c>
      <c r="D28" s="2" t="s">
        <v>63</v>
      </c>
    </row>
    <row r="29" spans="1:4" x14ac:dyDescent="0.35">
      <c r="A29" s="2" t="s">
        <v>64</v>
      </c>
      <c r="B29" s="2">
        <f>C26*(1-(1+B12)^(-B13))/B12-B10</f>
        <v>1154380.1652892586</v>
      </c>
      <c r="C29" s="2">
        <f>C26*(1-(1+B12)^(-B13))/B12-B10</f>
        <v>1154380.1652892586</v>
      </c>
      <c r="D29" s="2" t="s">
        <v>65</v>
      </c>
    </row>
    <row r="30" spans="1:4" x14ac:dyDescent="0.35">
      <c r="A30" s="2" t="s">
        <v>66</v>
      </c>
      <c r="B30" s="2">
        <f>((C26*B13-B10)/B10)*100</f>
        <v>98</v>
      </c>
      <c r="C30" s="2">
        <f>((C26*B13-B10)/B10)*100</f>
        <v>98</v>
      </c>
      <c r="D30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35">
      <c r="A2" t="s">
        <v>4</v>
      </c>
      <c r="B2">
        <v>800</v>
      </c>
      <c r="C2">
        <v>1000</v>
      </c>
      <c r="D2">
        <v>1200</v>
      </c>
      <c r="E2" t="s">
        <v>73</v>
      </c>
    </row>
    <row r="3" spans="1:5" x14ac:dyDescent="0.35">
      <c r="A3" t="s">
        <v>74</v>
      </c>
      <c r="B3">
        <v>1500</v>
      </c>
      <c r="C3">
        <v>1800</v>
      </c>
      <c r="D3">
        <v>2200</v>
      </c>
      <c r="E3" t="s">
        <v>75</v>
      </c>
    </row>
    <row r="4" spans="1:5" x14ac:dyDescent="0.35">
      <c r="A4" t="s">
        <v>15</v>
      </c>
      <c r="B4">
        <v>0.05</v>
      </c>
      <c r="C4">
        <v>0.06</v>
      </c>
      <c r="D4">
        <v>0.08</v>
      </c>
      <c r="E4" t="s">
        <v>76</v>
      </c>
    </row>
    <row r="5" spans="1:5" x14ac:dyDescent="0.35">
      <c r="A5" t="s">
        <v>18</v>
      </c>
      <c r="B5">
        <v>0.01</v>
      </c>
      <c r="C5">
        <v>0.02</v>
      </c>
      <c r="D5">
        <v>0.03</v>
      </c>
      <c r="E5" t="s">
        <v>77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32BB43-18DA-4813-9F2A-087230C7EEDF}"/>
</file>

<file path=customXml/itemProps2.xml><?xml version="1.0" encoding="utf-8"?>
<ds:datastoreItem xmlns:ds="http://schemas.openxmlformats.org/officeDocument/2006/customXml" ds:itemID="{71F92300-F361-44C8-8652-C6E9C9069BCE}"/>
</file>

<file path=customXml/itemProps3.xml><?xml version="1.0" encoding="utf-8"?>
<ds:datastoreItem xmlns:ds="http://schemas.openxmlformats.org/officeDocument/2006/customXml" ds:itemID="{E1968D8F-C122-4EA8-8D12-CD7961686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ROI Calculator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Ranganath V</cp:lastModifiedBy>
  <dcterms:created xsi:type="dcterms:W3CDTF">2025-12-02T00:58:41Z</dcterms:created>
  <dcterms:modified xsi:type="dcterms:W3CDTF">2025-12-02T00:59:37Z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