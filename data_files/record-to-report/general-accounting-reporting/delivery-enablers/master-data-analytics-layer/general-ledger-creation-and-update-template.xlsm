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09"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sites.ey.com/sites/R2RTrainingAcademy/Shared Documents/4. Master Data &amp; Analytics layer/"/>
    </mc:Choice>
  </mc:AlternateContent>
  <xr:revisionPtr revIDLastSave="40" documentId="8_{27C76825-41B5-4D1F-8912-96835A514C59}" xr6:coauthVersionLast="47" xr6:coauthVersionMax="47" xr10:uidLastSave="{C79E240B-D9A2-42CF-8523-0523618B6418}"/>
  <bookViews>
    <workbookView xWindow="-110" yWindow="-110" windowWidth="19420" windowHeight="11500" tabRatio="592" firstSheet="7" activeTab="7" xr2:uid="{00000000-000D-0000-FFFF-FFFF00000000}"/>
  </bookViews>
  <sheets>
    <sheet name="Table of Contents" sheetId="9" state="hidden" r:id="rId1"/>
    <sheet name="Cost Center " sheetId="1" state="hidden" r:id="rId2"/>
    <sheet name="CC Blocking Checklist" sheetId="16" state="hidden" r:id="rId3"/>
    <sheet name="CC Hidden" sheetId="3" state="hidden" r:id="rId4"/>
    <sheet name="Company Code" sheetId="4" state="hidden" r:id="rId5"/>
    <sheet name="Profit Center" sheetId="5" state="hidden" r:id="rId6"/>
    <sheet name="Attribute Key Values" sheetId="17" r:id="rId7"/>
    <sheet name="Requesting GL Account Detail" sheetId="15" r:id="rId8"/>
    <sheet name="Activity Type" sheetId="12" state="hidden" r:id="rId9"/>
    <sheet name="Activity Rates" sheetId="8" state="hidden" r:id="rId10"/>
    <sheet name="PC Hidden" sheetId="11" state="hidden" r:id="rId11"/>
    <sheet name="Hierarchy " sheetId="7" state="hidden" r:id="rId12"/>
    <sheet name="Emails " sheetId="13" state="hidden" r:id="rId13"/>
    <sheet name="AT Hidden" sheetId="14" state="hidden" r:id="rId14"/>
  </sheets>
  <externalReferences>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s>
  <definedNames>
    <definedName name="_1_Output_table_Sup_process_to_t_code">#REF!</definedName>
    <definedName name="_2_Output_Process_role_to_sub_process_role">#REF!</definedName>
    <definedName name="_3_Output_Template_to_Tcode">#REF!</definedName>
    <definedName name="_xlnm._FilterDatabase" localSheetId="6" hidden="1">'Attribute Key Values'!$M$1:$N$99</definedName>
    <definedName name="_xlnm._FilterDatabase" localSheetId="4" hidden="1">'Company Code'!$A$1:$C$1</definedName>
    <definedName name="ActiveGL1000">'[1]Active GL 1000'!$A$2:$B$593</definedName>
    <definedName name="ActiveGL1020">'[1]Active GL 1020'!$A$2:$B$338</definedName>
    <definedName name="ActiveGL1050">'[1]Active GL 1050'!$A$2:$B$360</definedName>
    <definedName name="ActiveGL1060">'[1]Active GL 1060'!$A$2:$B$842</definedName>
    <definedName name="ActiveGL1255">'[1]Active GL 1255'!$A$2:$B$93</definedName>
    <definedName name="ActiveGL1525">'[1]Active GL 1525'!$A$2:$B$106</definedName>
    <definedName name="ActiveGL2030">'[1]Active GL 2030'!$A$2:$B$188</definedName>
    <definedName name="AllDels">#REF!</definedName>
    <definedName name="COPY">#REF!</definedName>
    <definedName name="D1RGL">#REF!</definedName>
    <definedName name="ddECC">'[2]Drop Down Selections'!$B$22:$B$24</definedName>
    <definedName name="Deliverable">[3]Deliverable!$B$2:$B$52</definedName>
    <definedName name="FSVMIN">'[4]FSV Reference Table'!$A$3:$A$169</definedName>
    <definedName name="fsvmin1">'[5]FSV Reference Table'!$A$3:$A$173</definedName>
    <definedName name="FSVNode">'[4]FSV Reference Table'!$C$3:$C$169</definedName>
    <definedName name="fsvnode1">'[5]FSV Reference Table'!$C$3:$C$173</definedName>
    <definedName name="FSVRANGE">'[4]FSV Reference Table'!$D$3:$D$169</definedName>
    <definedName name="fsvrange1">'[5]FSV Reference Table'!$D$3:$D$173</definedName>
    <definedName name="InterfaceCategoryList">[6]Value!$AN$2:$AN$14</definedName>
    <definedName name="InterfaceDirectionList">[6]Value!$AP$2:$AP$5</definedName>
    <definedName name="InterfaceProtocolList">[6]Value!$AO$2:$AO$20</definedName>
    <definedName name="Issue_Type">'[7]Data Mgmt'!$B$4:$B$16</definedName>
    <definedName name="Keep_delete">[8]EVDOracle_TaskLocalTextInputs!$W$3:$W$6</definedName>
    <definedName name="KeepDeleteMod">[8]EVDOracle_TaskLocalNames!$J$3:$J$5</definedName>
    <definedName name="Level">[9]Conditions!$A$2:$A$4</definedName>
    <definedName name="Make_KC">[8]EVDOracle_TaskLocalTextInputs!$V$3:$V$5</definedName>
    <definedName name="PRROLE">#REF!</definedName>
    <definedName name="reviewers">#REF!</definedName>
    <definedName name="reviewers2">#REF!</definedName>
    <definedName name="Session1">#REF!</definedName>
    <definedName name="session2">#REF!</definedName>
    <definedName name="Status">[3]Configuration!$A$59:$A$68</definedName>
    <definedName name="Template_match">#REF!</definedName>
    <definedName name="Tempmaster">#REF!</definedName>
    <definedName name="Test_PR">#REF!</definedName>
    <definedName name="TestDeliverables">#REF!</definedName>
    <definedName name="Testing">#REF!</definedName>
    <definedName name="Testing_Upstream">#REF!</definedName>
    <definedName name="TestResource">#REF!</definedName>
    <definedName name="the">#REF!</definedName>
    <definedName name="Unit">#REF!</definedName>
    <definedName name="Unit1">'[10]RTM - MMS'!$AW$7:$AW$41</definedName>
    <definedName name="yesno">[6]Value!$D$2:$D$4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62" i="17" l="1"/>
  <c r="C86" i="17"/>
  <c r="C79" i="17"/>
  <c r="C69" i="17"/>
  <c r="C63" i="17"/>
  <c r="K3" i="17"/>
  <c r="K4" i="17"/>
  <c r="K5" i="17"/>
  <c r="K6" i="17"/>
  <c r="K7" i="17"/>
  <c r="K8" i="17"/>
  <c r="K9" i="17"/>
  <c r="K10" i="17"/>
  <c r="K11" i="17"/>
  <c r="K12" i="17"/>
  <c r="K13" i="17"/>
  <c r="K14" i="17"/>
  <c r="K15" i="17"/>
  <c r="K16" i="17"/>
  <c r="K17" i="17"/>
  <c r="K18" i="17"/>
  <c r="K19" i="17"/>
  <c r="K20" i="17"/>
  <c r="K21" i="17"/>
  <c r="K22" i="17"/>
  <c r="K23" i="17"/>
  <c r="K24" i="17"/>
  <c r="K25" i="17"/>
  <c r="K26" i="17"/>
  <c r="K27" i="17"/>
  <c r="K28" i="17"/>
  <c r="K29" i="17"/>
  <c r="K30" i="17"/>
  <c r="K31" i="17"/>
  <c r="K32" i="17"/>
  <c r="K33" i="17"/>
  <c r="K34" i="17"/>
  <c r="K35" i="17"/>
  <c r="K36" i="17"/>
  <c r="K37" i="17"/>
  <c r="K38" i="17"/>
  <c r="K39" i="17"/>
  <c r="K40" i="17"/>
  <c r="K41" i="17"/>
  <c r="K42" i="17"/>
  <c r="K43" i="17"/>
  <c r="K44" i="17"/>
  <c r="K45" i="17"/>
  <c r="K46" i="17"/>
  <c r="K47" i="17"/>
  <c r="K48" i="17"/>
  <c r="K2" i="17"/>
  <c r="G9" i="17"/>
  <c r="G10" i="17"/>
  <c r="G11" i="17"/>
  <c r="G12" i="17"/>
  <c r="G13" i="17"/>
  <c r="G14" i="17"/>
  <c r="G15" i="17"/>
  <c r="G16" i="17"/>
  <c r="G17" i="17"/>
  <c r="G18" i="17"/>
  <c r="G19" i="17"/>
  <c r="G20" i="17"/>
  <c r="G21" i="17"/>
  <c r="G22" i="17"/>
  <c r="G23" i="17"/>
  <c r="G8" i="17"/>
  <c r="G27" i="17"/>
  <c r="G28" i="17"/>
  <c r="G29" i="17"/>
  <c r="G30" i="17"/>
  <c r="G31" i="17"/>
  <c r="G32" i="17"/>
  <c r="G33" i="17"/>
  <c r="G34" i="17"/>
  <c r="G35" i="17"/>
  <c r="G36" i="17"/>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26" i="17"/>
  <c r="C74" i="17"/>
  <c r="C75" i="17"/>
  <c r="C76" i="17"/>
  <c r="C77" i="17"/>
  <c r="C78" i="17"/>
  <c r="C73" i="17"/>
  <c r="C20" i="17"/>
  <c r="C21" i="17"/>
  <c r="C22" i="17"/>
  <c r="C23" i="17"/>
  <c r="C24" i="17"/>
  <c r="C25" i="17"/>
  <c r="C26" i="17"/>
  <c r="C27" i="17"/>
  <c r="C28" i="17"/>
  <c r="C29" i="17"/>
  <c r="C30" i="17"/>
  <c r="C31" i="17"/>
  <c r="C32" i="17"/>
  <c r="C33" i="17"/>
  <c r="C34" i="17"/>
  <c r="C35" i="17"/>
  <c r="C36" i="17"/>
  <c r="C37" i="17"/>
  <c r="C38" i="17"/>
  <c r="C39" i="17"/>
  <c r="C40" i="17"/>
  <c r="C41" i="17"/>
  <c r="C42" i="17"/>
  <c r="C43" i="17"/>
  <c r="C44" i="17"/>
  <c r="C45" i="17"/>
  <c r="C46" i="17"/>
  <c r="C47" i="17"/>
  <c r="C48" i="17"/>
  <c r="C49" i="17"/>
  <c r="C50" i="17"/>
  <c r="C51" i="17"/>
  <c r="C52" i="17"/>
  <c r="C53" i="17"/>
  <c r="C57" i="17"/>
  <c r="C58" i="17"/>
  <c r="C59" i="17"/>
  <c r="C60" i="17"/>
  <c r="C61" i="17"/>
  <c r="C62" i="17"/>
  <c r="C67" i="17"/>
  <c r="C68" i="17"/>
  <c r="C83" i="17"/>
  <c r="C84" i="17"/>
  <c r="C85" i="17"/>
  <c r="C90" i="17"/>
  <c r="C91" i="17"/>
  <c r="C92" i="17"/>
  <c r="C93" i="17"/>
  <c r="C94" i="17"/>
  <c r="C9" i="17"/>
  <c r="C10" i="17"/>
  <c r="C11" i="17"/>
  <c r="C12" i="17"/>
  <c r="C13" i="17"/>
  <c r="C14" i="17"/>
  <c r="C15" i="17"/>
  <c r="C16" i="17"/>
  <c r="C8" i="17"/>
  <c r="C3" i="17"/>
  <c r="C4" i="17"/>
  <c r="C5" i="17"/>
  <c r="C2" i="17"/>
  <c r="H13" i="7" l="1"/>
  <c r="G15" i="8"/>
  <c r="D3" i="12"/>
  <c r="D3" i="5"/>
  <c r="D3" i="1"/>
  <c r="C6" i="12" l="1"/>
  <c r="A10" i="12" l="1"/>
  <c r="A10" i="5" l="1"/>
  <c r="A10" i="1"/>
  <c r="F6" i="1" l="1"/>
  <c r="C26" i="9"/>
  <c r="C31" i="9" l="1"/>
  <c r="C30" i="9"/>
  <c r="C29" i="9"/>
  <c r="C28" i="9"/>
  <c r="C27" i="9"/>
  <c r="M1" i="7"/>
  <c r="M1" i="8"/>
  <c r="M1" i="12"/>
  <c r="M1" i="5"/>
  <c r="M1" i="1"/>
  <c r="I42" i="11" l="1"/>
  <c r="H42" i="11"/>
  <c r="G42" i="11"/>
  <c r="H27" i="11" l="1"/>
  <c r="G27" i="11"/>
  <c r="F27" i="11"/>
  <c r="V12" i="11"/>
  <c r="U12" i="11"/>
  <c r="T12" i="11"/>
  <c r="F6" i="5" l="1"/>
  <c r="C6" i="5"/>
  <c r="C6"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Bissett, Jessica</author>
  </authors>
  <commentList>
    <comment ref="A13" authorId="0" shapeId="0" xr:uid="{00000000-0006-0000-0200-000001000000}">
      <text>
        <r>
          <rPr>
            <sz val="9"/>
            <color indexed="81"/>
            <rFont val="Tahoma"/>
            <family val="2"/>
          </rPr>
          <t xml:space="preserve">Enter the relevant fiscal year and period(s) and select the “/BlockCC” layout. For blocking purpose, only run this report for past six months. 
Every cost center will be slightly different, please work with the requestor (usually business unit analyst) to determine which entries need to be cleared/transferred out, and which entries are okay to stay. </t>
        </r>
      </text>
    </comment>
    <comment ref="B19" authorId="0" shapeId="0" xr:uid="{00000000-0006-0000-0200-000002000000}">
      <text>
        <r>
          <rPr>
            <sz val="9"/>
            <color indexed="81"/>
            <rFont val="Tahoma"/>
            <family val="2"/>
          </rPr>
          <t xml:space="preserve">If list contains data for a cycle in current year, you are required to contact the corporate allocation group and provide them the alternate Cost Center number.
</t>
        </r>
      </text>
    </comment>
    <comment ref="B20" authorId="0" shapeId="0" xr:uid="{00000000-0006-0000-0200-000003000000}">
      <text>
        <r>
          <rPr>
            <sz val="9"/>
            <color indexed="81"/>
            <rFont val="Tahoma"/>
            <family val="2"/>
          </rPr>
          <t>If list contains data for a cycle in current year, you are required to contact the corporate allocation group and provide them the alternate Cost Center number.</t>
        </r>
      </text>
    </comment>
    <comment ref="B21" authorId="0" shapeId="0" xr:uid="{00000000-0006-0000-0200-000004000000}">
      <text>
        <r>
          <rPr>
            <sz val="9"/>
            <color indexed="81"/>
            <rFont val="Tahoma"/>
            <family val="2"/>
          </rPr>
          <t>If list contains data for a cycle in current year, you are required to contact the corporate allocation group and provide them the alternate Cost Center number.</t>
        </r>
      </text>
    </comment>
    <comment ref="B22" authorId="0" shapeId="0" xr:uid="{00000000-0006-0000-0200-000005000000}">
      <text>
        <r>
          <rPr>
            <sz val="9"/>
            <color indexed="81"/>
            <rFont val="Tahoma"/>
            <family val="2"/>
          </rPr>
          <t>For open orders, run T-Code KO03 to view the settlement rule and find the user that last changed the order.
If there is now data in the settlement rule, it is okay to proceed with blocking the cost center. Please attach a screenshot.</t>
        </r>
      </text>
    </comment>
    <comment ref="B23" authorId="0" shapeId="0" xr:uid="{00000000-0006-0000-0200-000006000000}">
      <text>
        <r>
          <rPr>
            <sz val="9"/>
            <color indexed="81"/>
            <rFont val="Tahoma"/>
            <family val="2"/>
          </rPr>
          <t xml:space="preserve">To change the Cost Center on the Costing sheet you must first find the alternate Cost Center for the costs to be directed to. 
Once the alternate Cost Center is chosen a service order will need to be raised to IBM to complete the configuration.
</t>
        </r>
      </text>
    </comment>
    <comment ref="B24" authorId="0" shapeId="0" xr:uid="{00000000-0006-0000-0200-000007000000}">
      <text>
        <r>
          <rPr>
            <sz val="9"/>
            <color indexed="81"/>
            <rFont val="Tahoma"/>
            <family val="2"/>
          </rPr>
          <t>The responsible Cost Center is where the WBS costs are settling. 
Run T-Code CJ13. Enter the WBS number and select the settlement rule button. If the "from" and "to" period is finished, then no futher action is required. It is also to proceed with blocking the cost center if there is no data in the settlement rule.
If the "from" and "to" period is still open, the contact either the user who created or last changed the WBS.</t>
        </r>
      </text>
    </comment>
    <comment ref="B25" authorId="0" shapeId="0" xr:uid="{00000000-0006-0000-0200-000008000000}">
      <text>
        <r>
          <rPr>
            <sz val="9"/>
            <color indexed="81"/>
            <rFont val="Tahoma"/>
            <family val="2"/>
          </rPr>
          <t>However, if the balance in the asset in Nil then you may leave it in the cost center.
Run T-Code AS03 and enter the asset number to determine whether it is set up as depreciation. Also, check to see if the asset has already been deactivated, if so it is okay to proceed with blocking.
Please see the QRG page 11 for more complete instructions.</t>
        </r>
      </text>
    </comment>
    <comment ref="B26" authorId="0" shapeId="0" xr:uid="{00000000-0006-0000-0200-000009000000}">
      <text>
        <r>
          <rPr>
            <sz val="9"/>
            <color indexed="81"/>
            <rFont val="Tahoma"/>
            <family val="2"/>
          </rPr>
          <t>Before closing the Cost Center, you will need to remove the activity rates attached to all activity types mapped to the Cost Center in future years. (For example, if it is 2013, remove from 2014,2015,etc).
Run T-Code KSBT for the Cost Center in future years. c) Using this information, find the Activity Type Designate by company code (Under “Related Links” on the Master Data webpage) and send the report to the Designate asking to remove all activity types from the cost center. The Activity Type Designate must initiate a Master Data Workflow to remove the rates.</t>
        </r>
      </text>
    </comment>
    <comment ref="B27" authorId="0" shapeId="0" xr:uid="{00000000-0006-0000-0200-00000A000000}">
      <text>
        <r>
          <rPr>
            <sz val="9"/>
            <color indexed="81"/>
            <rFont val="Tahoma"/>
            <family val="2"/>
          </rPr>
          <t>Refer to the Onboarding Coordinator List (OBC) on Livelink for the list of Workforce Analysts. Contact the appropriate Workforce Analyst for your area (http://ecmprd.network.lan/ecmlivelinkprd/llisapi.dll?func=ll&amp;objId=237727502&amp;objAction=download&amp;viewType=1). Attach a screenshot of the CATS data found in KS03.
If the date of the CATS is in the past, then no further action is required.</t>
        </r>
      </text>
    </comment>
    <comment ref="B31" authorId="0" shapeId="0" xr:uid="{00000000-0006-0000-0200-00000B000000}">
      <text>
        <r>
          <rPr>
            <sz val="9"/>
            <color indexed="81"/>
            <rFont val="Tahoma"/>
            <family val="2"/>
          </rPr>
          <t>Valid FLOC’s should be transferred to the alternative CC. If they are not valid they should be closed. Business Units should determine this.
Email MDSS mdsharedservices@suncor.com if a transfer is required.</t>
        </r>
      </text>
    </comment>
    <comment ref="B35" authorId="0" shapeId="0" xr:uid="{00000000-0006-0000-0200-00000C000000}">
      <text>
        <r>
          <rPr>
            <sz val="9"/>
            <color indexed="81"/>
            <rFont val="Tahoma"/>
            <family val="2"/>
          </rPr>
          <t>Valid equipment objects should be transferred to the alternative CC. If they are not valid they should be closed. Business units should determine this.
Email MDSS mdsharedservices@suncor.com if a transfer is required.</t>
        </r>
      </text>
    </comment>
    <comment ref="B39" authorId="0" shapeId="0" xr:uid="{00000000-0006-0000-0200-00000D000000}">
      <text>
        <r>
          <rPr>
            <sz val="9"/>
            <color indexed="81"/>
            <rFont val="Tahoma"/>
            <family val="2"/>
          </rPr>
          <t>Valid Work Centers should be transferred to the alternative CC. If they are not valid they should be closed. Business units should determine this. Please email MDSS (mdsharedservices@suncor.com).
If the Work Center is to be closed, then a check for employees should be done by clicking HRMS. If the employee’s linkage periods have expired they do not need to be removed. However, if the linkage period is still open then the employee will need to be removed prior to closing the Work Center.
Please see the QRG for more detailed information.</t>
        </r>
      </text>
    </comment>
    <comment ref="B43" authorId="0" shapeId="0" xr:uid="{00000000-0006-0000-0200-00000E000000}">
      <text>
        <r>
          <rPr>
            <sz val="9"/>
            <color indexed="81"/>
            <rFont val="Tahoma"/>
            <family val="2"/>
          </rPr>
          <t xml:space="preserve">Any PO's that appear are open and need to be closed.
For help with PO closures contact: SCOcorpandprofessional@suncor.com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Deloitte.</author>
  </authors>
  <commentList>
    <comment ref="A1" authorId="0" shapeId="0" xr:uid="{00000000-0006-0000-0A00-000001000000}">
      <text>
        <r>
          <rPr>
            <sz val="9"/>
            <color indexed="81"/>
            <rFont val="Arial"/>
            <family val="2"/>
          </rPr>
          <t xml:space="preserve">Enter new profit center number as defined by structure. Profit center enumber ranges will fall into certain ranges for each company code. See FOP-020 appendix B for details on the number ranges. For Retail and Wholesale, user has to provide a five digit number from the KBM system. </t>
        </r>
      </text>
    </comment>
    <comment ref="B1" authorId="0" shapeId="0" xr:uid="{00000000-0006-0000-0A00-000002000000}">
      <text>
        <r>
          <rPr>
            <sz val="9"/>
            <color indexed="81"/>
            <rFont val="Arial"/>
            <family val="2"/>
          </rPr>
          <t>Confirm default for this field (Active)</t>
        </r>
      </text>
    </comment>
    <comment ref="D1" authorId="0" shapeId="0" xr:uid="{00000000-0006-0000-0A00-000003000000}">
      <text>
        <r>
          <rPr>
            <sz val="9"/>
            <color indexed="81"/>
            <rFont val="Arial"/>
            <family val="2"/>
          </rPr>
          <t>Enter the abbreviated name of the value in the Description field; maximum 20 characters long. For Montreal Refinery, enter in both French and English. See FOP-020 PDD Appendix B for more information.</t>
        </r>
      </text>
    </comment>
    <comment ref="E1" authorId="0" shapeId="0" xr:uid="{00000000-0006-0000-0A00-000004000000}">
      <text>
        <r>
          <rPr>
            <sz val="9"/>
            <color indexed="81"/>
            <rFont val="Arial"/>
            <family val="2"/>
          </rPr>
          <t>Enter the long text of the name of the value which can identify BU and other attributes; maximum 40 characters long. For Montreal Refinery, enter in both French and English. See FOP-020 PDD Appendix B for more information.</t>
        </r>
      </text>
    </comment>
    <comment ref="F1" authorId="0" shapeId="0" xr:uid="{00000000-0006-0000-0A00-000005000000}">
      <text>
        <r>
          <rPr>
            <sz val="10"/>
            <color indexed="81"/>
            <rFont val="Arial"/>
            <family val="2"/>
          </rPr>
          <t xml:space="preserve">Enter the role name of the profit center owner.
This is the position/role NAME which corresponds 
to the position ID provided on this form.
</t>
        </r>
      </text>
    </comment>
    <comment ref="G1" authorId="0" shapeId="0" xr:uid="{00000000-0006-0000-0A00-000006000000}">
      <text>
        <r>
          <rPr>
            <sz val="9"/>
            <color indexed="81"/>
            <rFont val="Arial"/>
            <family val="2"/>
          </rPr>
          <t>Enter the department in 12 characters or less. Department should correspond to Business Area or Sub Business Area on the Accountability Model.</t>
        </r>
      </text>
    </comment>
    <comment ref="J1" authorId="0" shapeId="0" xr:uid="{00000000-0006-0000-0A00-000007000000}">
      <text>
        <r>
          <rPr>
            <sz val="9"/>
            <color indexed="81"/>
            <rFont val="Arial"/>
            <family val="2"/>
          </rPr>
          <t>Check to lock the newly created profit centre from receiving postings of any kind.</t>
        </r>
      </text>
    </comment>
    <comment ref="L1" authorId="0" shapeId="0" xr:uid="{00000000-0006-0000-0A00-000008000000}">
      <text>
        <r>
          <rPr>
            <sz val="9"/>
            <color indexed="81"/>
            <rFont val="Arial"/>
            <family val="2"/>
          </rPr>
          <t>Enter the company code for the legal entity to which the Profit Center belongs.</t>
        </r>
      </text>
    </comment>
    <comment ref="M1" authorId="0" shapeId="0" xr:uid="{00000000-0006-0000-0A00-000009000000}">
      <text>
        <r>
          <rPr>
            <sz val="9"/>
            <color indexed="81"/>
            <rFont val="Arial"/>
            <family val="2"/>
          </rPr>
          <t>Enter the associated company codes with JV Accounting.</t>
        </r>
      </text>
    </comment>
    <comment ref="N1" authorId="0" shapeId="0" xr:uid="{00000000-0006-0000-0A00-00000A000000}">
      <text>
        <r>
          <rPr>
            <sz val="9"/>
            <color indexed="81"/>
            <rFont val="Arial"/>
            <family val="2"/>
          </rPr>
          <t>Enter the profit center address information if relevant. This is typically used for joint ventures and Refining and Marketing (retail sites).</t>
        </r>
      </text>
    </comment>
    <comment ref="O1" authorId="0" shapeId="0" xr:uid="{00000000-0006-0000-0A00-00000B000000}">
      <text>
        <r>
          <rPr>
            <sz val="9"/>
            <color indexed="81"/>
            <rFont val="Arial"/>
            <family val="2"/>
          </rPr>
          <t>Enter the profit center address information if relevant. This is typically used for joint ventures and Refining and Marketing (retail sites).</t>
        </r>
      </text>
    </comment>
    <comment ref="P1" authorId="0" shapeId="0" xr:uid="{00000000-0006-0000-0A00-00000C000000}">
      <text>
        <r>
          <rPr>
            <sz val="9"/>
            <color indexed="81"/>
            <rFont val="Arial"/>
            <family val="2"/>
          </rPr>
          <t>Enter the profit center address information if relevant. This is typically used for joint ventures and Refining and Marketing (retail sites).</t>
        </r>
      </text>
    </comment>
    <comment ref="Q1" authorId="0" shapeId="0" xr:uid="{00000000-0006-0000-0A00-00000D000000}">
      <text>
        <r>
          <rPr>
            <sz val="9"/>
            <color indexed="81"/>
            <rFont val="Tahoma"/>
            <family val="2"/>
          </rPr>
          <t>Required for consolidation profit centers. 
Field limitation of 10 characters.</t>
        </r>
      </text>
    </comment>
    <comment ref="R1" authorId="0" shapeId="0" xr:uid="{00000000-0006-0000-0A00-00000E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S1" authorId="0" shapeId="0" xr:uid="{00000000-0006-0000-0A00-00000F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T1" authorId="0" shapeId="0" xr:uid="{00000000-0006-0000-0A00-000010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U1" authorId="0" shapeId="0" xr:uid="{00000000-0006-0000-0A00-000011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V1" authorId="0" shapeId="0" xr:uid="{00000000-0006-0000-0A00-000012000000}">
      <text>
        <r>
          <rPr>
            <sz val="9"/>
            <color indexed="81"/>
            <rFont val="Arial"/>
            <family val="2"/>
          </rPr>
          <t>Enter the profit center address information if relevant. This is typically used for joint ventures and Refining and Marketing (retail sites).</t>
        </r>
      </text>
    </comment>
    <comment ref="W1" authorId="0" shapeId="0" xr:uid="{00000000-0006-0000-0A00-000013000000}">
      <text>
        <r>
          <rPr>
            <sz val="9"/>
            <color indexed="81"/>
            <rFont val="Arial"/>
            <family val="2"/>
          </rPr>
          <t>Enter the profit center address information if relevant. This is typically used for joint ventures and Refining and Marketing (retail sites).</t>
        </r>
      </text>
    </comment>
    <comment ref="X1" authorId="0" shapeId="0" xr:uid="{00000000-0006-0000-0A00-000014000000}">
      <text>
        <r>
          <rPr>
            <sz val="9"/>
            <color indexed="81"/>
            <rFont val="Arial"/>
            <family val="2"/>
          </rPr>
          <t>Enter the tax jurisdiction in which taxes are calculated for purchase orders and expenses. To find the distribution code, refer to a similar profit center in the company code and use the same jurisdiction code.</t>
        </r>
      </text>
    </comment>
    <comment ref="Y1" authorId="0" shapeId="0" xr:uid="{00000000-0006-0000-0A00-000015000000}">
      <text>
        <r>
          <rPr>
            <sz val="9"/>
            <color indexed="81"/>
            <rFont val="Arial"/>
            <family val="2"/>
          </rPr>
          <t>Default set to English.</t>
        </r>
      </text>
    </comment>
    <comment ref="Z1" authorId="0" shapeId="0" xr:uid="{00000000-0006-0000-0A00-000016000000}">
      <text>
        <r>
          <rPr>
            <sz val="9"/>
            <color indexed="81"/>
            <rFont val="Arial"/>
            <family val="2"/>
          </rPr>
          <t>Enter appropriate node for PBUSUNTOT hierarchy. See FOP-020 Appendix B for more information.</t>
        </r>
      </text>
    </comment>
    <comment ref="AA1" authorId="0" shapeId="0" xr:uid="{00000000-0006-0000-0A00-000017000000}">
      <text>
        <r>
          <rPr>
            <sz val="9"/>
            <color indexed="81"/>
            <rFont val="Arial"/>
            <family val="2"/>
          </rPr>
          <t>Enter the alternate hierarchy.</t>
        </r>
      </text>
    </comment>
    <comment ref="A6" authorId="0" shapeId="0" xr:uid="{00000000-0006-0000-0A00-000018000000}">
      <text>
        <r>
          <rPr>
            <sz val="9"/>
            <color indexed="81"/>
            <rFont val="Arial"/>
            <family val="2"/>
          </rPr>
          <t xml:space="preserve">Enter new profit center number as defined by structure. Profit center enumber ranges will fall into certain ranges for each company code. See FOP-020 appendix B for details on the number ranges. For Retail and Wholesale, user has to provide a five digit number from the KBM system. </t>
        </r>
      </text>
    </comment>
    <comment ref="B6" authorId="0" shapeId="0" xr:uid="{00000000-0006-0000-0A00-000019000000}">
      <text>
        <r>
          <rPr>
            <sz val="9"/>
            <color indexed="81"/>
            <rFont val="Arial"/>
            <family val="2"/>
          </rPr>
          <t>Confirm default for this field (Active)</t>
        </r>
      </text>
    </comment>
    <comment ref="D6" authorId="0" shapeId="0" xr:uid="{00000000-0006-0000-0A00-00001A000000}">
      <text>
        <r>
          <rPr>
            <sz val="9"/>
            <color indexed="81"/>
            <rFont val="Arial"/>
            <family val="2"/>
          </rPr>
          <t>Enter the abbreviated name of the value in the Description field; maximum 20 characters long. For Montreal Refinery, enter in both French and English. See FOP-020 PDD Appendix B for more information.</t>
        </r>
      </text>
    </comment>
    <comment ref="E6" authorId="0" shapeId="0" xr:uid="{00000000-0006-0000-0A00-00001B000000}">
      <text>
        <r>
          <rPr>
            <sz val="9"/>
            <color indexed="81"/>
            <rFont val="Arial"/>
            <family val="2"/>
          </rPr>
          <t>Enter the long text of the name of the value which can identify BU and other attributes; maximum 40 characters long. For Montreal Refinery, enter in both French and English. See FOP-020 PDD Appendix B for more information.</t>
        </r>
      </text>
    </comment>
    <comment ref="F6" authorId="0" shapeId="0" xr:uid="{00000000-0006-0000-0A00-00001C000000}">
      <text>
        <r>
          <rPr>
            <sz val="10"/>
            <color indexed="81"/>
            <rFont val="Arial"/>
            <family val="2"/>
          </rPr>
          <t xml:space="preserve">Enter the role name of the profit center owner.
This is the position/role NAME which corresponds 
to the position ID provided on this form.
</t>
        </r>
      </text>
    </comment>
    <comment ref="G6" authorId="0" shapeId="0" xr:uid="{00000000-0006-0000-0A00-00001D000000}">
      <text>
        <r>
          <rPr>
            <sz val="9"/>
            <color indexed="81"/>
            <rFont val="Arial"/>
            <family val="2"/>
          </rPr>
          <t>Enter the department in 12 characters or less. Department should correspond to Business Area or Sub Business Area on the Accountability Model.</t>
        </r>
      </text>
    </comment>
    <comment ref="I6" authorId="0" shapeId="0" xr:uid="{00000000-0006-0000-0A00-00001E000000}">
      <text>
        <r>
          <rPr>
            <sz val="9"/>
            <color indexed="81"/>
            <rFont val="Arial"/>
            <family val="2"/>
          </rPr>
          <t>Check to lock the newly created profit centre from receiving postings of any kind.</t>
        </r>
      </text>
    </comment>
    <comment ref="J6" authorId="0" shapeId="0" xr:uid="{00000000-0006-0000-0A00-00001F000000}">
      <text>
        <r>
          <rPr>
            <sz val="9"/>
            <color indexed="81"/>
            <rFont val="Tahoma"/>
            <family val="2"/>
          </rPr>
          <t>Required for consolidation profit centers. 
Field limitation of 10 characters.</t>
        </r>
      </text>
    </comment>
    <comment ref="K6" authorId="0" shapeId="0" xr:uid="{00000000-0006-0000-0A00-000020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L6" authorId="0" shapeId="0" xr:uid="{00000000-0006-0000-0A00-000021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M6" authorId="0" shapeId="0" xr:uid="{00000000-0006-0000-0A00-000022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N6" authorId="0" shapeId="0" xr:uid="{00000000-0006-0000-0A00-000023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O6" authorId="0" shapeId="0" xr:uid="{00000000-0006-0000-0A00-000024000000}">
      <text>
        <r>
          <rPr>
            <sz val="9"/>
            <color indexed="81"/>
            <rFont val="Arial"/>
            <family val="2"/>
          </rPr>
          <t>Enter the profit center address information if relevant. This is typically used for joint ventures and Refining and Marketing (retail sites).</t>
        </r>
      </text>
    </comment>
    <comment ref="P6" authorId="0" shapeId="0" xr:uid="{00000000-0006-0000-0A00-000025000000}">
      <text>
        <r>
          <rPr>
            <sz val="9"/>
            <color indexed="81"/>
            <rFont val="Arial"/>
            <family val="2"/>
          </rPr>
          <t>Enter the profit center address information if relevant. This is typically used for joint ventures and Refining and Marketing (retail sites).</t>
        </r>
      </text>
    </comment>
    <comment ref="Q6" authorId="0" shapeId="0" xr:uid="{00000000-0006-0000-0A00-000026000000}">
      <text>
        <r>
          <rPr>
            <sz val="9"/>
            <color indexed="81"/>
            <rFont val="Arial"/>
            <family val="2"/>
          </rPr>
          <t>Enter appropriate node for PBUSUNTOT hierarchy. See FOP-020 Appendix B for more information.</t>
        </r>
      </text>
    </comment>
    <comment ref="R6" authorId="0" shapeId="0" xr:uid="{00000000-0006-0000-0A00-000027000000}">
      <text>
        <r>
          <rPr>
            <sz val="9"/>
            <color indexed="81"/>
            <rFont val="Arial"/>
            <family val="2"/>
          </rPr>
          <t>Enter the alternate hierarchy.</t>
        </r>
      </text>
    </comment>
    <comment ref="A11" authorId="0" shapeId="0" xr:uid="{00000000-0006-0000-0A00-000028000000}">
      <text>
        <r>
          <rPr>
            <sz val="9"/>
            <color indexed="81"/>
            <rFont val="Arial"/>
            <family val="2"/>
          </rPr>
          <t xml:space="preserve">Enter new profit center number as defined by structure. Profit center enumber ranges will fall into certain ranges for each company code. See FOP-020 appendix B for details on the number ranges. For Retail and Wholesale, user has to provide a five digit number from the KBM system. </t>
        </r>
      </text>
    </comment>
    <comment ref="B11" authorId="0" shapeId="0" xr:uid="{00000000-0006-0000-0A00-000029000000}">
      <text>
        <r>
          <rPr>
            <sz val="9"/>
            <color indexed="81"/>
            <rFont val="Arial"/>
            <family val="2"/>
          </rPr>
          <t>Confirm default for this field (Active)</t>
        </r>
      </text>
    </comment>
    <comment ref="D11" authorId="0" shapeId="0" xr:uid="{00000000-0006-0000-0A00-00002A000000}">
      <text>
        <r>
          <rPr>
            <sz val="9"/>
            <color indexed="81"/>
            <rFont val="Arial"/>
            <family val="2"/>
          </rPr>
          <t>Enter the abbreviated name of the value in the Description field; maximum 20 characters long. For Montreal Refinery, enter in both French and English. See FOP-020 PDD Appendix B for more information.</t>
        </r>
      </text>
    </comment>
    <comment ref="E11" authorId="0" shapeId="0" xr:uid="{00000000-0006-0000-0A00-00002B000000}">
      <text>
        <r>
          <rPr>
            <sz val="9"/>
            <color indexed="81"/>
            <rFont val="Arial"/>
            <family val="2"/>
          </rPr>
          <t>Enter the long text of the name of the value which can identify BU and other attributes; maximum 40 characters long. For Montreal Refinery, enter in both French and English. See FOP-020 PDD Appendix B for more information.</t>
        </r>
      </text>
    </comment>
    <comment ref="F11" authorId="0" shapeId="0" xr:uid="{00000000-0006-0000-0A00-00002C000000}">
      <text>
        <r>
          <rPr>
            <sz val="10"/>
            <color indexed="81"/>
            <rFont val="Arial"/>
            <family val="2"/>
          </rPr>
          <t xml:space="preserve">Enter the role name of the profit center owner.
This is the position/role NAME which corresponds 
to the position ID provided on this form.
</t>
        </r>
      </text>
    </comment>
    <comment ref="G11" authorId="0" shapeId="0" xr:uid="{00000000-0006-0000-0A00-00002D000000}">
      <text>
        <r>
          <rPr>
            <sz val="9"/>
            <color indexed="81"/>
            <rFont val="Arial"/>
            <family val="2"/>
          </rPr>
          <t>Enter the department in 12 characters or less. Department should correspond to Business Area or Sub Business Area on the Accountability Model.</t>
        </r>
      </text>
    </comment>
    <comment ref="I11" authorId="0" shapeId="0" xr:uid="{00000000-0006-0000-0A00-00002E000000}">
      <text>
        <r>
          <rPr>
            <sz val="9"/>
            <color indexed="81"/>
            <rFont val="Arial"/>
            <family val="2"/>
          </rPr>
          <t>Check to lock the newly created profit centre from receiving postings of any kind.</t>
        </r>
      </text>
    </comment>
    <comment ref="J11" authorId="0" shapeId="0" xr:uid="{00000000-0006-0000-0A00-00002F000000}">
      <text>
        <r>
          <rPr>
            <sz val="9"/>
            <color indexed="81"/>
            <rFont val="Tahoma"/>
            <family val="2"/>
          </rPr>
          <t>Required for consolidation profit centers. 
Field limitation of 10 characters.</t>
        </r>
      </text>
    </comment>
    <comment ref="K11" authorId="0" shapeId="0" xr:uid="{00000000-0006-0000-0A00-000030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L11" authorId="0" shapeId="0" xr:uid="{00000000-0006-0000-0A00-000031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M11" authorId="0" shapeId="0" xr:uid="{00000000-0006-0000-0A00-000032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N11" authorId="0" shapeId="0" xr:uid="{00000000-0006-0000-0A00-000033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O11" authorId="0" shapeId="0" xr:uid="{00000000-0006-0000-0A00-000034000000}">
      <text>
        <r>
          <rPr>
            <sz val="9"/>
            <color indexed="81"/>
            <rFont val="Arial"/>
            <family val="2"/>
          </rPr>
          <t>Enter the profit center address information if relevant. This is typically used for joint ventures and Refining and Marketing (retail sites).</t>
        </r>
      </text>
    </comment>
    <comment ref="P11" authorId="0" shapeId="0" xr:uid="{00000000-0006-0000-0A00-000035000000}">
      <text>
        <r>
          <rPr>
            <sz val="9"/>
            <color indexed="81"/>
            <rFont val="Arial"/>
            <family val="2"/>
          </rPr>
          <t>Enter the profit center address information if relevant. This is typically used for joint ventures and Refining and Marketing (retail sites).</t>
        </r>
      </text>
    </comment>
    <comment ref="Q11" authorId="0" shapeId="0" xr:uid="{00000000-0006-0000-0A00-000036000000}">
      <text>
        <r>
          <rPr>
            <sz val="9"/>
            <color indexed="81"/>
            <rFont val="Arial"/>
            <family val="2"/>
          </rPr>
          <t>Enter appropriate node for PBUSUNTOT hierarchy. See FOP-020 Appendix B for more information.</t>
        </r>
      </text>
    </comment>
    <comment ref="R11" authorId="0" shapeId="0" xr:uid="{00000000-0006-0000-0A00-000037000000}">
      <text>
        <r>
          <rPr>
            <sz val="9"/>
            <color indexed="81"/>
            <rFont val="Arial"/>
            <family val="2"/>
          </rPr>
          <t>Enter the alternate hierarchy.</t>
        </r>
      </text>
    </comment>
    <comment ref="A16" authorId="0" shapeId="0" xr:uid="{00000000-0006-0000-0A00-000038000000}">
      <text>
        <r>
          <rPr>
            <sz val="9"/>
            <color indexed="81"/>
            <rFont val="Arial"/>
            <family val="2"/>
          </rPr>
          <t>Enter the profit center address information if relevant. This is typically used for joint ventures and Refining and Marketing (retail sites).</t>
        </r>
      </text>
    </comment>
    <comment ref="B16" authorId="0" shapeId="0" xr:uid="{00000000-0006-0000-0A00-000039000000}">
      <text>
        <r>
          <rPr>
            <sz val="9"/>
            <color indexed="81"/>
            <rFont val="Arial"/>
            <family val="2"/>
          </rPr>
          <t>Enter the profit center address information if relevant. This is typically used for joint ventures and Refining and Marketing (retail sites).</t>
        </r>
      </text>
    </comment>
    <comment ref="C16" authorId="0" shapeId="0" xr:uid="{00000000-0006-0000-0A00-00003A000000}">
      <text>
        <r>
          <rPr>
            <sz val="9"/>
            <color indexed="81"/>
            <rFont val="Arial"/>
            <family val="2"/>
          </rPr>
          <t>Enter the profit center address information if relevant. This is typically used for joint ventures and Refining and Marketing (retail sites).</t>
        </r>
      </text>
    </comment>
    <comment ref="A21" authorId="0" shapeId="0" xr:uid="{00000000-0006-0000-0A00-00003B000000}">
      <text>
        <r>
          <rPr>
            <sz val="9"/>
            <color indexed="81"/>
            <rFont val="Arial"/>
            <family val="2"/>
          </rPr>
          <t xml:space="preserve">Enter new profit center number as defined by structure. Profit center enumber ranges will fall into certain ranges for each company code. See FOP-020 appendix B for details on the number ranges. For Retail and Wholesale, user has to provide a five digit number from the KBM system. </t>
        </r>
      </text>
    </comment>
    <comment ref="B21" authorId="0" shapeId="0" xr:uid="{00000000-0006-0000-0A00-00003C000000}">
      <text>
        <r>
          <rPr>
            <sz val="9"/>
            <color indexed="81"/>
            <rFont val="Arial"/>
            <family val="2"/>
          </rPr>
          <t>Enter the abbreviated name of the value in the Description field; maximum 20 characters long. For Montreal Refinery, enter in both French and English. See FOP-020 PDD Appendix B for more information.</t>
        </r>
      </text>
    </comment>
    <comment ref="C21" authorId="0" shapeId="0" xr:uid="{00000000-0006-0000-0A00-00003D000000}">
      <text>
        <r>
          <rPr>
            <sz val="9"/>
            <color indexed="81"/>
            <rFont val="Arial"/>
            <family val="2"/>
          </rPr>
          <t>Enter the long text of the name of the value which can identify BU and other attributes; maximum 40 characters long. For Montreal Refinery, enter in both French and English. See FOP-020 PDD Appendix B for more information.</t>
        </r>
      </text>
    </comment>
    <comment ref="D21" authorId="0" shapeId="0" xr:uid="{00000000-0006-0000-0A00-00003E000000}">
      <text>
        <r>
          <rPr>
            <sz val="10"/>
            <color indexed="81"/>
            <rFont val="Arial"/>
            <family val="2"/>
          </rPr>
          <t xml:space="preserve">Enter the role name of the profit center owner.
This is the position/role NAME which corresponds 
to the position ID provided on this form.
</t>
        </r>
      </text>
    </comment>
    <comment ref="E21" authorId="0" shapeId="0" xr:uid="{00000000-0006-0000-0A00-00003F000000}">
      <text>
        <r>
          <rPr>
            <sz val="9"/>
            <color indexed="81"/>
            <rFont val="Arial"/>
            <family val="2"/>
          </rPr>
          <t>Enter the department in 12 characters or less. Department should correspond to Business Area or Sub Business Area on the Accountability Model.</t>
        </r>
      </text>
    </comment>
    <comment ref="A26" authorId="0" shapeId="0" xr:uid="{00000000-0006-0000-0A00-000040000000}">
      <text>
        <r>
          <rPr>
            <sz val="9"/>
            <color indexed="81"/>
            <rFont val="Arial"/>
            <family val="2"/>
          </rPr>
          <t xml:space="preserve">Enter new profit center number as defined by structure. Profit center enumber ranges will fall into certain ranges for each company code. See FOP-020 appendix B for details on the number ranges. For Retail and Wholesale, user has to provide a five digit number from the KBM system. </t>
        </r>
      </text>
    </comment>
    <comment ref="B26" authorId="0" shapeId="0" xr:uid="{00000000-0006-0000-0A00-000041000000}">
      <text>
        <r>
          <rPr>
            <sz val="9"/>
            <color indexed="81"/>
            <rFont val="Arial"/>
            <family val="2"/>
          </rPr>
          <t>Enter the abbreviated name of the value in the Description field; maximum 20 characters long. For Montreal Refinery, enter in both French and English. See FOP-020 PDD Appendix B for more information.</t>
        </r>
      </text>
    </comment>
    <comment ref="C26" authorId="0" shapeId="0" xr:uid="{00000000-0006-0000-0A00-000042000000}">
      <text>
        <r>
          <rPr>
            <sz val="9"/>
            <color indexed="81"/>
            <rFont val="Arial"/>
            <family val="2"/>
          </rPr>
          <t>Enter the long text of the name of the value which can identify BU and other attributes; maximum 40 characters long. For Montreal Refinery, enter in both French and English. See FOP-020 PDD Appendix B for more information.</t>
        </r>
      </text>
    </comment>
    <comment ref="D26" authorId="0" shapeId="0" xr:uid="{00000000-0006-0000-0A00-000043000000}">
      <text>
        <r>
          <rPr>
            <sz val="10"/>
            <color indexed="81"/>
            <rFont val="Arial"/>
            <family val="2"/>
          </rPr>
          <t xml:space="preserve">Enter the role name of the profit center owner.
This is the position/role NAME which corresponds 
to the position ID provided on this form.
</t>
        </r>
      </text>
    </comment>
    <comment ref="E26" authorId="0" shapeId="0" xr:uid="{00000000-0006-0000-0A00-000044000000}">
      <text>
        <r>
          <rPr>
            <sz val="9"/>
            <color indexed="81"/>
            <rFont val="Arial"/>
            <family val="2"/>
          </rPr>
          <t>Enter the department in 12 characters or less. Department should correspond to Business Area or Sub Business Area on the Accountability Model.</t>
        </r>
      </text>
    </comment>
    <comment ref="A31" authorId="0" shapeId="0" xr:uid="{00000000-0006-0000-0A00-000045000000}">
      <text>
        <r>
          <rPr>
            <sz val="9"/>
            <color indexed="81"/>
            <rFont val="Arial"/>
            <family val="2"/>
          </rPr>
          <t>Enter the profit center address information if relevant. This is typically used for joint ventures and Refining and Marketing (retail sites).</t>
        </r>
      </text>
    </comment>
    <comment ref="B31" authorId="0" shapeId="0" xr:uid="{00000000-0006-0000-0A00-000046000000}">
      <text>
        <r>
          <rPr>
            <sz val="9"/>
            <color indexed="81"/>
            <rFont val="Arial"/>
            <family val="2"/>
          </rPr>
          <t>Enter the profit center address information if relevant. This is typically used for joint ventures and Refining and Marketing (retail sites).</t>
        </r>
      </text>
    </comment>
    <comment ref="C31" authorId="0" shapeId="0" xr:uid="{00000000-0006-0000-0A00-000047000000}">
      <text>
        <r>
          <rPr>
            <sz val="9"/>
            <color indexed="81"/>
            <rFont val="Arial"/>
            <family val="2"/>
          </rPr>
          <t>Enter the profit center address information if relevant. This is typically used for joint ventures and Refining and Marketing (retail sites).</t>
        </r>
      </text>
    </comment>
    <comment ref="D31" authorId="0" shapeId="0" xr:uid="{00000000-0006-0000-0A00-000048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E31" authorId="0" shapeId="0" xr:uid="{00000000-0006-0000-0A00-000049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F31" authorId="0" shapeId="0" xr:uid="{00000000-0006-0000-0A00-00004A000000}">
      <text>
        <r>
          <rPr>
            <sz val="9"/>
            <color indexed="81"/>
            <rFont val="Arial"/>
            <family val="2"/>
          </rPr>
          <t>Enter the profit center address information if relevant. This is typically used for joint ventures and Refining and Marketing (retail sites).</t>
        </r>
      </text>
    </comment>
    <comment ref="G31" authorId="0" shapeId="0" xr:uid="{00000000-0006-0000-0A00-00004B000000}">
      <text>
        <r>
          <rPr>
            <sz val="9"/>
            <color indexed="81"/>
            <rFont val="Arial"/>
            <family val="2"/>
          </rPr>
          <t>Enter the profit center address information if relevant. This is typically used for joint ventures and Refining and Marketing (retail sites).</t>
        </r>
      </text>
    </comment>
    <comment ref="H31" authorId="0" shapeId="0" xr:uid="{00000000-0006-0000-0A00-00004C000000}">
      <text>
        <r>
          <rPr>
            <sz val="9"/>
            <color indexed="81"/>
            <rFont val="Arial"/>
            <family val="2"/>
          </rPr>
          <t>Enter appropriate node for PBUSUNTOT hierarchy. See FOP-020 Appendix B for more information.</t>
        </r>
      </text>
    </comment>
    <comment ref="I31" authorId="0" shapeId="0" xr:uid="{00000000-0006-0000-0A00-00004D000000}">
      <text>
        <r>
          <rPr>
            <sz val="9"/>
            <color indexed="81"/>
            <rFont val="Arial"/>
            <family val="2"/>
          </rPr>
          <t>Enter the alternate hierarchy.</t>
        </r>
      </text>
    </comment>
    <comment ref="K31" authorId="0" shapeId="0" xr:uid="{00000000-0006-0000-0A00-00004E000000}">
      <text>
        <r>
          <rPr>
            <sz val="9"/>
            <color indexed="81"/>
            <rFont val="Arial"/>
            <family val="2"/>
          </rPr>
          <t>Enter the profit center address information if relevant. This is typically used for joint ventures and Refining and Marketing (retail sites).</t>
        </r>
      </text>
    </comment>
    <comment ref="L31" authorId="0" shapeId="0" xr:uid="{00000000-0006-0000-0A00-00004F000000}">
      <text>
        <r>
          <rPr>
            <sz val="9"/>
            <color indexed="81"/>
            <rFont val="Arial"/>
            <family val="2"/>
          </rPr>
          <t>Enter the profit center address information if relevant. This is typically used for joint ventures and Refining and Marketing (retail sites).</t>
        </r>
      </text>
    </comment>
    <comment ref="M31" authorId="0" shapeId="0" xr:uid="{00000000-0006-0000-0A00-000050000000}">
      <text>
        <r>
          <rPr>
            <sz val="9"/>
            <color indexed="81"/>
            <rFont val="Arial"/>
            <family val="2"/>
          </rPr>
          <t>Enter the profit center address information if relevant. This is typically used for joint ventures and Refining and Marketing (retail sites).</t>
        </r>
      </text>
    </comment>
    <comment ref="A36" authorId="0" shapeId="0" xr:uid="{00000000-0006-0000-0A00-000051000000}">
      <text>
        <r>
          <rPr>
            <sz val="9"/>
            <color indexed="81"/>
            <rFont val="Arial"/>
            <family val="2"/>
          </rPr>
          <t xml:space="preserve">Enter new profit center number as defined by structure. Profit center enumber ranges will fall into certain ranges for each company code. See FOP-020 appendix B for details on the number ranges. For Retail and Wholesale, user has to provide a five digit number from the KBM system. </t>
        </r>
      </text>
    </comment>
    <comment ref="B36" authorId="0" shapeId="0" xr:uid="{00000000-0006-0000-0A00-000052000000}">
      <text>
        <r>
          <rPr>
            <sz val="9"/>
            <color indexed="81"/>
            <rFont val="Arial"/>
            <family val="2"/>
          </rPr>
          <t>Confirm default for this field (Active)</t>
        </r>
      </text>
    </comment>
    <comment ref="C36" authorId="0" shapeId="0" xr:uid="{00000000-0006-0000-0A00-000053000000}">
      <text>
        <r>
          <rPr>
            <sz val="9"/>
            <color indexed="81"/>
            <rFont val="Arial"/>
            <family val="2"/>
          </rPr>
          <t>Enter the abbreviated name of the value in the Description field; maximum 20 characters long. For Montreal Refinery, enter in both French and English. See FOP-020 PDD Appendix B for more information.</t>
        </r>
      </text>
    </comment>
    <comment ref="D36" authorId="0" shapeId="0" xr:uid="{00000000-0006-0000-0A00-000054000000}">
      <text>
        <r>
          <rPr>
            <sz val="9"/>
            <color indexed="81"/>
            <rFont val="Arial"/>
            <family val="2"/>
          </rPr>
          <t>Enter the long text of the name of the value which can identify BU and other attributes; maximum 40 characters long. For Montreal Refinery, enter in both French and English. See FOP-020 PDD Appendix B for more information.</t>
        </r>
      </text>
    </comment>
    <comment ref="E36" authorId="0" shapeId="0" xr:uid="{00000000-0006-0000-0A00-000055000000}">
      <text>
        <r>
          <rPr>
            <sz val="10"/>
            <color indexed="81"/>
            <rFont val="Arial"/>
            <family val="2"/>
          </rPr>
          <t xml:space="preserve">Enter the role name of the profit center owner.
This is the position/role NAME which corresponds 
to the position ID provided on this form.
</t>
        </r>
      </text>
    </comment>
    <comment ref="F36" authorId="0" shapeId="0" xr:uid="{00000000-0006-0000-0A00-000056000000}">
      <text>
        <r>
          <rPr>
            <sz val="9"/>
            <color indexed="81"/>
            <rFont val="Arial"/>
            <family val="2"/>
          </rPr>
          <t>Check to lock the newly created profit centre from receiving postings of any kind.</t>
        </r>
      </text>
    </comment>
    <comment ref="A41" authorId="0" shapeId="0" xr:uid="{00000000-0006-0000-0A00-000057000000}">
      <text>
        <r>
          <rPr>
            <sz val="9"/>
            <color indexed="81"/>
            <rFont val="Arial"/>
            <family val="2"/>
          </rPr>
          <t xml:space="preserve">Enter new profit center number as defined by structure. Profit center enumber ranges will fall into certain ranges for each company code. See FOP-020 appendix B for details on the number ranges. For Retail and Wholesale, user has to provide a five digit number from the KBM system. </t>
        </r>
      </text>
    </comment>
    <comment ref="B41" authorId="0" shapeId="0" xr:uid="{00000000-0006-0000-0A00-000058000000}">
      <text>
        <r>
          <rPr>
            <sz val="9"/>
            <color indexed="81"/>
            <rFont val="Arial"/>
            <family val="2"/>
          </rPr>
          <t>Confirm default for this field (Active)</t>
        </r>
      </text>
    </comment>
    <comment ref="C41" authorId="0" shapeId="0" xr:uid="{00000000-0006-0000-0A00-000059000000}">
      <text>
        <r>
          <rPr>
            <sz val="9"/>
            <color indexed="81"/>
            <rFont val="Arial"/>
            <family val="2"/>
          </rPr>
          <t>Enter the abbreviated name of the value in the Description field; maximum 20 characters long. For Montreal Refinery, enter in both French and English. See FOP-020 PDD Appendix B for more information.</t>
        </r>
      </text>
    </comment>
    <comment ref="D41" authorId="0" shapeId="0" xr:uid="{00000000-0006-0000-0A00-00005A000000}">
      <text>
        <r>
          <rPr>
            <sz val="9"/>
            <color indexed="81"/>
            <rFont val="Arial"/>
            <family val="2"/>
          </rPr>
          <t>Enter the long text of the name of the value which can identify BU and other attributes; maximum 40 characters long. For Montreal Refinery, enter in both French and English. See FOP-020 PDD Appendix B for more information.</t>
        </r>
      </text>
    </comment>
    <comment ref="E41" authorId="0" shapeId="0" xr:uid="{00000000-0006-0000-0A00-00005B000000}">
      <text>
        <r>
          <rPr>
            <sz val="10"/>
            <color indexed="81"/>
            <rFont val="Arial"/>
            <family val="2"/>
          </rPr>
          <t xml:space="preserve">Enter the role name of the profit center owner.
This is the position/role NAME which corresponds 
to the position ID provided on this form.
</t>
        </r>
      </text>
    </comment>
    <comment ref="F41" authorId="0" shapeId="0" xr:uid="{00000000-0006-0000-0A00-00005C000000}">
      <text>
        <r>
          <rPr>
            <sz val="9"/>
            <color indexed="81"/>
            <rFont val="Arial"/>
            <family val="2"/>
          </rPr>
          <t>Check to lock the newly created profit centre from receiving postings of any kind.</t>
        </r>
      </text>
    </comment>
    <comment ref="A46" authorId="0" shapeId="0" xr:uid="{00000000-0006-0000-0A00-00005D000000}">
      <text>
        <r>
          <rPr>
            <sz val="9"/>
            <color indexed="81"/>
            <rFont val="Arial"/>
            <family val="2"/>
          </rPr>
          <t>Enter the department in 12 characters or less. Department should correspond to Business Area or Sub Business Area on the Accountability Model.</t>
        </r>
      </text>
    </comment>
    <comment ref="B46" authorId="0" shapeId="0" xr:uid="{00000000-0006-0000-0A00-00005E000000}">
      <text>
        <r>
          <rPr>
            <sz val="9"/>
            <color indexed="81"/>
            <rFont val="Arial"/>
            <family val="2"/>
          </rPr>
          <t>Enter the profit center address information if relevant. This is typically used for joint ventures and Refining and Marketing (retail sites).</t>
        </r>
      </text>
    </comment>
    <comment ref="C46" authorId="0" shapeId="0" xr:uid="{00000000-0006-0000-0A00-00005F000000}">
      <text>
        <r>
          <rPr>
            <sz val="9"/>
            <color indexed="81"/>
            <rFont val="Arial"/>
            <family val="2"/>
          </rPr>
          <t>Enter the profit center address information if relevant. This is typically used for joint ventures and Refining and Marketing (retail sites).</t>
        </r>
      </text>
    </comment>
    <comment ref="D46" authorId="0" shapeId="0" xr:uid="{00000000-0006-0000-0A00-000060000000}">
      <text>
        <r>
          <rPr>
            <sz val="9"/>
            <color indexed="81"/>
            <rFont val="Arial"/>
            <family val="2"/>
          </rPr>
          <t>Enter the profit center address information if relevant. This is typically used for joint ventures and Refining and Marketing (retail sites).</t>
        </r>
      </text>
    </comment>
    <comment ref="E46" authorId="0" shapeId="0" xr:uid="{00000000-0006-0000-0A00-000061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F46" authorId="0" shapeId="0" xr:uid="{00000000-0006-0000-0A00-000062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G46" authorId="0" shapeId="0" xr:uid="{00000000-0006-0000-0A00-000063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H46" authorId="0" shapeId="0" xr:uid="{00000000-0006-0000-0A00-000064000000}">
      <text>
        <r>
          <rPr>
            <sz val="9"/>
            <color indexed="81"/>
            <rFont val="Arial"/>
            <family val="2"/>
          </rPr>
          <t>Enter the profit center address information if relevant. This is typically used for joint ventures and Refining and Marketing (retail sites). Must be populated for Retail/Wholesale sites.</t>
        </r>
      </text>
    </comment>
    <comment ref="I46" authorId="0" shapeId="0" xr:uid="{00000000-0006-0000-0A00-000065000000}">
      <text>
        <r>
          <rPr>
            <sz val="9"/>
            <color indexed="81"/>
            <rFont val="Arial"/>
            <family val="2"/>
          </rPr>
          <t>Enter the profit center address information if relevant. This is typically used for joint ventures and Refining and Marketing (retail sites).</t>
        </r>
      </text>
    </comment>
    <comment ref="J46" authorId="0" shapeId="0" xr:uid="{00000000-0006-0000-0A00-000066000000}">
      <text>
        <r>
          <rPr>
            <sz val="9"/>
            <color indexed="81"/>
            <rFont val="Arial"/>
            <family val="2"/>
          </rPr>
          <t>Enter the profit center address information if relevant. This is typically used for joint ventures and Refining and Marketing (retail sites).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Deloitte.</author>
  </authors>
  <commentList>
    <comment ref="B12" authorId="0" shapeId="0" xr:uid="{00000000-0006-0000-0B00-000001000000}">
      <text>
        <r>
          <rPr>
            <sz val="9"/>
            <color indexed="81"/>
            <rFont val="Arial"/>
            <family val="2"/>
          </rPr>
          <t>Indicate the type of hiearchy/group</t>
        </r>
      </text>
    </comment>
    <comment ref="G13" authorId="0" shapeId="0" xr:uid="{00000000-0006-0000-0B00-000002000000}">
      <text>
        <r>
          <rPr>
            <sz val="9"/>
            <color indexed="81"/>
            <rFont val="Tahoma"/>
            <family val="2"/>
          </rPr>
          <t>Enter the date the request is made.</t>
        </r>
      </text>
    </comment>
    <comment ref="G15" authorId="0" shapeId="0" xr:uid="{00000000-0006-0000-0B00-000003000000}">
      <text>
        <r>
          <rPr>
            <sz val="9"/>
            <color indexed="81"/>
            <rFont val="Tahoma"/>
            <family val="2"/>
          </rPr>
          <t>Enter the name of the end user who is making the request.</t>
        </r>
      </text>
    </comment>
    <comment ref="G17" authorId="0" shapeId="0" xr:uid="{00000000-0006-0000-0B00-000004000000}">
      <text>
        <r>
          <rPr>
            <sz val="9"/>
            <color indexed="81"/>
            <rFont val="Tahoma"/>
            <family val="2"/>
          </rPr>
          <t>Enter the business unit/function to which the end user belongs.</t>
        </r>
      </text>
    </comment>
  </commentList>
</comments>
</file>

<file path=xl/sharedStrings.xml><?xml version="1.0" encoding="utf-8"?>
<sst xmlns="http://schemas.openxmlformats.org/spreadsheetml/2006/main" count="2062" uniqueCount="940">
  <si>
    <t>SMART Form QRG:</t>
  </si>
  <si>
    <t>SMART Form QRG.docx</t>
  </si>
  <si>
    <t>Cost Objects</t>
  </si>
  <si>
    <t>Request Type</t>
  </si>
  <si>
    <t>Cost Center</t>
  </si>
  <si>
    <t>GL Accounts</t>
  </si>
  <si>
    <t>Profit Centers</t>
  </si>
  <si>
    <t>Activity Types</t>
  </si>
  <si>
    <t>Activity Rates</t>
  </si>
  <si>
    <t>Hierarchy Changes</t>
  </si>
  <si>
    <t>Requestor Name</t>
  </si>
  <si>
    <t>Request Date</t>
  </si>
  <si>
    <t>Business Unit</t>
  </si>
  <si>
    <t>Reason and Rational</t>
  </si>
  <si>
    <t xml:space="preserve">Company Code </t>
  </si>
  <si>
    <t>Legal Entity Name</t>
  </si>
  <si>
    <t xml:space="preserve">Checklist Overview:  There are a number of objects/processes that may be affected by blocking a Cost Center.  Prior to requesting that a Cost Center be blocked, analysis of the objects/processes in this form should be performed and action taken, if required.  If the Cost Center impacts an object, the object should be closed or re-assigned a new Cost Center as appropriate.    </t>
  </si>
  <si>
    <t>Multiple Cost Center Block Checklist</t>
  </si>
  <si>
    <r>
      <t xml:space="preserve">  as an Attachment to MDCR Form: </t>
    </r>
    <r>
      <rPr>
        <b/>
        <sz val="10"/>
        <rFont val="Arial"/>
        <family val="2"/>
      </rPr>
      <t>XXXXXX</t>
    </r>
  </si>
  <si>
    <r>
      <rPr>
        <sz val="8"/>
        <rFont val="Arial"/>
        <family val="2"/>
      </rPr>
      <t>Please complete all sections of this form to support your request to block Cost Center(s).  Comments are optional and all other fields are required.  
Please send this form to your Business Unit/Function Finance Representative for approval via the master data workflow process. Please see Finance 411 
for a list of these designees</t>
    </r>
    <r>
      <rPr>
        <u/>
        <sz val="10"/>
        <color theme="10"/>
        <rFont val="Arial"/>
        <family val="2"/>
      </rPr>
      <t xml:space="preserve"> </t>
    </r>
    <r>
      <rPr>
        <u/>
        <sz val="8"/>
        <color theme="10"/>
        <rFont val="Arial"/>
        <family val="2"/>
      </rPr>
      <t xml:space="preserve">(http://thecore.network.lan/en/depts/Finance/Pages/MasterData.aspx). </t>
    </r>
    <r>
      <rPr>
        <u/>
        <sz val="10"/>
        <color theme="10"/>
        <rFont val="Arial"/>
        <family val="2"/>
      </rPr>
      <t xml:space="preserve">
</t>
    </r>
  </si>
  <si>
    <r>
      <rPr>
        <sz val="8"/>
        <rFont val="Arial"/>
        <family val="2"/>
      </rPr>
      <t xml:space="preserve">Your BU/FFR will then submit it to FI&amp;O via the workflow process. 
A master data workflow QRG is available on the Finance 411 website. A quick reference guide for blocking cost centers is also available on the Master Data webpage </t>
    </r>
    <r>
      <rPr>
        <u/>
        <sz val="8"/>
        <color theme="10"/>
        <rFont val="Arial"/>
        <family val="2"/>
      </rPr>
      <t>(http://ecmprd.network.lan/ecmlivelinkprd/livelink.exe?func=ll&amp;objId=281750818&amp;objAction=download&amp;viewType=1).</t>
    </r>
  </si>
  <si>
    <t>Cost Center Number(s) to be Blocked</t>
  </si>
  <si>
    <r>
      <t xml:space="preserve">SAP Report </t>
    </r>
    <r>
      <rPr>
        <b/>
        <sz val="2"/>
        <rFont val="Tahoma"/>
        <family val="2"/>
      </rPr>
      <t xml:space="preserve">
</t>
    </r>
  </si>
  <si>
    <r>
      <t xml:space="preserve">Detailed Step Descriptions </t>
    </r>
    <r>
      <rPr>
        <b/>
        <sz val="2"/>
        <rFont val="Tahoma"/>
        <family val="2"/>
      </rPr>
      <t xml:space="preserve">
</t>
    </r>
  </si>
  <si>
    <r>
      <t xml:space="preserve">Responsible </t>
    </r>
    <r>
      <rPr>
        <b/>
        <sz val="2"/>
        <rFont val="Tahoma"/>
        <family val="2"/>
      </rPr>
      <t xml:space="preserve">
</t>
    </r>
  </si>
  <si>
    <t>Alternate/Replacement Cost Center Number(s)</t>
  </si>
  <si>
    <r>
      <t xml:space="preserve">Comments </t>
    </r>
    <r>
      <rPr>
        <b/>
        <sz val="2"/>
        <rFont val="Tahoma"/>
        <family val="2"/>
      </rPr>
      <t xml:space="preserve">
</t>
    </r>
  </si>
  <si>
    <t xml:space="preserve">Cost Center: Actual Line Items
</t>
  </si>
  <si>
    <t>BU/FFR</t>
  </si>
  <si>
    <r>
      <t xml:space="preserve">Run </t>
    </r>
    <r>
      <rPr>
        <b/>
        <sz val="10"/>
        <rFont val="Tahoma"/>
        <family val="2"/>
      </rPr>
      <t>KSB1</t>
    </r>
    <r>
      <rPr>
        <sz val="10"/>
        <rFont val="Tahoma"/>
        <family val="2"/>
      </rPr>
      <t xml:space="preserve"> to view postings to the Cost Center</t>
    </r>
  </si>
  <si>
    <t>Cost Center Where Used List 
(does not include PM/Proj/MM transactions below)</t>
  </si>
  <si>
    <r>
      <t xml:space="preserve">Run </t>
    </r>
    <r>
      <rPr>
        <b/>
        <sz val="10"/>
        <rFont val="Tahoma"/>
        <family val="2"/>
      </rPr>
      <t xml:space="preserve">KS03 </t>
    </r>
  </si>
  <si>
    <t>Menu path when viewing Cost Center - 
Environment / Where-Used List / Overall Values</t>
  </si>
  <si>
    <r>
      <t xml:space="preserve">Distribution Rules </t>
    </r>
    <r>
      <rPr>
        <i/>
        <sz val="8"/>
        <color rgb="FFFF0000"/>
        <rFont val="Tahoma"/>
        <family val="2"/>
      </rPr>
      <t>Notify Allocations &amp; Cycles if data exists after Cost center has been Blocked</t>
    </r>
  </si>
  <si>
    <r>
      <t xml:space="preserve">Settlement rules </t>
    </r>
    <r>
      <rPr>
        <i/>
        <sz val="8"/>
        <color rgb="FFFF0000"/>
        <rFont val="Tahoma"/>
        <family val="2"/>
      </rPr>
      <t>Notify Allocations &amp; Cycles if data exists after Cost Center has been Blocked</t>
    </r>
  </si>
  <si>
    <r>
      <t xml:space="preserve">Allocations </t>
    </r>
    <r>
      <rPr>
        <i/>
        <sz val="8"/>
        <color rgb="FFFF0000"/>
        <rFont val="Tahoma"/>
        <family val="2"/>
      </rPr>
      <t>Notify Allocations &amp; Cycles if data exists after Cost Center has been Blocked</t>
    </r>
  </si>
  <si>
    <r>
      <t xml:space="preserve">Orders </t>
    </r>
    <r>
      <rPr>
        <sz val="8"/>
        <color theme="9" tint="-0.249977111117893"/>
        <rFont val="Tahoma"/>
        <family val="2"/>
      </rPr>
      <t>(not purchase orders) Before closing the Cost Center all internal orders attached to it you will need to be closed (CLSD).</t>
    </r>
  </si>
  <si>
    <r>
      <t xml:space="preserve">Pricing Procedure </t>
    </r>
    <r>
      <rPr>
        <sz val="8"/>
        <color theme="9" tint="-0.249977111117893"/>
        <rFont val="Tahoma"/>
        <family val="2"/>
      </rPr>
      <t>To block a Cost Center that has a pricing procedure attached to it the Cost Center must first be changed on the Costing sheet</t>
    </r>
  </si>
  <si>
    <r>
      <t>WBS / Projects</t>
    </r>
    <r>
      <rPr>
        <sz val="8"/>
        <color theme="9" tint="-0.249977111117893"/>
        <rFont val="Tahoma"/>
        <family val="2"/>
      </rPr>
      <t xml:space="preserve"> If the WBS is open then action needs to be taken to have this changed to close the Cost Center.</t>
    </r>
  </si>
  <si>
    <r>
      <t xml:space="preserve">Fixed Assets </t>
    </r>
    <r>
      <rPr>
        <sz val="8"/>
        <color theme="9" tint="-0.249977111117893"/>
        <rFont val="Tahoma"/>
        <family val="2"/>
      </rPr>
      <t xml:space="preserve">If the Cost Center being closed has assets attached then the asset will need to be transferred to an alternate Cost Center. </t>
    </r>
  </si>
  <si>
    <r>
      <t xml:space="preserve">Activity Types  </t>
    </r>
    <r>
      <rPr>
        <sz val="8"/>
        <color theme="9" tint="-0.249977111117893"/>
        <rFont val="Tahoma"/>
        <family val="2"/>
      </rPr>
      <t>Before closing all activity rates attached to all activity types mapped to this Cost Center for future years must be removed</t>
    </r>
  </si>
  <si>
    <r>
      <t xml:space="preserve">CATS Transfers </t>
    </r>
    <r>
      <rPr>
        <sz val="8"/>
        <color theme="9" tint="-0.249977111117893"/>
        <rFont val="Tahoma"/>
        <family val="2"/>
      </rPr>
      <t>Contact the WFA for your area</t>
    </r>
  </si>
  <si>
    <t>Display Functional Location (PM)</t>
  </si>
  <si>
    <r>
      <t>Run</t>
    </r>
    <r>
      <rPr>
        <b/>
        <sz val="10"/>
        <rFont val="Tahoma"/>
        <family val="2"/>
      </rPr>
      <t xml:space="preserve"> IH06 </t>
    </r>
    <r>
      <rPr>
        <b/>
        <sz val="8"/>
        <color theme="9" tint="-0.249977111117893"/>
        <rFont val="Tahoma"/>
        <family val="2"/>
      </rPr>
      <t>-</t>
    </r>
    <r>
      <rPr>
        <sz val="8"/>
        <color theme="9" tint="-0.249977111117893"/>
        <rFont val="Tahoma"/>
        <family val="2"/>
      </rPr>
      <t xml:space="preserve"> FLOC to be transferred to Alt. CC</t>
    </r>
  </si>
  <si>
    <t>Display Equipment (PM)</t>
  </si>
  <si>
    <r>
      <t>Run</t>
    </r>
    <r>
      <rPr>
        <b/>
        <sz val="10"/>
        <rFont val="Tahoma"/>
        <family val="2"/>
      </rPr>
      <t xml:space="preserve"> IH08 </t>
    </r>
    <r>
      <rPr>
        <sz val="8"/>
        <color theme="9" tint="-0.249977111117893"/>
        <rFont val="Tahoma"/>
        <family val="2"/>
      </rPr>
      <t>- Equip to be transferred to Alt. CC</t>
    </r>
  </si>
  <si>
    <t>Display Work Centers (Proj)</t>
  </si>
  <si>
    <r>
      <t xml:space="preserve">Run </t>
    </r>
    <r>
      <rPr>
        <b/>
        <sz val="10"/>
        <rFont val="Tahoma"/>
        <family val="2"/>
      </rPr>
      <t xml:space="preserve">CRO6 </t>
    </r>
    <r>
      <rPr>
        <sz val="8"/>
        <color theme="9" tint="-0.249977111117893"/>
        <rFont val="Tahoma"/>
        <family val="2"/>
      </rPr>
      <t>- WC to be transferred to Alt. CC</t>
    </r>
  </si>
  <si>
    <t>Display Purchasing Documents (MM)</t>
  </si>
  <si>
    <r>
      <t xml:space="preserve">Run </t>
    </r>
    <r>
      <rPr>
        <b/>
        <sz val="10"/>
        <rFont val="Tahoma"/>
        <family val="2"/>
      </rPr>
      <t>ME2K</t>
    </r>
    <r>
      <rPr>
        <b/>
        <sz val="8"/>
        <color theme="9" tint="-0.249977111117893"/>
        <rFont val="Tahoma"/>
        <family val="2"/>
      </rPr>
      <t xml:space="preserve"> </t>
    </r>
    <r>
      <rPr>
        <sz val="8"/>
        <color theme="9" tint="-0.249977111117893"/>
        <rFont val="Tahoma"/>
        <family val="2"/>
      </rPr>
      <t>- All POs to be closed</t>
    </r>
  </si>
  <si>
    <t>SCM Buyers - Vendor Listing</t>
  </si>
  <si>
    <t>Cost Center Owner</t>
  </si>
  <si>
    <t xml:space="preserve">Please contact the Cost center owner </t>
  </si>
  <si>
    <t>Since the Cost center owner has ultimate responsibility for the Cost Center, they must be notified.</t>
  </si>
  <si>
    <t>HR - Employee/Contractors</t>
  </si>
  <si>
    <t>Please contact your HR Analyst (HRA) if you do not know which employees are assigned to the Cost Center</t>
  </si>
  <si>
    <t>Please provide email confirmation of this approval</t>
  </si>
  <si>
    <t>Employees assigned to the Cost Center have been 
moved to an alternate Cost Center for PAYROLL.</t>
  </si>
  <si>
    <t>Human Resources / Payroll / HRA have been 
advised that the Cost Center is being blocked.</t>
  </si>
  <si>
    <t>AMEX Travel Booking</t>
  </si>
  <si>
    <r>
      <t xml:space="preserve">Please contact AMEX Travel via </t>
    </r>
    <r>
      <rPr>
        <b/>
        <sz val="9"/>
        <rFont val="Tahoma"/>
        <family val="2"/>
      </rPr>
      <t>LDF@suncor.com</t>
    </r>
  </si>
  <si>
    <t>Employees have been advised to use an alternate 
Cost Center for booking AMEX Travel.</t>
  </si>
  <si>
    <t>The AMEX Travel Group have been advised 
that the Cost Center is being blocked.</t>
  </si>
  <si>
    <t>Workforce Mobility</t>
  </si>
  <si>
    <r>
      <t xml:space="preserve">Please contact Workforce Mobility via </t>
    </r>
    <r>
      <rPr>
        <b/>
        <sz val="9"/>
        <rFont val="Tahoma"/>
        <family val="2"/>
      </rPr>
      <t>workforcemobility@suncor.com</t>
    </r>
  </si>
  <si>
    <t>The Workforce Mobility Group have been advised 
that the Cost Center is being blocked.</t>
  </si>
  <si>
    <t>FI&amp;O Block Cost Center MDCR Form v1.0 - Published April 15, 2013. Updated October 15, 2018
http://thecore.network.lan/en/depts/Finance/Pages/MasterData.aspx</t>
  </si>
  <si>
    <t>Cost Center
Number</t>
  </si>
  <si>
    <t xml:space="preserve">Cost Center
Name
(max 20 char)           </t>
  </si>
  <si>
    <t xml:space="preserve">Cost Center
Description
(max 40 char)         </t>
  </si>
  <si>
    <t>Cost Center Long Text Description</t>
  </si>
  <si>
    <t xml:space="preserve">Person Responsible
</t>
  </si>
  <si>
    <r>
      <t xml:space="preserve">Department
</t>
    </r>
    <r>
      <rPr>
        <sz val="9"/>
        <rFont val="Tahoma"/>
        <family val="2"/>
      </rPr>
      <t xml:space="preserve">(max 12 char)  </t>
    </r>
    <r>
      <rPr>
        <b/>
        <sz val="9"/>
        <rFont val="Tahoma"/>
        <family val="2"/>
      </rPr>
      <t xml:space="preserve"> </t>
    </r>
    <r>
      <rPr>
        <b/>
        <sz val="10"/>
        <rFont val="Tahoma"/>
        <family val="2"/>
      </rPr>
      <t xml:space="preserve">          </t>
    </r>
  </si>
  <si>
    <t xml:space="preserve">Cost Center
Category
(select from dropdown)  </t>
  </si>
  <si>
    <r>
      <t xml:space="preserve">Standard Hierarchy Area
</t>
    </r>
    <r>
      <rPr>
        <b/>
        <sz val="9"/>
        <rFont val="Tahoma"/>
        <family val="2"/>
      </rPr>
      <t>(CSSUNTOTAL)</t>
    </r>
  </si>
  <si>
    <t xml:space="preserve">Company Code           </t>
  </si>
  <si>
    <t xml:space="preserve">Profit Center         </t>
  </si>
  <si>
    <r>
      <t xml:space="preserve">Functional Area
</t>
    </r>
    <r>
      <rPr>
        <i/>
        <sz val="9"/>
        <rFont val="Tahoma"/>
        <family val="2"/>
      </rPr>
      <t>(select from dropdown)</t>
    </r>
    <r>
      <rPr>
        <sz val="9"/>
        <rFont val="Tahoma"/>
        <family val="2"/>
      </rPr>
      <t xml:space="preserve">  </t>
    </r>
    <r>
      <rPr>
        <b/>
        <sz val="9"/>
        <rFont val="Tahoma"/>
        <family val="2"/>
      </rPr>
      <t xml:space="preserve"> </t>
    </r>
    <r>
      <rPr>
        <b/>
        <sz val="10"/>
        <rFont val="Tahoma"/>
        <family val="2"/>
      </rPr>
      <t xml:space="preserve">    </t>
    </r>
  </si>
  <si>
    <r>
      <t xml:space="preserve">Record Quantity </t>
    </r>
    <r>
      <rPr>
        <sz val="8"/>
        <rFont val="Tahoma"/>
        <family val="2"/>
      </rPr>
      <t>(TRUE = Box Checked)</t>
    </r>
  </si>
  <si>
    <r>
      <t xml:space="preserve">Actual
Primary costs
</t>
    </r>
    <r>
      <rPr>
        <sz val="9"/>
        <rFont val="Tahoma"/>
        <family val="2"/>
      </rPr>
      <t>(select from dropdown)</t>
    </r>
  </si>
  <si>
    <r>
      <t xml:space="preserve">Plan
Primary costs    
</t>
    </r>
    <r>
      <rPr>
        <sz val="9"/>
        <rFont val="Tahoma"/>
        <family val="2"/>
      </rPr>
      <t>(select from dropdown)</t>
    </r>
  </si>
  <si>
    <r>
      <t xml:space="preserve">Actual
Secondary costs
</t>
    </r>
    <r>
      <rPr>
        <sz val="9"/>
        <rFont val="Tahoma"/>
        <family val="2"/>
      </rPr>
      <t>(select from dropdown)</t>
    </r>
  </si>
  <si>
    <r>
      <t xml:space="preserve">Plan
Secondary costs
</t>
    </r>
    <r>
      <rPr>
        <sz val="9"/>
        <rFont val="Tahoma"/>
        <family val="2"/>
      </rPr>
      <t>(select from dropdown)</t>
    </r>
  </si>
  <si>
    <r>
      <t xml:space="preserve">Actual
Revenues
</t>
    </r>
    <r>
      <rPr>
        <sz val="9"/>
        <rFont val="Tahoma"/>
        <family val="2"/>
      </rPr>
      <t>(select from dropdown)</t>
    </r>
  </si>
  <si>
    <r>
      <t xml:space="preserve">Plan
Revenues   
</t>
    </r>
    <r>
      <rPr>
        <sz val="9"/>
        <rFont val="Tahoma"/>
        <family val="2"/>
      </rPr>
      <t xml:space="preserve">(select from dropdown) </t>
    </r>
    <r>
      <rPr>
        <i/>
        <sz val="9"/>
        <rFont val="Tahoma"/>
        <family val="2"/>
      </rPr>
      <t xml:space="preserve"> </t>
    </r>
    <r>
      <rPr>
        <sz val="10"/>
        <rFont val="Tahoma"/>
        <family val="2"/>
      </rPr>
      <t xml:space="preserve">   </t>
    </r>
  </si>
  <si>
    <r>
      <t xml:space="preserve">Commitment Update
</t>
    </r>
    <r>
      <rPr>
        <sz val="8"/>
        <rFont val="Tahoma"/>
        <family val="2"/>
      </rPr>
      <t>(TRUE = Box Checked)</t>
    </r>
  </si>
  <si>
    <t xml:space="preserve">Name 1                 </t>
  </si>
  <si>
    <t xml:space="preserve">Name 2                 </t>
  </si>
  <si>
    <t xml:space="preserve">Name 3                 </t>
  </si>
  <si>
    <t xml:space="preserve">Name 4                 </t>
  </si>
  <si>
    <t>Street</t>
  </si>
  <si>
    <t>Location</t>
  </si>
  <si>
    <t>Postal Code/Zip Code</t>
  </si>
  <si>
    <t>District</t>
  </si>
  <si>
    <t>Country</t>
  </si>
  <si>
    <t>Region</t>
  </si>
  <si>
    <r>
      <t xml:space="preserve">Jurisdiction Code
</t>
    </r>
    <r>
      <rPr>
        <sz val="9"/>
        <rFont val="Tahoma"/>
        <family val="2"/>
      </rPr>
      <t>(select from dropdown or key alternate)</t>
    </r>
  </si>
  <si>
    <r>
      <t xml:space="preserve">Language Key
</t>
    </r>
    <r>
      <rPr>
        <sz val="9"/>
        <rFont val="Tahoma"/>
        <family val="2"/>
      </rPr>
      <t>(select from dropdown)</t>
    </r>
  </si>
  <si>
    <t xml:space="preserve">Joint Venture          </t>
  </si>
  <si>
    <r>
      <t xml:space="preserve">Recovery Indicator
</t>
    </r>
    <r>
      <rPr>
        <sz val="9"/>
        <rFont val="Tahoma"/>
        <family val="2"/>
      </rPr>
      <t>(select from dropdown)</t>
    </r>
    <r>
      <rPr>
        <sz val="10"/>
        <rFont val="Tahoma"/>
        <family val="2"/>
      </rPr>
      <t xml:space="preserve"> </t>
    </r>
  </si>
  <si>
    <r>
      <t xml:space="preserve">Equity Type     
</t>
    </r>
    <r>
      <rPr>
        <sz val="9"/>
        <rFont val="Tahoma"/>
        <family val="2"/>
      </rPr>
      <t>(select from dropdown)</t>
    </r>
    <r>
      <rPr>
        <sz val="10"/>
        <rFont val="Tahoma"/>
        <family val="2"/>
      </rPr>
      <t xml:space="preserve">   </t>
    </r>
    <r>
      <rPr>
        <b/>
        <sz val="10"/>
        <rFont val="Tahoma"/>
        <family val="2"/>
      </rPr>
      <t xml:space="preserve">    </t>
    </r>
  </si>
  <si>
    <r>
      <t xml:space="preserve">JV Object Type
</t>
    </r>
    <r>
      <rPr>
        <sz val="9"/>
        <rFont val="Tahoma"/>
        <family val="2"/>
      </rPr>
      <t>(select from dropdown)</t>
    </r>
  </si>
  <si>
    <r>
      <t xml:space="preserve">Position ID Title/Role
 (Person responsible)  </t>
    </r>
    <r>
      <rPr>
        <b/>
        <sz val="10"/>
        <color indexed="12"/>
        <rFont val="Tahoma"/>
        <family val="2"/>
      </rPr>
      <t xml:space="preserve">              </t>
    </r>
  </si>
  <si>
    <t xml:space="preserve">Position ID               </t>
  </si>
  <si>
    <t>(Incumbent) Person Responsible</t>
  </si>
  <si>
    <t>Person Responsible Employee #</t>
  </si>
  <si>
    <t>CBUSUNTOT
Hierarchy</t>
  </si>
  <si>
    <t xml:space="preserve">CMGTSUNTOT Hierarchy </t>
  </si>
  <si>
    <t>Functional Reporting Hierarchy
FCA00001</t>
  </si>
  <si>
    <t>ALL_PROD</t>
  </si>
  <si>
    <t>CBOSISFIN</t>
  </si>
  <si>
    <t>CBEPSEG</t>
  </si>
  <si>
    <t>CBUSEMITOT</t>
  </si>
  <si>
    <t>RSERVICES</t>
  </si>
  <si>
    <t>SELCPLCDN</t>
  </si>
  <si>
    <t>Will/does this Cost Center receive allocations? If Yes, please contact the Allocations &amp; Cycles team</t>
  </si>
  <si>
    <t>Will/does this Cost Center send allocations? If Yes, please contact the Allocations &amp; Cycles team</t>
  </si>
  <si>
    <t>Required to be maintained in SLAN System?</t>
  </si>
  <si>
    <t/>
  </si>
  <si>
    <t>EN</t>
  </si>
  <si>
    <t>Cost Center Add</t>
  </si>
  <si>
    <t xml:space="preserve">MANDATORY FIELDS </t>
  </si>
  <si>
    <r>
      <t xml:space="preserve">Person Responsible
</t>
    </r>
    <r>
      <rPr>
        <sz val="9"/>
        <rFont val="Tahoma"/>
        <family val="2"/>
      </rPr>
      <t>(MDSS populates this field)</t>
    </r>
  </si>
  <si>
    <t>Additional Fields Y/N</t>
  </si>
  <si>
    <t>Cost Center Add Joint Venter</t>
  </si>
  <si>
    <t>Position ID</t>
  </si>
  <si>
    <r>
      <t xml:space="preserve"> </t>
    </r>
    <r>
      <rPr>
        <b/>
        <sz val="10"/>
        <rFont val="Arial"/>
        <family val="2"/>
      </rPr>
      <t>Cost Center Add USA</t>
    </r>
  </si>
  <si>
    <t xml:space="preserve">Cost Center Add International </t>
  </si>
  <si>
    <t>Cost Center Add Rack Forward</t>
  </si>
  <si>
    <t>Cost Center Additional Fields</t>
  </si>
  <si>
    <t xml:space="preserve">ADDITIONAL FIELDS </t>
  </si>
  <si>
    <t>Cost Center Update</t>
  </si>
  <si>
    <t>MOST COMMON FIELDS TO UPDATE</t>
  </si>
  <si>
    <t xml:space="preserve">
 (Person responsible)                                  Basic Data Tab</t>
  </si>
  <si>
    <t>Cost Center Update Additional Fields</t>
  </si>
  <si>
    <t>ADDITIONAL FIELDS THAT CAN BE UPDATED</t>
  </si>
  <si>
    <t>Cost Center Block</t>
  </si>
  <si>
    <t xml:space="preserve">Person Responsible </t>
  </si>
  <si>
    <t>Please Completed Block CC Checklist</t>
  </si>
  <si>
    <t xml:space="preserve">DNU - </t>
  </si>
  <si>
    <t>DNU -</t>
  </si>
  <si>
    <t>Alternative Cost Center</t>
  </si>
  <si>
    <t>Locked</t>
  </si>
  <si>
    <t>CC Blocking Checklist'!A1</t>
  </si>
  <si>
    <t>Tax Jurisdiction</t>
  </si>
  <si>
    <t>Functional Area</t>
  </si>
  <si>
    <t>Company code</t>
  </si>
  <si>
    <t>Legal Name</t>
  </si>
  <si>
    <t>BU Unit</t>
  </si>
  <si>
    <t xml:space="preserve">Upstream </t>
  </si>
  <si>
    <t>Downstream</t>
  </si>
  <si>
    <t xml:space="preserve">Corporate </t>
  </si>
  <si>
    <t>Corporate - Wind</t>
  </si>
  <si>
    <t>International</t>
  </si>
  <si>
    <t>Cost Center Category</t>
  </si>
  <si>
    <t>Suncor Energy Oil Sands Limited Partnership</t>
  </si>
  <si>
    <t>Upstream</t>
  </si>
  <si>
    <t>1 = Co.Owned Saleable</t>
  </si>
  <si>
    <t>S001 - General &amp; Admin</t>
  </si>
  <si>
    <t>Suncor Energy Logistics Corp</t>
  </si>
  <si>
    <t>2 = Co. Owned</t>
  </si>
  <si>
    <t xml:space="preserve">S002 - Operating </t>
  </si>
  <si>
    <t>Suncor Energy Prospect Generation Inc.</t>
  </si>
  <si>
    <t>3 = Non-Co.</t>
  </si>
  <si>
    <t>S003 - Exploration</t>
  </si>
  <si>
    <t>Suncor Energy Ventures Corporation</t>
  </si>
  <si>
    <t>4 = Non-Co Residual</t>
  </si>
  <si>
    <t xml:space="preserve">S004 - Energy Trading </t>
  </si>
  <si>
    <t>Suncor Energy Oil Sands Inc.</t>
  </si>
  <si>
    <t>5 = Stock &amp; Equipment</t>
  </si>
  <si>
    <t>S005 - Transportation</t>
  </si>
  <si>
    <t>Canadian Oil Sands Marketing Inc.</t>
  </si>
  <si>
    <t>6 = Development</t>
  </si>
  <si>
    <t>S006 - R&amp;D research &amp; Development</t>
  </si>
  <si>
    <t>Canadian Arctic Gas Ltd</t>
  </si>
  <si>
    <t>7 = Closed File</t>
  </si>
  <si>
    <t>S007 Commissioning &amp; start-up</t>
  </si>
  <si>
    <t>Suncor energy E&amp;P Partnership</t>
  </si>
  <si>
    <t>A = Operations</t>
  </si>
  <si>
    <t>S008 - Safe mode</t>
  </si>
  <si>
    <t>Suncor Energy offshore Exploration Partnership</t>
  </si>
  <si>
    <t>B = Maintenance</t>
  </si>
  <si>
    <t>S009 - Maintenance</t>
  </si>
  <si>
    <t>Petro-Canada (Terra Nova) Inc.</t>
  </si>
  <si>
    <t>C = Engineering</t>
  </si>
  <si>
    <t>S010 - Selling &amp; Marketing</t>
  </si>
  <si>
    <t>Petro-Canada (Terra Nova) Services Inc.</t>
  </si>
  <si>
    <t>D = Strategic</t>
  </si>
  <si>
    <t>Petro-Canada Terra Nova Partnership</t>
  </si>
  <si>
    <t>E = Sales</t>
  </si>
  <si>
    <t>Petro-Canada Hibernia Partnership</t>
  </si>
  <si>
    <t>F = Marketing</t>
  </si>
  <si>
    <t>Petro-Canada (Hibernia) Inc.</t>
  </si>
  <si>
    <t xml:space="preserve">G = Management </t>
  </si>
  <si>
    <t>6526934 Canada Inc.</t>
  </si>
  <si>
    <t>H = Finance</t>
  </si>
  <si>
    <t>Petro-Canada Hebron Partnership</t>
  </si>
  <si>
    <t>I = Human Resources</t>
  </si>
  <si>
    <t>PC Alta-T Ltd</t>
  </si>
  <si>
    <t>J = Legal</t>
  </si>
  <si>
    <t>6526918 Canada Inc.</t>
  </si>
  <si>
    <t>K = Information</t>
  </si>
  <si>
    <t>Nosara Holdings Limited</t>
  </si>
  <si>
    <t>L = Administration</t>
  </si>
  <si>
    <t>Prairie Leaseholds Ltd</t>
  </si>
  <si>
    <t>M = EH&amp;S</t>
  </si>
  <si>
    <t>6657681 Canada Inc.</t>
  </si>
  <si>
    <t>P = Production</t>
  </si>
  <si>
    <t>Suncor Energy ventures Partnership</t>
  </si>
  <si>
    <t>O = Supply Chain</t>
  </si>
  <si>
    <t>1583541 Alberta Ltd</t>
  </si>
  <si>
    <t>Q = Facilities (Oil &amp; Gas)</t>
  </si>
  <si>
    <t>1583450 Alberta Ltd</t>
  </si>
  <si>
    <t>R = Gas Plant</t>
  </si>
  <si>
    <t>7037538 Canada Inc.</t>
  </si>
  <si>
    <t>S = Encumbered</t>
  </si>
  <si>
    <t>Fort Hills Energy Limited Partnership</t>
  </si>
  <si>
    <t>T = Royalty (ORR)</t>
  </si>
  <si>
    <t>Fort Hills Energy Corp (53.05%)</t>
  </si>
  <si>
    <t>U = Clearing CC</t>
  </si>
  <si>
    <t>Suncor Energy Joslyn Partnership</t>
  </si>
  <si>
    <t xml:space="preserve">V = Exploration </t>
  </si>
  <si>
    <t>Suncor Energy Joslyn Inc.</t>
  </si>
  <si>
    <t>W = Wholesale</t>
  </si>
  <si>
    <t>Suncor Energy Operating Inc.</t>
  </si>
  <si>
    <t>X = Retail</t>
  </si>
  <si>
    <t>1506627 Alberta Ltd</t>
  </si>
  <si>
    <t xml:space="preserve">Y = Drilling </t>
  </si>
  <si>
    <t xml:space="preserve">Thebacha Limited Partnership </t>
  </si>
  <si>
    <t>Canadian Oil Sands Partnership</t>
  </si>
  <si>
    <t>Suncor Energy Sales Inc.</t>
  </si>
  <si>
    <t xml:space="preserve">Suncor Energy (USA) Pipeline Company </t>
  </si>
  <si>
    <t>Petro-Canada Resources (USA) Inc.</t>
  </si>
  <si>
    <t>Petro-Canada (Alaska) Inc.</t>
  </si>
  <si>
    <t>Suncor energy International Trading Limited, UK</t>
  </si>
  <si>
    <t>UK</t>
  </si>
  <si>
    <t>List</t>
  </si>
  <si>
    <t>Suncor Energy UK Limited</t>
  </si>
  <si>
    <t xml:space="preserve">Suncor Energy UK Holdings Limited </t>
  </si>
  <si>
    <t>Suncor Energy Treasury Services Limited, UK</t>
  </si>
  <si>
    <t>Petro-Canada Energy north Sea Ltd, UK</t>
  </si>
  <si>
    <t>Petro- Canada NANE Exploration BV, Amsterdam</t>
  </si>
  <si>
    <t>Syria</t>
  </si>
  <si>
    <t>Petro-Canada NANE Ventures BV, Amsterdam</t>
  </si>
  <si>
    <t>Suncor Energy En Naga Limited</t>
  </si>
  <si>
    <t>Libya/Bermuda</t>
  </si>
  <si>
    <t>Suncor Energy Ventures (North Africa) Ltd</t>
  </si>
  <si>
    <t>Suncor Energy Oil (North Africa) GmbH</t>
  </si>
  <si>
    <t>Libya</t>
  </si>
  <si>
    <t>Suncor Energy Libya Exploration BV</t>
  </si>
  <si>
    <t>Petro-Canada Palymra BV Amsterdam</t>
  </si>
  <si>
    <t xml:space="preserve">International </t>
  </si>
  <si>
    <t>Suncor Energy (U.S.Finco) B.V</t>
  </si>
  <si>
    <t>6872841 Canada Inc. (Minority Holdco for Dutch Co-Op)</t>
  </si>
  <si>
    <t>Suncor energy International Holdings Inc. (Holdco for Sutch Co-Op)</t>
  </si>
  <si>
    <t>3908950 Canada Inc. (Holdco for PC (Bermuda Ltd)</t>
  </si>
  <si>
    <t>Suncor Energy Germany GmbH</t>
  </si>
  <si>
    <t>Suncor Energy (International) holdings B.V.</t>
  </si>
  <si>
    <t>Suncor Energy Netherlands Investment B.V</t>
  </si>
  <si>
    <t>Petro-Canada Trinidad and Tobago Ltd</t>
  </si>
  <si>
    <t>Suncor energy cooperative holding U.A.</t>
  </si>
  <si>
    <t>Petro-Canada (Norway) Inc.</t>
  </si>
  <si>
    <t>SE Holding America Inc.</t>
  </si>
  <si>
    <t>SE Nat Gas America Inc.</t>
  </si>
  <si>
    <t>Petro-Canada America Lub</t>
  </si>
  <si>
    <t>Petro-Canada (U.S.A.) Inc.</t>
  </si>
  <si>
    <t>PC Financial Partnership</t>
  </si>
  <si>
    <t>US Company Code</t>
  </si>
  <si>
    <t>Suncor Energy Norge AS</t>
  </si>
  <si>
    <t xml:space="preserve">Suncor Energy Marketing Inc </t>
  </si>
  <si>
    <t>Suncor Energy Products Partnership</t>
  </si>
  <si>
    <t>Suncor Home Comfort Inc.</t>
  </si>
  <si>
    <t>Suncor Energy Ethanol Inc.</t>
  </si>
  <si>
    <t>1044287 Ontario Inc.</t>
  </si>
  <si>
    <t>Sun Oil Company Of Canada Ltd</t>
  </si>
  <si>
    <t>2059247 Ontario Inc.</t>
  </si>
  <si>
    <t>Montreal Pipe Line Ltd.</t>
  </si>
  <si>
    <t>Service Ltd</t>
  </si>
  <si>
    <t>1277136 Alberta Ltd</t>
  </si>
  <si>
    <t>6267971 Canada Inc. (Holdco For Parachem LP)</t>
  </si>
  <si>
    <t>Joseph Elie Ltee</t>
  </si>
  <si>
    <t>Suncor Energy Specialty Products Inc.</t>
  </si>
  <si>
    <t>Petro Partner Ltd</t>
  </si>
  <si>
    <t>Sheridan Park Neighbours Inc.</t>
  </si>
  <si>
    <t>6526837 Canada Inc.</t>
  </si>
  <si>
    <t>Portland Pipe Line Corp.</t>
  </si>
  <si>
    <t>ParaChem LP - Tax package (PwC)</t>
  </si>
  <si>
    <t>Parachem chemicals Inc.</t>
  </si>
  <si>
    <t>Forty Mile Granlea Wind Limited Partnership</t>
  </si>
  <si>
    <t>Megrath Wind Farm JV</t>
  </si>
  <si>
    <t>Suncor Adelaid Wind GP Inc.</t>
  </si>
  <si>
    <t>Chin Chute Wund farm JV</t>
  </si>
  <si>
    <t>Kent Breeze Corp</t>
  </si>
  <si>
    <t>Suncor Energy Services Inc.</t>
  </si>
  <si>
    <t>Corporate</t>
  </si>
  <si>
    <t>Suncor Energy Inc.</t>
  </si>
  <si>
    <t>Suncor Energy Resources Inc.</t>
  </si>
  <si>
    <t>Suncor Energy (USA) Inc.</t>
  </si>
  <si>
    <t>Suncor Energy (USA) marketing Inc.</t>
  </si>
  <si>
    <t xml:space="preserve">Suncor Energy (USA Holdings Inc. - Consolidated </t>
  </si>
  <si>
    <t>SE BWI</t>
  </si>
  <si>
    <t xml:space="preserve">Suncor Energy Foundation </t>
  </si>
  <si>
    <t>Suncor Energy Bermuda Ltd</t>
  </si>
  <si>
    <t>Bermuda</t>
  </si>
  <si>
    <t xml:space="preserve">Petro-Canada Norway Investment </t>
  </si>
  <si>
    <t>Barbados</t>
  </si>
  <si>
    <t>Petro-Canada Euro Investment Ltd</t>
  </si>
  <si>
    <t>Petro-Canada IBU Investment Ltd</t>
  </si>
  <si>
    <t>Profit Center</t>
  </si>
  <si>
    <t>Lock Indicator</t>
  </si>
  <si>
    <t>Summary or Consolidated</t>
  </si>
  <si>
    <t>GL Account Type</t>
  </si>
  <si>
    <t>GL Account Type Description</t>
  </si>
  <si>
    <t>GL Account Type Full Description</t>
  </si>
  <si>
    <t>COA (Chart of Account)</t>
  </si>
  <si>
    <t>Controlling Area</t>
  </si>
  <si>
    <t>Exchange Rate Difference Key</t>
  </si>
  <si>
    <t>Field Status Group</t>
  </si>
  <si>
    <t>Field Status Group Description</t>
  </si>
  <si>
    <t>FSG Full Description</t>
  </si>
  <si>
    <t>Comp. Code</t>
  </si>
  <si>
    <t>Company Code Name (Q1R Oct 6)</t>
  </si>
  <si>
    <t>X</t>
  </si>
  <si>
    <t>Balance Sheet Account</t>
  </si>
  <si>
    <t>YCOA</t>
  </si>
  <si>
    <t>SEC0</t>
  </si>
  <si>
    <t>All Fields optional</t>
  </si>
  <si>
    <t>N</t>
  </si>
  <si>
    <t>Nonoperating Expense or Income</t>
  </si>
  <si>
    <t>FERC</t>
  </si>
  <si>
    <t>URZD</t>
  </si>
  <si>
    <t>SECC</t>
  </si>
  <si>
    <t>Secondary GL</t>
  </si>
  <si>
    <t>P</t>
  </si>
  <si>
    <t>Primary Costs or Revenue</t>
  </si>
  <si>
    <t>RZD</t>
  </si>
  <si>
    <t>YB01</t>
  </si>
  <si>
    <t>General (with text &amp; assignment)</t>
  </si>
  <si>
    <t>S</t>
  </si>
  <si>
    <t>Secondary Costs</t>
  </si>
  <si>
    <t>YB03</t>
  </si>
  <si>
    <t>Material consumption accounts</t>
  </si>
  <si>
    <t>Cost Element Category</t>
  </si>
  <si>
    <t>Cost Element Category Description</t>
  </si>
  <si>
    <t>CEC Full Description</t>
  </si>
  <si>
    <t>YB04</t>
  </si>
  <si>
    <t>Cost accounts</t>
  </si>
  <si>
    <t>Account Group</t>
  </si>
  <si>
    <t>Account Group Description</t>
  </si>
  <si>
    <t>Account Group Full Description</t>
  </si>
  <si>
    <t>YB05</t>
  </si>
  <si>
    <t>Bank accounts (obligatory value date)</t>
  </si>
  <si>
    <t>ABST</t>
  </si>
  <si>
    <t>Recon.account AP/AR</t>
  </si>
  <si>
    <t>Primary costs/cost-reducing revenues</t>
  </si>
  <si>
    <t>YB06</t>
  </si>
  <si>
    <t>Material accounts</t>
  </si>
  <si>
    <t>ANL.</t>
  </si>
  <si>
    <t>Fixed assets accounts</t>
  </si>
  <si>
    <t>Accrual/deferral per surcharge</t>
  </si>
  <si>
    <t>YB07</t>
  </si>
  <si>
    <t>Asset accts (w/o accumulated depreciatn)</t>
  </si>
  <si>
    <t>ERG.</t>
  </si>
  <si>
    <t>Income statement accounts</t>
  </si>
  <si>
    <t>Accrual/deferral per debit = actual</t>
  </si>
  <si>
    <t>YB08</t>
  </si>
  <si>
    <t>Assets area clearing accounts</t>
  </si>
  <si>
    <t>FIN.</t>
  </si>
  <si>
    <t>Liquid funds accounts</t>
  </si>
  <si>
    <t>Revenues</t>
  </si>
  <si>
    <t>YB09</t>
  </si>
  <si>
    <t>Bank accounts (obligatory due date)</t>
  </si>
  <si>
    <t>MAT.</t>
  </si>
  <si>
    <t>Materials management accounts</t>
  </si>
  <si>
    <t>Sales Deduction</t>
  </si>
  <si>
    <t>YB11</t>
  </si>
  <si>
    <t>Clearing accounts (with settlement per.)</t>
  </si>
  <si>
    <t>RECN</t>
  </si>
  <si>
    <t>ReconAcct ARAP Ready for Input</t>
  </si>
  <si>
    <t>External Settlement</t>
  </si>
  <si>
    <t>YB12</t>
  </si>
  <si>
    <t>Receivables/payables clearing</t>
  </si>
  <si>
    <t>SAKO</t>
  </si>
  <si>
    <t>G/L accounts (general)</t>
  </si>
  <si>
    <t>Internal Settlement</t>
  </si>
  <si>
    <t>YB13</t>
  </si>
  <si>
    <t>General (obligatory text)</t>
  </si>
  <si>
    <t>SASL</t>
  </si>
  <si>
    <t>G/L accounts (ledger-spec. OI)</t>
  </si>
  <si>
    <t>Order/project results analysis</t>
  </si>
  <si>
    <t>YB14</t>
  </si>
  <si>
    <t>MM adjustment accounts</t>
  </si>
  <si>
    <t>Secondary costs / revenues</t>
  </si>
  <si>
    <t>Overhead rates</t>
  </si>
  <si>
    <t>YB17</t>
  </si>
  <si>
    <t>Freight/customs provisions/clearing (MM)</t>
  </si>
  <si>
    <t>Assessment</t>
  </si>
  <si>
    <t>YB18</t>
  </si>
  <si>
    <t>Scrapping (MM)</t>
  </si>
  <si>
    <t xml:space="preserve">Description </t>
  </si>
  <si>
    <t>Functional Area Full Description</t>
  </si>
  <si>
    <t>Internal activity allocation</t>
  </si>
  <si>
    <t>YB19</t>
  </si>
  <si>
    <t>Other receivables/payables</t>
  </si>
  <si>
    <t>Project-related incoming orders: Sales revenue</t>
  </si>
  <si>
    <t>YB23</t>
  </si>
  <si>
    <t>Plant maintenance accounts</t>
  </si>
  <si>
    <t>YB10</t>
  </si>
  <si>
    <t>Sales Revenue</t>
  </si>
  <si>
    <t>Project-related incoming orders: Other revenues</t>
  </si>
  <si>
    <t>YB25</t>
  </si>
  <si>
    <t>Inventory adjustment accounts</t>
  </si>
  <si>
    <t>YB15</t>
  </si>
  <si>
    <t>Sales discounts and allow</t>
  </si>
  <si>
    <t>Project-related incoming orders: Costs</t>
  </si>
  <si>
    <t>YB26</t>
  </si>
  <si>
    <t>Accounts for down payments made</t>
  </si>
  <si>
    <t>YB20</t>
  </si>
  <si>
    <t>Cost of Goods Sold</t>
  </si>
  <si>
    <t>Earned Value</t>
  </si>
  <si>
    <t>YB29</t>
  </si>
  <si>
    <t>Revenue accounts</t>
  </si>
  <si>
    <t>Consulting Services</t>
  </si>
  <si>
    <t>Reporting Cost Elements CO-PA</t>
  </si>
  <si>
    <t>YB30</t>
  </si>
  <si>
    <t>Change in stock accounts</t>
  </si>
  <si>
    <t>Sales and Distribution</t>
  </si>
  <si>
    <t>YB31</t>
  </si>
  <si>
    <t>Accounts for down payments received</t>
  </si>
  <si>
    <t>YB35</t>
  </si>
  <si>
    <t>Marketing</t>
  </si>
  <si>
    <t>Sort Key</t>
  </si>
  <si>
    <t>Sort Key Description</t>
  </si>
  <si>
    <t>Sort Key Full Description</t>
  </si>
  <si>
    <t>YB32</t>
  </si>
  <si>
    <t>Bank accounts (obligat.value/due dates)</t>
  </si>
  <si>
    <t>YB40</t>
  </si>
  <si>
    <t>General &amp; Admin</t>
  </si>
  <si>
    <t>000</t>
  </si>
  <si>
    <t>Allocation number</t>
  </si>
  <si>
    <t>YB33</t>
  </si>
  <si>
    <t>Cost accounts for external services</t>
  </si>
  <si>
    <t>YB41</t>
  </si>
  <si>
    <t>Selling &amp; Marketing</t>
  </si>
  <si>
    <t>001</t>
  </si>
  <si>
    <t>Posting date</t>
  </si>
  <si>
    <t>YB36</t>
  </si>
  <si>
    <t>Revenue accts (with cost center)</t>
  </si>
  <si>
    <t>YB42</t>
  </si>
  <si>
    <t>Retail</t>
  </si>
  <si>
    <t>002</t>
  </si>
  <si>
    <t>Doc.no., fiscal year</t>
  </si>
  <si>
    <t>YB39</t>
  </si>
  <si>
    <t>Accts for pmnts on acct made for assets</t>
  </si>
  <si>
    <t>YB43</t>
  </si>
  <si>
    <t>Wholesale</t>
  </si>
  <si>
    <t>003</t>
  </si>
  <si>
    <t>Document date</t>
  </si>
  <si>
    <t>Personnel clearing accounts</t>
  </si>
  <si>
    <t>YB44</t>
  </si>
  <si>
    <t>Product Costing</t>
  </si>
  <si>
    <t>004</t>
  </si>
  <si>
    <t>Branch account</t>
  </si>
  <si>
    <t>Tax office clearing accounts</t>
  </si>
  <si>
    <t>YB45</t>
  </si>
  <si>
    <t>Operating</t>
  </si>
  <si>
    <t>005</t>
  </si>
  <si>
    <t>Loc.currency amount</t>
  </si>
  <si>
    <t>Goods/invoice received clearing accounts</t>
  </si>
  <si>
    <t>YB46</t>
  </si>
  <si>
    <t>Maintenance</t>
  </si>
  <si>
    <t>006</t>
  </si>
  <si>
    <t>Doc.currency amount</t>
  </si>
  <si>
    <t>YB49</t>
  </si>
  <si>
    <t>Manufacturing costs accounts</t>
  </si>
  <si>
    <t>YB47</t>
  </si>
  <si>
    <t>Engineering</t>
  </si>
  <si>
    <t>007</t>
  </si>
  <si>
    <t>Bill/exch.due date</t>
  </si>
  <si>
    <t>YB50</t>
  </si>
  <si>
    <t>Central control clearing accounts</t>
  </si>
  <si>
    <t>YB48</t>
  </si>
  <si>
    <t>Technology Development</t>
  </si>
  <si>
    <t>008</t>
  </si>
  <si>
    <t>Cost center</t>
  </si>
  <si>
    <t>YB52</t>
  </si>
  <si>
    <t>Accounts for fixed asset retirement</t>
  </si>
  <si>
    <t>Infrastructure Development</t>
  </si>
  <si>
    <t>009</t>
  </si>
  <si>
    <t>External doc.number</t>
  </si>
  <si>
    <t>YB56</t>
  </si>
  <si>
    <t>Amortization accounts</t>
  </si>
  <si>
    <t>Research &amp; Development</t>
  </si>
  <si>
    <t>010</t>
  </si>
  <si>
    <t>Purchase order no.</t>
  </si>
  <si>
    <t>YB59</t>
  </si>
  <si>
    <t>Inventory accounting material stock acct</t>
  </si>
  <si>
    <t>YB51</t>
  </si>
  <si>
    <t>Energy Trading</t>
  </si>
  <si>
    <t>011</t>
  </si>
  <si>
    <t>Plant number</t>
  </si>
  <si>
    <t>YB62</t>
  </si>
  <si>
    <t>Investment support accounts</t>
  </si>
  <si>
    <t>Transportation</t>
  </si>
  <si>
    <t>012</t>
  </si>
  <si>
    <t>Vendor number</t>
  </si>
  <si>
    <t>YB64</t>
  </si>
  <si>
    <t>Other cost accounts (obligatory text)</t>
  </si>
  <si>
    <t>YB53</t>
  </si>
  <si>
    <t>Commisioning and Start Up</t>
  </si>
  <si>
    <t>014</t>
  </si>
  <si>
    <t>Purchase order</t>
  </si>
  <si>
    <t>YB65</t>
  </si>
  <si>
    <t>Provisions</t>
  </si>
  <si>
    <t>YB54</t>
  </si>
  <si>
    <t>Safe Mode</t>
  </si>
  <si>
    <t>015</t>
  </si>
  <si>
    <t>Personnel number</t>
  </si>
  <si>
    <t>YB67</t>
  </si>
  <si>
    <t>Reconciliation accounts</t>
  </si>
  <si>
    <t>YB55</t>
  </si>
  <si>
    <t>Exploration</t>
  </si>
  <si>
    <t>016</t>
  </si>
  <si>
    <t>Settlement period</t>
  </si>
  <si>
    <t>YB68</t>
  </si>
  <si>
    <t>Reconciliatn accts (payables - Austria)</t>
  </si>
  <si>
    <t>YB70</t>
  </si>
  <si>
    <t>Other gains</t>
  </si>
  <si>
    <t>017</t>
  </si>
  <si>
    <t>Settl.per., pers.no.</t>
  </si>
  <si>
    <t>YB69</t>
  </si>
  <si>
    <t>Cost accounts (travel expenses)</t>
  </si>
  <si>
    <t>YB75</t>
  </si>
  <si>
    <t>Other expenses</t>
  </si>
  <si>
    <t>018</t>
  </si>
  <si>
    <t>Asset number</t>
  </si>
  <si>
    <t>Clearing accounts (travel expenses)</t>
  </si>
  <si>
    <t>YB77</t>
  </si>
  <si>
    <t>Gain from investments</t>
  </si>
  <si>
    <t>021</t>
  </si>
  <si>
    <t>Segment text</t>
  </si>
  <si>
    <t>YB71</t>
  </si>
  <si>
    <t>Reconcil.accts (KIDNO/foreign payment)</t>
  </si>
  <si>
    <t>YB79</t>
  </si>
  <si>
    <t>Gain from shares &amp; loans</t>
  </si>
  <si>
    <t>022</t>
  </si>
  <si>
    <t>One-time name / city</t>
  </si>
  <si>
    <t>YB72</t>
  </si>
  <si>
    <t>Equity Investment</t>
  </si>
  <si>
    <t>YB81</t>
  </si>
  <si>
    <t>Interest &amp; similar gains</t>
  </si>
  <si>
    <t>023</t>
  </si>
  <si>
    <t>One-time city / name</t>
  </si>
  <si>
    <t>YBCF</t>
  </si>
  <si>
    <t>CO &lt;-&gt; FI reconciliation posting</t>
  </si>
  <si>
    <t>YB83</t>
  </si>
  <si>
    <t>Amort.curr.Fin.Assets;Sec</t>
  </si>
  <si>
    <t>024</t>
  </si>
  <si>
    <t>Document header text</t>
  </si>
  <si>
    <t>YBIC</t>
  </si>
  <si>
    <t>Intercompany</t>
  </si>
  <si>
    <t>YB85</t>
  </si>
  <si>
    <t>Interest &amp; similar costs</t>
  </si>
  <si>
    <t>025</t>
  </si>
  <si>
    <t>CPU date</t>
  </si>
  <si>
    <t>YBXX</t>
  </si>
  <si>
    <t>non-operative expense or income</t>
  </si>
  <si>
    <t>YB87</t>
  </si>
  <si>
    <t>Extraordinary gain</t>
  </si>
  <si>
    <t>026</t>
  </si>
  <si>
    <t>Pmnt per.bslne date</t>
  </si>
  <si>
    <t>YB89</t>
  </si>
  <si>
    <t>Extraordinary expense</t>
  </si>
  <si>
    <t>027</t>
  </si>
  <si>
    <t>Value date</t>
  </si>
  <si>
    <t>YB90</t>
  </si>
  <si>
    <t>Taxes from income and rev</t>
  </si>
  <si>
    <t>028</t>
  </si>
  <si>
    <t>YB98</t>
  </si>
  <si>
    <t>Other Taxes</t>
  </si>
  <si>
    <t>029</t>
  </si>
  <si>
    <t>Pstng month, vendor</t>
  </si>
  <si>
    <t>YB99</t>
  </si>
  <si>
    <t>Dummy functional area</t>
  </si>
  <si>
    <t>031</t>
  </si>
  <si>
    <t>Customer number</t>
  </si>
  <si>
    <t>032</t>
  </si>
  <si>
    <t>Pstng yr,month,curr.</t>
  </si>
  <si>
    <t>Planning Level</t>
  </si>
  <si>
    <t>Planning Level Description</t>
  </si>
  <si>
    <t>Planning Level Full Description</t>
  </si>
  <si>
    <t>033</t>
  </si>
  <si>
    <t>034</t>
  </si>
  <si>
    <t>Month, cost center</t>
  </si>
  <si>
    <t>BA</t>
  </si>
  <si>
    <t>Wire Clearing</t>
  </si>
  <si>
    <t>035</t>
  </si>
  <si>
    <t>Contract number</t>
  </si>
  <si>
    <t>BB</t>
  </si>
  <si>
    <t>Cheque Clearing</t>
  </si>
  <si>
    <t>036</t>
  </si>
  <si>
    <t>Order</t>
  </si>
  <si>
    <t>BC</t>
  </si>
  <si>
    <t>ACH Clearing</t>
  </si>
  <si>
    <t>037</t>
  </si>
  <si>
    <t>Currency key</t>
  </si>
  <si>
    <t>BD</t>
  </si>
  <si>
    <t>Receipts Clearing</t>
  </si>
  <si>
    <t>039</t>
  </si>
  <si>
    <t>Project number</t>
  </si>
  <si>
    <t>BE</t>
  </si>
  <si>
    <t>Miscellaneous Clearing</t>
  </si>
  <si>
    <t>055</t>
  </si>
  <si>
    <t>Fiscal year, month</t>
  </si>
  <si>
    <t>BK</t>
  </si>
  <si>
    <t>Treasury Clearing</t>
  </si>
  <si>
    <t>Cash discnt clearing</t>
  </si>
  <si>
    <t>F0</t>
  </si>
  <si>
    <t>Posting to bank account</t>
  </si>
  <si>
    <t>Open Item Managed</t>
  </si>
  <si>
    <t>Value</t>
  </si>
  <si>
    <t>Open Item Managed Full Description</t>
  </si>
  <si>
    <t>Interest Indicator</t>
  </si>
  <si>
    <t>Interest Indicator Name</t>
  </si>
  <si>
    <t>Interest Indicator Full Name</t>
  </si>
  <si>
    <t>OIM Not Checked</t>
  </si>
  <si>
    <t>OIM Checked</t>
  </si>
  <si>
    <t>OIM Checked - X</t>
  </si>
  <si>
    <t>C</t>
  </si>
  <si>
    <t>SEI</t>
  </si>
  <si>
    <t>E</t>
  </si>
  <si>
    <t>SETS</t>
  </si>
  <si>
    <t>Only Post Automatically</t>
  </si>
  <si>
    <t>Only Post Automatically Full Description</t>
  </si>
  <si>
    <t>U</t>
  </si>
  <si>
    <t>SEUSA</t>
  </si>
  <si>
    <t>Post Automatically Not Checked</t>
  </si>
  <si>
    <t>Post Automatically Checked</t>
  </si>
  <si>
    <t>Post Automatically Checked - X</t>
  </si>
  <si>
    <t>Tax Category</t>
  </si>
  <si>
    <t>Tax Category Description</t>
  </si>
  <si>
    <t>Tax Category Full Description</t>
  </si>
  <si>
    <t>Posting Without Tax Allowed</t>
  </si>
  <si>
    <t>Posting Without Tax Allowed Full Description</t>
  </si>
  <si>
    <t>&gt;</t>
  </si>
  <si>
    <t>Output Tax Account</t>
  </si>
  <si>
    <t>Posting Without Tax Allowed Not Checked</t>
  </si>
  <si>
    <t>&lt;</t>
  </si>
  <si>
    <t>Input Tax Account</t>
  </si>
  <si>
    <t>Posting Without Tax Allowed Checked</t>
  </si>
  <si>
    <t>Posting Without Tax Allowed Checked - X</t>
  </si>
  <si>
    <t>+B</t>
  </si>
  <si>
    <t>Output tax - down payments managed gross</t>
  </si>
  <si>
    <t>+</t>
  </si>
  <si>
    <t>Only output tax allowed</t>
  </si>
  <si>
    <t>P&amp;L Statement Account Type</t>
  </si>
  <si>
    <t>P&amp;L Statement Account Type Full Description</t>
  </si>
  <si>
    <t>*</t>
  </si>
  <si>
    <t>All tax types allowed</t>
  </si>
  <si>
    <t>P&amp;L Statement Account Not Checked</t>
  </si>
  <si>
    <t>P&amp;L Statement  Not Checked</t>
  </si>
  <si>
    <t>-B</t>
  </si>
  <si>
    <t>Input tax - down payments managed gross</t>
  </si>
  <si>
    <t>P&amp;L Statement Account Checked</t>
  </si>
  <si>
    <t>P&amp;L Statement Checked - X</t>
  </si>
  <si>
    <t>-</t>
  </si>
  <si>
    <t>Only input tax allowed</t>
  </si>
  <si>
    <t>Monetary Account</t>
  </si>
  <si>
    <t>Monetary Account Full Description</t>
  </si>
  <si>
    <t>Reconciliation Acct</t>
  </si>
  <si>
    <t>Reconcilication Acct Name</t>
  </si>
  <si>
    <t>Reconciliation Acct Full Name</t>
  </si>
  <si>
    <t>Monetary Account Not Checked</t>
  </si>
  <si>
    <t>Monetary Account Checked</t>
  </si>
  <si>
    <t>Monetary Account Checked - X</t>
  </si>
  <si>
    <t>A</t>
  </si>
  <si>
    <t>Assets</t>
  </si>
  <si>
    <t>D</t>
  </si>
  <si>
    <t>Customers</t>
  </si>
  <si>
    <t>Only Balances in Local Currency</t>
  </si>
  <si>
    <t>Only Balances in Local Currency Full Description</t>
  </si>
  <si>
    <t>K</t>
  </si>
  <si>
    <t>Vendors</t>
  </si>
  <si>
    <t>Only Balances in Local Currency Not Checked</t>
  </si>
  <si>
    <t>V</t>
  </si>
  <si>
    <t>Contract Account Receivable</t>
  </si>
  <si>
    <t>Only Balances in Local Currency Checked</t>
  </si>
  <si>
    <t>Only Balances in Local Currency Checked - X</t>
  </si>
  <si>
    <t>Recovery Indicator</t>
  </si>
  <si>
    <t>Indicator Description (S4 In-scope values to be added by Christina C)</t>
  </si>
  <si>
    <t>Recovery Indicator Full Description</t>
  </si>
  <si>
    <t>Relevant to 
Cash Flow</t>
  </si>
  <si>
    <t>Relevant to 
Cash Flow Full Description</t>
  </si>
  <si>
    <t>Relevant to 
Cash Flow Not Checked</t>
  </si>
  <si>
    <t>BR</t>
  </si>
  <si>
    <t>Billable (JVA) Recoverable (PSC)</t>
  </si>
  <si>
    <t>Relevant to 
Cash Flow Checked</t>
  </si>
  <si>
    <t>Relevant to 
Cash Flow Checked - X</t>
  </si>
  <si>
    <t>BN</t>
  </si>
  <si>
    <t>Billable (JVA) Non-Recverable (PSC)</t>
  </si>
  <si>
    <t>NR</t>
  </si>
  <si>
    <t>Non-Billable (JVA) Rec (PSC)</t>
  </si>
  <si>
    <t>NB</t>
  </si>
  <si>
    <t>Non-Billable (JVA) Non-rec (PSA)</t>
  </si>
  <si>
    <t>CP</t>
  </si>
  <si>
    <t xml:space="preserve">Please populate all Mandatory Fields as much as you can; add your comments in Note Section if you are not sure for the fields; if more GL Accts are requested, please create new tab to populate the requesting info for each GL </t>
  </si>
  <si>
    <t>Colour Legend</t>
  </si>
  <si>
    <t>S4 Application Module</t>
  </si>
  <si>
    <t>Comments</t>
  </si>
  <si>
    <t>Add</t>
  </si>
  <si>
    <t>Chart of Accounts</t>
  </si>
  <si>
    <t>GL Field</t>
  </si>
  <si>
    <t>S4 Hierarchy Node 
(IFRS FSV)</t>
  </si>
  <si>
    <t>Reference GL Number (ECC or S4)</t>
  </si>
  <si>
    <t>Reference GL Company Code (ECC or S4)</t>
  </si>
  <si>
    <t>Requested S4 GL Account Number **</t>
  </si>
  <si>
    <r>
      <t xml:space="preserve">S4 GL Account Short Name **
</t>
    </r>
    <r>
      <rPr>
        <sz val="10"/>
        <rFont val="Arial"/>
        <family val="2"/>
      </rPr>
      <t>(max 20 char)</t>
    </r>
  </si>
  <si>
    <r>
      <t xml:space="preserve">S4 GL Account Long Name **
</t>
    </r>
    <r>
      <rPr>
        <sz val="10"/>
        <rFont val="Arial"/>
        <family val="2"/>
      </rPr>
      <t>(max 50 char)</t>
    </r>
  </si>
  <si>
    <r>
      <t xml:space="preserve">GL Account Type **
</t>
    </r>
    <r>
      <rPr>
        <sz val="10"/>
        <rFont val="Arial"/>
        <family val="2"/>
      </rPr>
      <t>(Drop Down)</t>
    </r>
  </si>
  <si>
    <r>
      <t xml:space="preserve">Account Group **
</t>
    </r>
    <r>
      <rPr>
        <sz val="10"/>
        <rFont val="Arial"/>
        <family val="2"/>
      </rPr>
      <t>(Drop Down)</t>
    </r>
  </si>
  <si>
    <r>
      <t xml:space="preserve">Functional Area
</t>
    </r>
    <r>
      <rPr>
        <sz val="10"/>
        <rFont val="Arial"/>
        <family val="2"/>
      </rPr>
      <t>(Drop Down)</t>
    </r>
  </si>
  <si>
    <t>Company Code</t>
  </si>
  <si>
    <t>GL Attribute Value</t>
  </si>
  <si>
    <t>**</t>
  </si>
  <si>
    <t>Mandatory</t>
  </si>
  <si>
    <t>Requestor Comment</t>
  </si>
  <si>
    <t>Conditionally Mandatory</t>
  </si>
  <si>
    <t>Mandatory GL Field</t>
  </si>
  <si>
    <r>
      <t xml:space="preserve">S4 Company Code(s) **
</t>
    </r>
    <r>
      <rPr>
        <sz val="9"/>
        <rFont val="Arial"/>
        <family val="2"/>
      </rPr>
      <t>(Enter "All" or separate multiple entries with a semi-colon, ex. "1000; 1010")</t>
    </r>
  </si>
  <si>
    <r>
      <t xml:space="preserve">Cost Element Category *
</t>
    </r>
    <r>
      <rPr>
        <sz val="10"/>
        <rFont val="Arial"/>
        <family val="2"/>
      </rPr>
      <t>(Drop Down)</t>
    </r>
  </si>
  <si>
    <r>
      <t xml:space="preserve">Open Item Management
</t>
    </r>
    <r>
      <rPr>
        <sz val="10"/>
        <rFont val="Arial"/>
        <family val="2"/>
      </rPr>
      <t>(Drop Down)</t>
    </r>
  </si>
  <si>
    <r>
      <t xml:space="preserve">Reconciliation Account (Indicator) *
</t>
    </r>
    <r>
      <rPr>
        <sz val="10"/>
        <rFont val="Arial"/>
        <family val="2"/>
      </rPr>
      <t>(Drop Down)</t>
    </r>
  </si>
  <si>
    <r>
      <t xml:space="preserve">Sort Key
</t>
    </r>
    <r>
      <rPr>
        <sz val="10"/>
        <rFont val="Arial"/>
        <family val="2"/>
      </rPr>
      <t>(Drop Down)</t>
    </r>
  </si>
  <si>
    <r>
      <t xml:space="preserve">Tax Category
</t>
    </r>
    <r>
      <rPr>
        <sz val="10"/>
        <rFont val="Arial"/>
        <family val="2"/>
      </rPr>
      <t>(Drop Down)</t>
    </r>
  </si>
  <si>
    <r>
      <t xml:space="preserve">Posting Without Tax Allowed
</t>
    </r>
    <r>
      <rPr>
        <sz val="10"/>
        <rFont val="Arial"/>
        <family val="2"/>
      </rPr>
      <t>(Drop Down)</t>
    </r>
  </si>
  <si>
    <r>
      <t xml:space="preserve">Recovery Indicator *
</t>
    </r>
    <r>
      <rPr>
        <sz val="10"/>
        <rFont val="Arial"/>
        <family val="2"/>
      </rPr>
      <t>(Drop Down)</t>
    </r>
  </si>
  <si>
    <t>TBD</t>
  </si>
  <si>
    <t>Optional</t>
  </si>
  <si>
    <t>CB / Cutback</t>
  </si>
  <si>
    <t>1100 - UOM M3 + Repmat + Partner</t>
  </si>
  <si>
    <t>Additional GL Field</t>
  </si>
  <si>
    <r>
      <t xml:space="preserve">Monetary Account
</t>
    </r>
    <r>
      <rPr>
        <sz val="10"/>
        <rFont val="Arial"/>
        <family val="2"/>
      </rPr>
      <t>(Drop Down)</t>
    </r>
  </si>
  <si>
    <r>
      <t xml:space="preserve">P&amp;L Statement Account Type
</t>
    </r>
    <r>
      <rPr>
        <sz val="10"/>
        <rFont val="Arial"/>
        <family val="2"/>
      </rPr>
      <t>(Drop Down)</t>
    </r>
  </si>
  <si>
    <t>Account Currency</t>
  </si>
  <si>
    <r>
      <t xml:space="preserve">Only Balances in Local Currency
</t>
    </r>
    <r>
      <rPr>
        <sz val="10"/>
        <rFont val="Arial"/>
        <family val="2"/>
      </rPr>
      <t>(Drop Down)</t>
    </r>
  </si>
  <si>
    <r>
      <t xml:space="preserve">Exchange Rate Difference Key
</t>
    </r>
    <r>
      <rPr>
        <sz val="10"/>
        <rFont val="Arial"/>
        <family val="2"/>
      </rPr>
      <t>(Drop Down)</t>
    </r>
  </si>
  <si>
    <t>Alternative Account Number *</t>
  </si>
  <si>
    <r>
      <t xml:space="preserve">Field Status Group **
</t>
    </r>
    <r>
      <rPr>
        <sz val="10"/>
        <rFont val="Arial"/>
        <family val="2"/>
      </rPr>
      <t>(Drop Down)</t>
    </r>
  </si>
  <si>
    <r>
      <t xml:space="preserve">Only Post Automatically
</t>
    </r>
    <r>
      <rPr>
        <sz val="10"/>
        <rFont val="Arial"/>
        <family val="2"/>
      </rPr>
      <t>(Drop Down)</t>
    </r>
  </si>
  <si>
    <t>BI / Billable Entries</t>
  </si>
  <si>
    <t>1080 - UOM BBL + Repmat + Partner</t>
  </si>
  <si>
    <t>BS / Settlement of BI order entries</t>
  </si>
  <si>
    <t>1090 - UOM MCF + Repmat + Partner</t>
  </si>
  <si>
    <r>
      <t xml:space="preserve">Planning Level *
</t>
    </r>
    <r>
      <rPr>
        <sz val="10"/>
        <rFont val="Arial"/>
        <family val="2"/>
      </rPr>
      <t>(Drop Down)</t>
    </r>
  </si>
  <si>
    <r>
      <t xml:space="preserve">Relevant to 
Cash Flow *
</t>
    </r>
    <r>
      <rPr>
        <sz val="10"/>
        <rFont val="Arial"/>
        <family val="2"/>
      </rPr>
      <t>(Drop Down)</t>
    </r>
  </si>
  <si>
    <t>House Bank *</t>
  </si>
  <si>
    <t>Account ID *</t>
  </si>
  <si>
    <r>
      <t xml:space="preserve">Interest Indicator *
</t>
    </r>
    <r>
      <rPr>
        <sz val="10"/>
        <rFont val="Arial"/>
        <family val="2"/>
      </rPr>
      <t>(Drop Down)</t>
    </r>
  </si>
  <si>
    <r>
      <t xml:space="preserve">FR French GL Account Short Name
</t>
    </r>
    <r>
      <rPr>
        <sz val="10"/>
        <rFont val="Arial"/>
        <family val="2"/>
      </rPr>
      <t>(max 20 char)</t>
    </r>
  </si>
  <si>
    <t>FR French GL Account Long Name</t>
  </si>
  <si>
    <t>Activity Type</t>
  </si>
  <si>
    <t>Common Fields</t>
  </si>
  <si>
    <t>A1 / Equity Adj. Reverse Postings BI</t>
  </si>
  <si>
    <t>GL Account Number</t>
  </si>
  <si>
    <r>
      <t xml:space="preserve">GL Account Name </t>
    </r>
    <r>
      <rPr>
        <b/>
        <i/>
        <sz val="10"/>
        <rFont val="Tahoma"/>
        <family val="2"/>
      </rPr>
      <t>(English)</t>
    </r>
    <r>
      <rPr>
        <b/>
        <sz val="10"/>
        <rFont val="Tahoma"/>
        <family val="2"/>
      </rPr>
      <t xml:space="preserve"> 
</t>
    </r>
    <r>
      <rPr>
        <sz val="8"/>
        <rFont val="Tahoma"/>
        <family val="2"/>
      </rPr>
      <t>(max 20 char)</t>
    </r>
  </si>
  <si>
    <r>
      <t xml:space="preserve">GL Account Description </t>
    </r>
    <r>
      <rPr>
        <b/>
        <i/>
        <sz val="10"/>
        <rFont val="Tahoma"/>
        <family val="2"/>
      </rPr>
      <t>(English)</t>
    </r>
    <r>
      <rPr>
        <b/>
        <sz val="10"/>
        <rFont val="Tahoma"/>
        <family val="2"/>
      </rPr>
      <t xml:space="preserve">
</t>
    </r>
    <r>
      <rPr>
        <sz val="8"/>
        <rFont val="Tahoma"/>
        <family val="2"/>
      </rPr>
      <t>(max 50 char)</t>
    </r>
  </si>
  <si>
    <r>
      <t xml:space="preserve">Company Code(s)
</t>
    </r>
    <r>
      <rPr>
        <sz val="9"/>
        <rFont val="Tahoma"/>
        <family val="2"/>
      </rPr>
      <t>(Enter "All" or separate multiple entries with a semi-colon, ex. "1000; 1010")</t>
    </r>
  </si>
  <si>
    <r>
      <t xml:space="preserve">Account Group
</t>
    </r>
    <r>
      <rPr>
        <sz val="9"/>
        <rFont val="Tahoma"/>
        <family val="2"/>
      </rPr>
      <t>(select from dropdown)</t>
    </r>
  </si>
  <si>
    <r>
      <t xml:space="preserve">Cost Element Category 
</t>
    </r>
    <r>
      <rPr>
        <sz val="9"/>
        <rFont val="Tahoma"/>
        <family val="2"/>
      </rPr>
      <t>(select from dropdown)</t>
    </r>
  </si>
  <si>
    <r>
      <t xml:space="preserve">Cost Element Functional Area
</t>
    </r>
    <r>
      <rPr>
        <sz val="9"/>
        <rFont val="Tahoma"/>
        <family val="2"/>
      </rPr>
      <t>(select from dropdown)</t>
    </r>
  </si>
  <si>
    <r>
      <t xml:space="preserve">Only Balances in Local Currency
</t>
    </r>
    <r>
      <rPr>
        <sz val="9"/>
        <rFont val="Tahoma"/>
        <family val="2"/>
      </rPr>
      <t>(select from dropdown)
TRUE = Box Checked</t>
    </r>
  </si>
  <si>
    <r>
      <t xml:space="preserve">Posting Without Tax Allowed
</t>
    </r>
    <r>
      <rPr>
        <sz val="9"/>
        <rFont val="Tahoma"/>
        <family val="2"/>
      </rPr>
      <t>(select from dropdown)</t>
    </r>
    <r>
      <rPr>
        <b/>
        <sz val="10"/>
        <rFont val="Tahoma"/>
        <family val="2"/>
      </rPr>
      <t xml:space="preserve">
</t>
    </r>
    <r>
      <rPr>
        <sz val="9"/>
        <rFont val="Tahoma"/>
        <family val="2"/>
      </rPr>
      <t>TRUE = Box Checked</t>
    </r>
  </si>
  <si>
    <t>Line Item Display</t>
  </si>
  <si>
    <r>
      <t xml:space="preserve">Only Post Automatically
</t>
    </r>
    <r>
      <rPr>
        <sz val="9"/>
        <rFont val="Tahoma"/>
        <family val="2"/>
      </rPr>
      <t>(select from dropdown)</t>
    </r>
    <r>
      <rPr>
        <b/>
        <sz val="9"/>
        <rFont val="Tahoma"/>
        <family val="2"/>
      </rPr>
      <t xml:space="preserve">
</t>
    </r>
    <r>
      <rPr>
        <sz val="9"/>
        <rFont val="Tahoma"/>
        <family val="2"/>
      </rPr>
      <t>TRUE = Box Checked</t>
    </r>
  </si>
  <si>
    <t>Country Key</t>
  </si>
  <si>
    <r>
      <t xml:space="preserve">Blocked for creation
</t>
    </r>
    <r>
      <rPr>
        <sz val="9"/>
        <rFont val="Tahoma"/>
        <family val="2"/>
      </rPr>
      <t>(select from dropdown)</t>
    </r>
    <r>
      <rPr>
        <b/>
        <sz val="9"/>
        <rFont val="Tahoma"/>
        <family val="2"/>
      </rPr>
      <t xml:space="preserve">
</t>
    </r>
    <r>
      <rPr>
        <sz val="9"/>
        <rFont val="Tahoma"/>
        <family val="2"/>
      </rPr>
      <t>TRUE = Box Checked</t>
    </r>
  </si>
  <si>
    <r>
      <t xml:space="preserve">Blocked for posting
</t>
    </r>
    <r>
      <rPr>
        <sz val="9"/>
        <rFont val="Tahoma"/>
        <family val="2"/>
      </rPr>
      <t>(select from dropdown)</t>
    </r>
    <r>
      <rPr>
        <b/>
        <sz val="9"/>
        <rFont val="Tahoma"/>
        <family val="2"/>
      </rPr>
      <t xml:space="preserve">
</t>
    </r>
    <r>
      <rPr>
        <sz val="9"/>
        <rFont val="Tahoma"/>
        <family val="2"/>
      </rPr>
      <t>TRUE = Box Checked</t>
    </r>
  </si>
  <si>
    <r>
      <t xml:space="preserve">Blocked for planning
</t>
    </r>
    <r>
      <rPr>
        <sz val="9"/>
        <rFont val="Tahoma"/>
        <family val="2"/>
      </rPr>
      <t>(select from dropdown)</t>
    </r>
    <r>
      <rPr>
        <b/>
        <sz val="9"/>
        <rFont val="Tahoma"/>
        <family val="2"/>
      </rPr>
      <t xml:space="preserve">
</t>
    </r>
    <r>
      <rPr>
        <sz val="9"/>
        <rFont val="Tahoma"/>
        <family val="2"/>
      </rPr>
      <t>TRUE = Box Checked</t>
    </r>
  </si>
  <si>
    <r>
      <t xml:space="preserve">Blocked for posting   (Company Code)
</t>
    </r>
    <r>
      <rPr>
        <sz val="9"/>
        <rFont val="Tahoma"/>
        <family val="2"/>
      </rPr>
      <t>(select from dropdown)</t>
    </r>
    <r>
      <rPr>
        <b/>
        <sz val="9"/>
        <rFont val="Tahoma"/>
        <family val="2"/>
      </rPr>
      <t xml:space="preserve">
</t>
    </r>
    <r>
      <rPr>
        <sz val="9"/>
        <rFont val="Tahoma"/>
        <family val="2"/>
      </rPr>
      <t>TRUE = Box Checked</t>
    </r>
  </si>
  <si>
    <t>0_T_EXTRNL</t>
  </si>
  <si>
    <t>OSFIN</t>
  </si>
  <si>
    <t>1_P_RM_OP</t>
  </si>
  <si>
    <t>1_P_EP</t>
  </si>
  <si>
    <t>R1000</t>
  </si>
  <si>
    <t>0_T3_MGMT</t>
  </si>
  <si>
    <t>0_P_EXTRNL</t>
  </si>
  <si>
    <t>0_P_INTRNL</t>
  </si>
  <si>
    <t>ZSETTLE</t>
  </si>
  <si>
    <t>ZVALUE_CAT</t>
  </si>
  <si>
    <t>BPS_Custom</t>
  </si>
  <si>
    <t>BCS Account Number</t>
  </si>
  <si>
    <r>
      <t xml:space="preserve">Short Name      </t>
    </r>
    <r>
      <rPr>
        <i/>
        <sz val="10"/>
        <rFont val="Tahoma"/>
        <family val="2"/>
      </rPr>
      <t>(20 character limit)</t>
    </r>
  </si>
  <si>
    <r>
      <t xml:space="preserve">Medium Name      </t>
    </r>
    <r>
      <rPr>
        <i/>
        <sz val="10"/>
        <rFont val="Tahoma"/>
        <family val="2"/>
      </rPr>
      <t>(40 character limit)</t>
    </r>
  </si>
  <si>
    <r>
      <t xml:space="preserve">Long Name </t>
    </r>
    <r>
      <rPr>
        <sz val="10"/>
        <rFont val="Tahoma"/>
        <family val="2"/>
      </rPr>
      <t xml:space="preserve">     </t>
    </r>
    <r>
      <rPr>
        <i/>
        <sz val="10"/>
        <rFont val="Tahoma"/>
        <family val="2"/>
      </rPr>
      <t>(50 character limit)</t>
    </r>
  </si>
  <si>
    <t>Dr./Cr. Sign</t>
  </si>
  <si>
    <r>
      <t xml:space="preserve">Breakdown Category
</t>
    </r>
    <r>
      <rPr>
        <sz val="9"/>
        <rFont val="Tahoma"/>
        <family val="2"/>
      </rPr>
      <t>(select from dropdown)</t>
    </r>
  </si>
  <si>
    <t>Item Type</t>
  </si>
  <si>
    <t>A2 / Equity Adj. Rebook Postings BI</t>
  </si>
  <si>
    <t>1000 (default)</t>
  </si>
  <si>
    <t>CA (default)</t>
  </si>
  <si>
    <t>1010 - Ttype Asset Cost</t>
  </si>
  <si>
    <t>A3 / Equity Adj. Reverse BI Adjustment</t>
  </si>
  <si>
    <t>Activity rate Add / Update MDCR Form</t>
  </si>
  <si>
    <t>REQUEST INFORMATION</t>
  </si>
  <si>
    <t>Action:</t>
  </si>
  <si>
    <t>REQUESTOR INFORMATION</t>
  </si>
  <si>
    <t>Request Date:</t>
  </si>
  <si>
    <t>Requestor's Name:</t>
  </si>
  <si>
    <t>Business Unit:</t>
  </si>
  <si>
    <t>Reason Category:</t>
  </si>
  <si>
    <t>Version</t>
  </si>
  <si>
    <t>Plan/Act - Version</t>
  </si>
  <si>
    <t>Period</t>
  </si>
  <si>
    <t>To</t>
  </si>
  <si>
    <t>Fiscal Year</t>
  </si>
  <si>
    <t>Rate</t>
  </si>
  <si>
    <t>Profit Center Number</t>
  </si>
  <si>
    <t>Status</t>
  </si>
  <si>
    <t>Analysis Period</t>
  </si>
  <si>
    <r>
      <t xml:space="preserve">Profit Center Name 
</t>
    </r>
    <r>
      <rPr>
        <sz val="8"/>
        <rFont val="Tahoma"/>
        <family val="2"/>
      </rPr>
      <t>(max 20 char)</t>
    </r>
  </si>
  <si>
    <r>
      <t xml:space="preserve">Profit Center Description
</t>
    </r>
    <r>
      <rPr>
        <sz val="8"/>
        <rFont val="Tahoma"/>
        <family val="2"/>
      </rPr>
      <t>(max 40 char)</t>
    </r>
  </si>
  <si>
    <t xml:space="preserve">Position Responsible
</t>
  </si>
  <si>
    <r>
      <t xml:space="preserve">Department
</t>
    </r>
    <r>
      <rPr>
        <sz val="8"/>
        <rFont val="Tahoma"/>
        <family val="2"/>
      </rPr>
      <t>(max 12 char)</t>
    </r>
  </si>
  <si>
    <r>
      <t xml:space="preserve">Profit Center Group
</t>
    </r>
    <r>
      <rPr>
        <b/>
        <sz val="9"/>
        <rFont val="Tahoma"/>
        <family val="2"/>
      </rPr>
      <t>(PSSUNTOT)</t>
    </r>
  </si>
  <si>
    <r>
      <t xml:space="preserve">Dummy Profit Center
</t>
    </r>
    <r>
      <rPr>
        <sz val="9"/>
        <rFont val="Tahoma"/>
        <family val="2"/>
      </rPr>
      <t>(TRUE = Box Checked)</t>
    </r>
  </si>
  <si>
    <r>
      <t xml:space="preserve">Lock Indicator
</t>
    </r>
    <r>
      <rPr>
        <sz val="9"/>
        <rFont val="Tahoma"/>
        <family val="2"/>
      </rPr>
      <t>(Select from dropdown)</t>
    </r>
  </si>
  <si>
    <t>Form Planning Temp</t>
  </si>
  <si>
    <t>Assigned Company Codes with JV Accounting</t>
  </si>
  <si>
    <t>Name 1</t>
  </si>
  <si>
    <t>Name 2</t>
  </si>
  <si>
    <t>Name 3</t>
  </si>
  <si>
    <t>Name 4</t>
  </si>
  <si>
    <t>Postal Code / Zip Code</t>
  </si>
  <si>
    <r>
      <t xml:space="preserve">Jurisdiction Code
</t>
    </r>
    <r>
      <rPr>
        <sz val="9"/>
        <rFont val="Tahoma"/>
        <family val="2"/>
      </rPr>
      <t>(select from dropdown)</t>
    </r>
  </si>
  <si>
    <t>PBUSUNTOT</t>
  </si>
  <si>
    <t>PSEGSUNTOT</t>
  </si>
  <si>
    <t>M01</t>
  </si>
  <si>
    <t>Short Name</t>
  </si>
  <si>
    <t>Medium Name</t>
  </si>
  <si>
    <t>Company Code Assignment</t>
  </si>
  <si>
    <t>Fiscal Year Variant</t>
  </si>
  <si>
    <t>Year of First Data Entry</t>
  </si>
  <si>
    <t>Period of First Data Entry</t>
  </si>
  <si>
    <t>BCS_PC01 Business Unit Hierarchy</t>
  </si>
  <si>
    <t>BCS_PC02 Segment Hierarchy</t>
  </si>
  <si>
    <t>BCS_PC04 Source System View</t>
  </si>
  <si>
    <t>BCS_PC11 (M01)</t>
  </si>
  <si>
    <t>Year of First Consolidation</t>
  </si>
  <si>
    <t>Period of First Consolidation</t>
  </si>
  <si>
    <t>Service Order Number</t>
  </si>
  <si>
    <t>Active (default)</t>
  </si>
  <si>
    <t>1998/01/01 - 9999/12/31 (default)</t>
  </si>
  <si>
    <t>Profit Center Add Summary</t>
  </si>
  <si>
    <t>Mandatory Fields</t>
  </si>
  <si>
    <t>Activity (Default)</t>
  </si>
  <si>
    <t>1998/01/01 - 9999/12/31 (Default)</t>
  </si>
  <si>
    <t>Profit Center Add BCS</t>
  </si>
  <si>
    <t>Additional Fields Add</t>
  </si>
  <si>
    <t>Additional Fields</t>
  </si>
  <si>
    <t>Profit Center Update Summary</t>
  </si>
  <si>
    <t>Most Common Fields to Update</t>
  </si>
  <si>
    <t>Profit Center Update BCS</t>
  </si>
  <si>
    <t>Additional Fields Update</t>
  </si>
  <si>
    <t>Profit Center Block Summary</t>
  </si>
  <si>
    <t>Inactive</t>
  </si>
  <si>
    <t>Profit Center Block BCS</t>
  </si>
  <si>
    <t>Additional Fields Block</t>
  </si>
  <si>
    <t xml:space="preserve">Additional Fields </t>
  </si>
  <si>
    <t>Hierarchy / Group MDCR Form</t>
  </si>
  <si>
    <r>
      <t xml:space="preserve">Engage Consolidations group </t>
    </r>
    <r>
      <rPr>
        <sz val="9"/>
        <color rgb="FF0070C0"/>
        <rFont val="Arial"/>
        <family val="2"/>
      </rPr>
      <t>FinanceME@Suncor.com</t>
    </r>
    <r>
      <rPr>
        <sz val="9"/>
        <rFont val="Arial"/>
        <family val="2"/>
      </rPr>
      <t xml:space="preserve"> before submitting workflow for Profit Centers, and GL related hierarchies (new nodes, and movement of existing data).</t>
    </r>
  </si>
  <si>
    <t>REQUEST TYPE</t>
  </si>
  <si>
    <t>Type</t>
  </si>
  <si>
    <t>Only one type of hierarchy or group is allowed per form</t>
  </si>
  <si>
    <t>Reason and Rational:</t>
  </si>
  <si>
    <t>MDCR APPROVALS</t>
  </si>
  <si>
    <t>BU/Function Finance Requestor Name:</t>
  </si>
  <si>
    <t>WRITTEN DIRECTIONS</t>
  </si>
  <si>
    <t>Create NEW Node(s)</t>
  </si>
  <si>
    <t>(New) Node Name</t>
  </si>
  <si>
    <t>ECC6 or BCS?</t>
  </si>
  <si>
    <t>(New) Node Key</t>
  </si>
  <si>
    <t>Location for New Node (Under)</t>
  </si>
  <si>
    <t>Instructions (list each affected hierarchy ie. CBUSUNTOT, ALL_PROD, CBOSISFIN)</t>
  </si>
  <si>
    <t>Proposed Example SubName</t>
  </si>
  <si>
    <t>NEWNODE</t>
  </si>
  <si>
    <t>PARENTNODE</t>
  </si>
  <si>
    <t>ADD EXISTING Master Data to Node(s)</t>
  </si>
  <si>
    <t>Master Data Object Name</t>
  </si>
  <si>
    <t>Master Data Object</t>
  </si>
  <si>
    <t>Existing Location for Object (Under)</t>
  </si>
  <si>
    <t>New Location for Object (Under)</t>
  </si>
  <si>
    <t>Existing Master Data Name</t>
  </si>
  <si>
    <t>MD #</t>
  </si>
  <si>
    <t>(N/A)</t>
  </si>
  <si>
    <t>NODENAME</t>
  </si>
  <si>
    <t>Move EXISTING Master Data to Node(s)</t>
  </si>
  <si>
    <t>Move EXISTING Node(s) to Node(s)</t>
  </si>
  <si>
    <t>Node Name</t>
  </si>
  <si>
    <t>Node Key</t>
  </si>
  <si>
    <t>Existing Location for Node (Under)</t>
  </si>
  <si>
    <t>New Location for Node (Under)</t>
  </si>
  <si>
    <t>Existing Node Name</t>
  </si>
  <si>
    <t>PARENTNODE-A</t>
  </si>
  <si>
    <t>PARENTNODE-B</t>
  </si>
  <si>
    <t>Remove EXISTING Master Data from Node(s)</t>
  </si>
  <si>
    <t xml:space="preserve">Existing Location </t>
  </si>
  <si>
    <t>Remove EXISTING Node(s) from hierarchies specified</t>
  </si>
  <si>
    <t>Note: If there are any elements still attached to a node, the node cannot be removed</t>
  </si>
  <si>
    <r>
      <t xml:space="preserve">Change EXISTING Node Name(s) </t>
    </r>
    <r>
      <rPr>
        <b/>
        <i/>
        <sz val="10"/>
        <rFont val="Arial"/>
        <family val="2"/>
      </rPr>
      <t>related to this request</t>
    </r>
  </si>
  <si>
    <t>New Node Name</t>
  </si>
  <si>
    <r>
      <t xml:space="preserve">Activity Type
</t>
    </r>
    <r>
      <rPr>
        <sz val="9"/>
        <rFont val="Tahoma"/>
        <family val="2"/>
      </rPr>
      <t>(max 6 char)</t>
    </r>
  </si>
  <si>
    <t>Valid From</t>
  </si>
  <si>
    <t>Valid To</t>
  </si>
  <si>
    <r>
      <t xml:space="preserve">Name
</t>
    </r>
    <r>
      <rPr>
        <sz val="9"/>
        <rFont val="Tahoma"/>
        <family val="2"/>
      </rPr>
      <t>(max 20 char)</t>
    </r>
  </si>
  <si>
    <r>
      <t xml:space="preserve">Description
</t>
    </r>
    <r>
      <rPr>
        <sz val="9"/>
        <rFont val="Tahoma"/>
        <family val="2"/>
      </rPr>
      <t>(max 40 char)</t>
    </r>
  </si>
  <si>
    <t>Activity Unit</t>
  </si>
  <si>
    <t>Cost Centre Categories</t>
  </si>
  <si>
    <t>Activity Type Category</t>
  </si>
  <si>
    <t>Allocation Cost Element</t>
  </si>
  <si>
    <t>Price Indicator</t>
  </si>
  <si>
    <t>Actual Activity Type Category</t>
  </si>
  <si>
    <t>Actual Price Indicator</t>
  </si>
  <si>
    <t>Output Unit</t>
  </si>
  <si>
    <t>Output Factor</t>
  </si>
  <si>
    <t>ALL_ATYPE</t>
  </si>
  <si>
    <t>EP_ATYPE</t>
  </si>
  <si>
    <t>LAB_MTCE</t>
  </si>
  <si>
    <t>LPXABC</t>
  </si>
  <si>
    <t>MP_ATYPE</t>
  </si>
  <si>
    <t>ZBPS_ACTYP
(reqd for OS)</t>
  </si>
  <si>
    <t>ZSUNL_GRP</t>
  </si>
  <si>
    <t>31/12/9999</t>
  </si>
  <si>
    <t>default is * (All Categories)</t>
  </si>
  <si>
    <t>default is 1 (Manual entry, allocation)</t>
  </si>
  <si>
    <t>Activity Type Add</t>
  </si>
  <si>
    <t xml:space="preserve">Mandatory Fields </t>
  </si>
  <si>
    <t>Unlocked</t>
  </si>
  <si>
    <t>Activity Type Update</t>
  </si>
  <si>
    <t xml:space="preserve"> Common Fields </t>
  </si>
  <si>
    <t>Activity Type Block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</si>
</sst>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409]mmmm\ d\,\ yyyy;@"/>
  </numFmts>
  <fonts count="88">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name val="Arial"/>
      <family val="2"/>
    </font>
    <font>
      <b/>
      <sz val="10"/>
      <name val="Arial"/>
      <family val="2"/>
    </font>
    <font>
      <sz val="10"/>
      <color indexed="8"/>
      <name val="Arial"/>
      <family val="2"/>
    </font>
    <font>
      <sz val="10"/>
      <color indexed="9"/>
      <name val="Arial"/>
      <family val="2"/>
    </font>
    <font>
      <sz val="10"/>
      <color indexed="20"/>
      <name val="Arial"/>
      <family val="2"/>
    </font>
    <font>
      <b/>
      <sz val="10"/>
      <color indexed="52"/>
      <name val="Arial"/>
      <family val="2"/>
    </font>
    <font>
      <b/>
      <sz val="10"/>
      <color indexed="9"/>
      <name val="Arial"/>
      <family val="2"/>
    </font>
    <font>
      <i/>
      <sz val="10"/>
      <color indexed="23"/>
      <name val="Arial"/>
      <family val="2"/>
    </font>
    <font>
      <sz val="10"/>
      <color indexed="17"/>
      <name val="Arial"/>
      <family val="2"/>
    </font>
    <font>
      <b/>
      <sz val="15"/>
      <color indexed="56"/>
      <name val="Arial"/>
      <family val="2"/>
    </font>
    <font>
      <b/>
      <sz val="13"/>
      <color indexed="56"/>
      <name val="Arial"/>
      <family val="2"/>
    </font>
    <font>
      <b/>
      <sz val="11"/>
      <color indexed="56"/>
      <name val="Arial"/>
      <family val="2"/>
    </font>
    <font>
      <sz val="10"/>
      <color indexed="62"/>
      <name val="Arial"/>
      <family val="2"/>
    </font>
    <font>
      <sz val="10"/>
      <color indexed="52"/>
      <name val="Arial"/>
      <family val="2"/>
    </font>
    <font>
      <sz val="10"/>
      <color indexed="60"/>
      <name val="Arial"/>
      <family val="2"/>
    </font>
    <font>
      <b/>
      <sz val="10"/>
      <color indexed="63"/>
      <name val="Arial"/>
      <family val="2"/>
    </font>
    <font>
      <b/>
      <sz val="18"/>
      <color indexed="56"/>
      <name val="Cambria"/>
      <family val="2"/>
    </font>
    <font>
      <b/>
      <sz val="10"/>
      <color indexed="8"/>
      <name val="Arial"/>
      <family val="2"/>
    </font>
    <font>
      <sz val="10"/>
      <color indexed="10"/>
      <name val="Arial"/>
      <family val="2"/>
    </font>
    <font>
      <sz val="8"/>
      <name val="Tahoma"/>
      <family val="2"/>
    </font>
    <font>
      <b/>
      <sz val="10"/>
      <name val="Tahoma"/>
      <family val="2"/>
    </font>
    <font>
      <b/>
      <sz val="10"/>
      <color indexed="9"/>
      <name val="Tahoma"/>
      <family val="2"/>
    </font>
    <font>
      <sz val="10"/>
      <name val="Tahoma"/>
      <family val="2"/>
    </font>
    <font>
      <b/>
      <sz val="9"/>
      <name val="Tahoma"/>
      <family val="2"/>
    </font>
    <font>
      <b/>
      <sz val="8"/>
      <name val="Tahoma"/>
      <family val="2"/>
    </font>
    <font>
      <i/>
      <sz val="9"/>
      <name val="Tahoma"/>
      <family val="2"/>
    </font>
    <font>
      <sz val="9"/>
      <name val="Tahoma"/>
      <family val="2"/>
    </font>
    <font>
      <b/>
      <sz val="10"/>
      <color indexed="12"/>
      <name val="Tahoma"/>
      <family val="2"/>
    </font>
    <font>
      <sz val="18"/>
      <name val="Arial"/>
      <family val="2"/>
    </font>
    <font>
      <b/>
      <sz val="24"/>
      <name val="Tahoma"/>
      <family val="2"/>
    </font>
    <font>
      <sz val="10"/>
      <name val="Arial"/>
      <family val="2"/>
    </font>
    <font>
      <b/>
      <sz val="10"/>
      <color theme="0"/>
      <name val="Arial"/>
      <family val="2"/>
    </font>
    <font>
      <sz val="9"/>
      <color indexed="81"/>
      <name val="Arial"/>
      <family val="2"/>
    </font>
    <font>
      <sz val="10"/>
      <color indexed="81"/>
      <name val="Arial"/>
      <family val="2"/>
    </font>
    <font>
      <sz val="9"/>
      <color indexed="81"/>
      <name val="Tahoma"/>
      <family val="2"/>
    </font>
    <font>
      <b/>
      <sz val="12"/>
      <name val="Arial"/>
      <family val="2"/>
    </font>
    <font>
      <sz val="2"/>
      <name val="Arial"/>
      <family val="2"/>
    </font>
    <font>
      <sz val="8"/>
      <name val="Arial"/>
      <family val="2"/>
    </font>
    <font>
      <b/>
      <sz val="8"/>
      <name val="Arial"/>
      <family val="2"/>
    </font>
    <font>
      <b/>
      <sz val="12"/>
      <color indexed="9"/>
      <name val="Arial"/>
      <family val="2"/>
    </font>
    <font>
      <i/>
      <sz val="8"/>
      <name val="Arial"/>
      <family val="2"/>
    </font>
    <font>
      <sz val="12"/>
      <name val="Arial"/>
      <family val="2"/>
    </font>
    <font>
      <b/>
      <sz val="9"/>
      <name val="Arial"/>
      <family val="2"/>
    </font>
    <font>
      <sz val="7"/>
      <name val="Arial"/>
      <family val="2"/>
    </font>
    <font>
      <sz val="9"/>
      <name val="Arial"/>
      <family val="2"/>
    </font>
    <font>
      <b/>
      <i/>
      <sz val="9"/>
      <color indexed="12"/>
      <name val="Arial"/>
      <family val="2"/>
    </font>
    <font>
      <i/>
      <sz val="9"/>
      <color indexed="12"/>
      <name val="Arial"/>
      <family val="2"/>
    </font>
    <font>
      <b/>
      <sz val="8"/>
      <color indexed="10"/>
      <name val="Arial"/>
      <family val="2"/>
    </font>
    <font>
      <b/>
      <sz val="10"/>
      <color rgb="FFFF0000"/>
      <name val="Arial"/>
      <family val="2"/>
    </font>
    <font>
      <b/>
      <sz val="9"/>
      <color theme="1"/>
      <name val="Arial"/>
      <family val="2"/>
    </font>
    <font>
      <sz val="9"/>
      <color theme="1"/>
      <name val="Arial"/>
      <family val="2"/>
    </font>
    <font>
      <u/>
      <sz val="10"/>
      <color theme="10"/>
      <name val="Arial"/>
      <family val="2"/>
    </font>
    <font>
      <sz val="11"/>
      <color theme="0"/>
      <name val="Calibri"/>
      <family val="2"/>
      <scheme val="minor"/>
    </font>
    <font>
      <b/>
      <i/>
      <sz val="10"/>
      <name val="Arial"/>
      <family val="2"/>
    </font>
    <font>
      <b/>
      <sz val="24"/>
      <color theme="1"/>
      <name val="Calibri"/>
      <family val="2"/>
      <scheme val="minor"/>
    </font>
    <font>
      <b/>
      <i/>
      <sz val="10"/>
      <name val="Tahoma"/>
      <family val="2"/>
    </font>
    <font>
      <i/>
      <sz val="10"/>
      <name val="Tahoma"/>
      <family val="2"/>
    </font>
    <font>
      <sz val="10"/>
      <color theme="0"/>
      <name val="Arial"/>
      <family val="2"/>
    </font>
    <font>
      <u/>
      <sz val="11"/>
      <color theme="10"/>
      <name val="Calibri"/>
      <family val="2"/>
      <scheme val="minor"/>
    </font>
    <font>
      <u/>
      <sz val="8"/>
      <color theme="10"/>
      <name val="Arial"/>
      <family val="2"/>
    </font>
    <font>
      <b/>
      <sz val="2"/>
      <name val="Tahoma"/>
      <family val="2"/>
    </font>
    <font>
      <b/>
      <sz val="9"/>
      <color indexed="12"/>
      <name val="Tahoma"/>
      <family val="2"/>
    </font>
    <font>
      <b/>
      <sz val="8"/>
      <color indexed="12"/>
      <name val="Tahoma"/>
      <family val="2"/>
    </font>
    <font>
      <i/>
      <sz val="8"/>
      <name val="Tahoma"/>
      <family val="2"/>
    </font>
    <font>
      <i/>
      <sz val="8"/>
      <color rgb="FFFF0000"/>
      <name val="Tahoma"/>
      <family val="2"/>
    </font>
    <font>
      <sz val="9"/>
      <color indexed="9"/>
      <name val="Tahoma"/>
      <family val="2"/>
    </font>
    <font>
      <sz val="8"/>
      <color theme="9" tint="-0.249977111117893"/>
      <name val="Tahoma"/>
      <family val="2"/>
    </font>
    <font>
      <b/>
      <sz val="8"/>
      <color theme="9" tint="-0.249977111117893"/>
      <name val="Tahoma"/>
      <family val="2"/>
    </font>
    <font>
      <sz val="7"/>
      <name val="Tahoma"/>
      <family val="2"/>
    </font>
    <font>
      <sz val="6"/>
      <name val="Arial"/>
      <family val="2"/>
    </font>
    <font>
      <sz val="9"/>
      <color rgb="FF0070C0"/>
      <name val="Arial"/>
      <family val="2"/>
    </font>
    <font>
      <sz val="11"/>
      <color rgb="FFFF0000"/>
      <name val="Calibri"/>
      <family val="2"/>
      <scheme val="minor"/>
    </font>
    <font>
      <b/>
      <sz val="11"/>
      <color rgb="FFFF0000"/>
      <name val="Calibri"/>
      <family val="2"/>
      <scheme val="minor"/>
    </font>
    <font>
      <sz val="11"/>
      <name val="Calibri"/>
      <family val="2"/>
      <scheme val="minor"/>
    </font>
    <font>
      <u/>
      <sz val="10"/>
      <color indexed="12"/>
      <name val="Arial"/>
      <family val="2"/>
    </font>
    <font>
      <b/>
      <sz val="11"/>
      <name val="Arial"/>
      <family val="2"/>
    </font>
    <font>
      <b/>
      <sz val="20"/>
      <color rgb="FFFF0000"/>
      <name val="Arial"/>
      <family val="2"/>
    </font>
    <font>
      <sz val="10"/>
      <color theme="1"/>
      <name val="Arial"/>
      <family val="2"/>
    </font>
    <font>
      <sz val="11"/>
      <name val="Arial"/>
      <family val="2"/>
    </font>
    <font>
      <sz val="11"/>
      <color rgb="FF0000FF"/>
      <name val="Calibri"/>
      <family val="2"/>
      <scheme val="minor"/>
    </font>
    <font>
      <sz val="10"/>
      <color rgb="FF0000FF"/>
      <name val="Arial"/>
      <family val="2"/>
    </font>
    <font>
      <sz val="10"/>
      <color rgb="FFFF0000"/>
      <name val="Arial"/>
      <family val="2"/>
    </font>
    <font>
      <sz val="11"/>
      <color rgb="FFFF0000"/>
      <name val="Arial"/>
      <family val="2"/>
    </font>
    <font>
      <sz val="11"/>
      <color rgb="FF0000FF"/>
      <name val="Arial"/>
      <family val="2"/>
    </font>
  </fonts>
  <fills count="6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10"/>
        <bgColor indexed="64"/>
      </patternFill>
    </fill>
    <fill>
      <patternFill patternType="solid">
        <fgColor indexed="43"/>
        <bgColor indexed="64"/>
      </patternFill>
    </fill>
    <fill>
      <patternFill patternType="solid">
        <fgColor indexed="22"/>
        <bgColor indexed="64"/>
      </patternFill>
    </fill>
    <fill>
      <patternFill patternType="solid">
        <fgColor rgb="FF92D050"/>
        <bgColor indexed="64"/>
      </patternFill>
    </fill>
    <fill>
      <patternFill patternType="solid">
        <fgColor theme="0"/>
        <bgColor indexed="64"/>
      </patternFill>
    </fill>
    <fill>
      <patternFill patternType="solid">
        <fgColor rgb="FF00B050"/>
        <bgColor indexed="64"/>
      </patternFill>
    </fill>
    <fill>
      <patternFill patternType="solid">
        <fgColor rgb="FFFFFF00"/>
        <bgColor indexed="64"/>
      </patternFill>
    </fill>
    <fill>
      <patternFill patternType="solid">
        <fgColor rgb="FFFFFF99"/>
        <bgColor indexed="64"/>
      </patternFill>
    </fill>
    <fill>
      <patternFill patternType="solid">
        <fgColor rgb="FF00B0F0"/>
        <bgColor indexed="64"/>
      </patternFill>
    </fill>
    <fill>
      <patternFill patternType="solid">
        <fgColor rgb="FF66FFFF"/>
        <bgColor indexed="64"/>
      </patternFill>
    </fill>
    <fill>
      <patternFill patternType="lightUp">
        <bgColor indexed="22"/>
      </patternFill>
    </fill>
    <fill>
      <patternFill patternType="solid">
        <fgColor rgb="FFFF3300"/>
        <bgColor indexed="64"/>
      </patternFill>
    </fill>
    <fill>
      <patternFill patternType="solid">
        <fgColor indexed="44"/>
        <bgColor indexed="64"/>
      </patternFill>
    </fill>
    <fill>
      <patternFill patternType="solid">
        <fgColor theme="1" tint="0.499984740745262"/>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59999389629810485"/>
        <bgColor indexed="24"/>
      </patternFill>
    </fill>
    <fill>
      <patternFill patternType="solid">
        <fgColor theme="0" tint="-0.14999847407452621"/>
        <bgColor indexed="64"/>
      </patternFill>
    </fill>
    <fill>
      <patternFill patternType="lightUp">
        <fgColor indexed="48"/>
        <bgColor indexed="22"/>
      </patternFill>
    </fill>
    <fill>
      <patternFill patternType="solid">
        <fgColor indexed="13"/>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6" tint="0.79998168889431442"/>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0" tint="-0.249977111117893"/>
        <bgColor indexed="64"/>
      </patternFill>
    </fill>
    <fill>
      <patternFill patternType="solid">
        <fgColor theme="0" tint="-0.34998626667073579"/>
        <bgColor indexed="64"/>
      </patternFill>
    </fill>
  </fills>
  <borders count="24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medium">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medium">
        <color indexed="64"/>
      </left>
      <right style="hair">
        <color indexed="64"/>
      </right>
      <top style="hair">
        <color indexed="64"/>
      </top>
      <bottom style="hair">
        <color indexed="64"/>
      </bottom>
      <diagonal/>
    </border>
    <border>
      <left/>
      <right/>
      <top/>
      <bottom style="hair">
        <color indexed="64"/>
      </bottom>
      <diagonal/>
    </border>
    <border>
      <left/>
      <right style="medium">
        <color indexed="64"/>
      </right>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top/>
      <bottom style="hair">
        <color indexed="64"/>
      </bottom>
      <diagonal/>
    </border>
    <border>
      <left style="medium">
        <color indexed="64"/>
      </left>
      <right style="medium">
        <color indexed="64"/>
      </right>
      <top style="medium">
        <color indexed="64"/>
      </top>
      <bottom style="medium">
        <color indexed="64"/>
      </bottom>
      <diagonal/>
    </border>
    <border>
      <left style="hair">
        <color indexed="64"/>
      </left>
      <right style="medium">
        <color indexed="64"/>
      </right>
      <top/>
      <bottom style="hair">
        <color indexed="64"/>
      </bottom>
      <diagonal/>
    </border>
    <border>
      <left style="hair">
        <color indexed="64"/>
      </left>
      <right/>
      <top style="hair">
        <color indexed="64"/>
      </top>
      <bottom style="hair">
        <color indexed="64"/>
      </bottom>
      <diagonal/>
    </border>
    <border>
      <left/>
      <right style="hair">
        <color indexed="64"/>
      </right>
      <top/>
      <bottom style="hair">
        <color indexed="64"/>
      </bottom>
      <diagonal/>
    </border>
    <border>
      <left/>
      <right/>
      <top style="medium">
        <color indexed="64"/>
      </top>
      <bottom style="medium">
        <color indexed="64"/>
      </bottom>
      <diagonal/>
    </border>
    <border>
      <left/>
      <right/>
      <top style="hair">
        <color indexed="64"/>
      </top>
      <bottom style="hair">
        <color indexed="64"/>
      </bottom>
      <diagonal/>
    </border>
    <border>
      <left/>
      <right style="medium">
        <color indexed="64"/>
      </right>
      <top style="hair">
        <color indexed="64"/>
      </top>
      <bottom style="hair">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hair">
        <color indexed="64"/>
      </left>
      <right/>
      <top style="hair">
        <color indexed="64"/>
      </top>
      <bottom/>
      <diagonal/>
    </border>
    <border>
      <left style="medium">
        <color indexed="64"/>
      </left>
      <right style="medium">
        <color indexed="64"/>
      </right>
      <top/>
      <bottom/>
      <diagonal/>
    </border>
    <border>
      <left style="medium">
        <color indexed="64"/>
      </left>
      <right/>
      <top/>
      <bottom style="medium">
        <color indexed="64"/>
      </bottom>
      <diagonal/>
    </border>
    <border>
      <left style="hair">
        <color indexed="64"/>
      </left>
      <right/>
      <top/>
      <bottom/>
      <diagonal/>
    </border>
    <border>
      <left style="thin">
        <color theme="0"/>
      </left>
      <right style="hair">
        <color indexed="64"/>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hair">
        <color indexed="64"/>
      </right>
      <top style="thin">
        <color theme="0"/>
      </top>
      <bottom style="thin">
        <color theme="0"/>
      </bottom>
      <diagonal/>
    </border>
    <border>
      <left style="hair">
        <color indexed="64"/>
      </left>
      <right/>
      <top style="thin">
        <color theme="0"/>
      </top>
      <bottom style="thin">
        <color theme="0"/>
      </bottom>
      <diagonal/>
    </border>
    <border>
      <left/>
      <right/>
      <top style="thin">
        <color theme="0"/>
      </top>
      <bottom style="thin">
        <color theme="0"/>
      </bottom>
      <diagonal/>
    </border>
    <border>
      <left/>
      <right/>
      <top/>
      <bottom style="thin">
        <color theme="0"/>
      </bottom>
      <diagonal/>
    </border>
    <border>
      <left style="hair">
        <color indexed="64"/>
      </left>
      <right style="thin">
        <color theme="0"/>
      </right>
      <top style="thin">
        <color theme="0"/>
      </top>
      <bottom style="thin">
        <color theme="0"/>
      </bottom>
      <diagonal/>
    </border>
    <border>
      <left style="thin">
        <color theme="0"/>
      </left>
      <right style="hair">
        <color indexed="64"/>
      </right>
      <top style="hair">
        <color indexed="64"/>
      </top>
      <bottom style="thin">
        <color theme="0"/>
      </bottom>
      <diagonal/>
    </border>
    <border>
      <left style="thin">
        <color theme="0"/>
      </left>
      <right/>
      <top/>
      <bottom/>
      <diagonal/>
    </border>
    <border>
      <left style="thin">
        <color theme="0"/>
      </left>
      <right/>
      <top style="thin">
        <color theme="0"/>
      </top>
      <bottom/>
      <diagonal/>
    </border>
    <border>
      <left/>
      <right style="hair">
        <color indexed="64"/>
      </right>
      <top style="thin">
        <color theme="0"/>
      </top>
      <bottom/>
      <diagonal/>
    </border>
    <border>
      <left/>
      <right/>
      <top style="thin">
        <color theme="0"/>
      </top>
      <bottom/>
      <diagonal/>
    </border>
    <border>
      <left style="thin">
        <color theme="0"/>
      </left>
      <right style="thin">
        <color theme="0"/>
      </right>
      <top/>
      <bottom style="thin">
        <color theme="0"/>
      </bottom>
      <diagonal/>
    </border>
    <border>
      <left/>
      <right style="thin">
        <color theme="0"/>
      </right>
      <top style="thin">
        <color theme="0"/>
      </top>
      <bottom style="thin">
        <color theme="0"/>
      </bottom>
      <diagonal/>
    </border>
    <border>
      <left style="thin">
        <color theme="0"/>
      </left>
      <right style="thin">
        <color theme="0"/>
      </right>
      <top/>
      <bottom style="medium">
        <color indexed="64"/>
      </bottom>
      <diagonal/>
    </border>
    <border>
      <left style="thin">
        <color theme="0"/>
      </left>
      <right/>
      <top style="hair">
        <color indexed="64"/>
      </top>
      <bottom/>
      <diagonal/>
    </border>
    <border>
      <left style="thin">
        <color theme="0"/>
      </left>
      <right/>
      <top style="hair">
        <color indexed="64"/>
      </top>
      <bottom style="thin">
        <color theme="0"/>
      </bottom>
      <diagonal/>
    </border>
    <border>
      <left style="thin">
        <color theme="0"/>
      </left>
      <right style="thin">
        <color theme="0"/>
      </right>
      <top style="hair">
        <color indexed="64"/>
      </top>
      <bottom style="thin">
        <color theme="0"/>
      </bottom>
      <diagonal/>
    </border>
    <border>
      <left style="thin">
        <color theme="0"/>
      </left>
      <right style="thin">
        <color theme="0"/>
      </right>
      <top style="thin">
        <color theme="0"/>
      </top>
      <bottom/>
      <diagonal/>
    </border>
    <border>
      <left style="thin">
        <color theme="0"/>
      </left>
      <right/>
      <top/>
      <bottom style="thin">
        <color theme="0"/>
      </bottom>
      <diagonal/>
    </border>
    <border>
      <left style="medium">
        <color auto="1"/>
      </left>
      <right/>
      <top/>
      <bottom/>
      <diagonal/>
    </border>
    <border>
      <left style="thin">
        <color theme="0"/>
      </left>
      <right style="thin">
        <color theme="0"/>
      </right>
      <top/>
      <bottom/>
      <diagonal/>
    </border>
    <border>
      <left style="medium">
        <color indexed="64"/>
      </left>
      <right/>
      <top style="thin">
        <color theme="0"/>
      </top>
      <bottom style="thin">
        <color theme="0"/>
      </bottom>
      <diagonal/>
    </border>
    <border>
      <left style="thin">
        <color theme="0"/>
      </left>
      <right style="thin">
        <color theme="0"/>
      </right>
      <top style="medium">
        <color indexed="64"/>
      </top>
      <bottom/>
      <diagonal/>
    </border>
    <border>
      <left style="thin">
        <color theme="0"/>
      </left>
      <right style="hair">
        <color indexed="64"/>
      </right>
      <top style="thin">
        <color theme="0"/>
      </top>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right style="hair">
        <color indexed="64"/>
      </right>
      <top style="hair">
        <color indexed="64"/>
      </top>
      <bottom/>
      <diagonal/>
    </border>
    <border>
      <left style="thin">
        <color theme="0"/>
      </left>
      <right/>
      <top/>
      <bottom style="hair">
        <color indexed="64"/>
      </bottom>
      <diagonal/>
    </border>
    <border>
      <left/>
      <right/>
      <top style="hair">
        <color indexed="64"/>
      </top>
      <bottom/>
      <diagonal/>
    </border>
    <border>
      <left style="hair">
        <color indexed="64"/>
      </left>
      <right/>
      <top style="thin">
        <color theme="0"/>
      </top>
      <bottom style="hair">
        <color indexed="64"/>
      </bottom>
      <diagonal/>
    </border>
    <border>
      <left/>
      <right style="hair">
        <color indexed="64"/>
      </right>
      <top style="thin">
        <color theme="0"/>
      </top>
      <bottom style="hair">
        <color indexed="64"/>
      </bottom>
      <diagonal/>
    </border>
    <border>
      <left style="hair">
        <color indexed="64"/>
      </left>
      <right style="hair">
        <color indexed="64"/>
      </right>
      <top style="thin">
        <color theme="0"/>
      </top>
      <bottom style="hair">
        <color indexed="64"/>
      </bottom>
      <diagonal/>
    </border>
    <border>
      <left/>
      <right/>
      <top style="thin">
        <color theme="0"/>
      </top>
      <bottom style="hair">
        <color indexed="64"/>
      </bottom>
      <diagonal/>
    </border>
    <border>
      <left/>
      <right style="hair">
        <color indexed="64"/>
      </right>
      <top/>
      <bottom style="thin">
        <color theme="0"/>
      </bottom>
      <diagonal/>
    </border>
    <border>
      <left style="hair">
        <color indexed="64"/>
      </left>
      <right/>
      <top style="hair">
        <color indexed="64"/>
      </top>
      <bottom style="thin">
        <color theme="0"/>
      </bottom>
      <diagonal/>
    </border>
    <border>
      <left style="hair">
        <color indexed="64"/>
      </left>
      <right style="hair">
        <color indexed="64"/>
      </right>
      <top style="hair">
        <color indexed="64"/>
      </top>
      <bottom style="thin">
        <color theme="0"/>
      </bottom>
      <diagonal/>
    </border>
    <border>
      <left/>
      <right/>
      <top style="hair">
        <color indexed="64"/>
      </top>
      <bottom style="thin">
        <color theme="0"/>
      </bottom>
      <diagonal/>
    </border>
    <border>
      <left style="hair">
        <color indexed="64"/>
      </left>
      <right style="thin">
        <color theme="0"/>
      </right>
      <top/>
      <bottom style="thin">
        <color theme="0"/>
      </bottom>
      <diagonal/>
    </border>
    <border>
      <left style="hair">
        <color indexed="64"/>
      </left>
      <right style="thin">
        <color theme="0"/>
      </right>
      <top style="thin">
        <color theme="0"/>
      </top>
      <bottom style="hair">
        <color indexed="64"/>
      </bottom>
      <diagonal/>
    </border>
    <border>
      <left style="hair">
        <color indexed="64"/>
      </left>
      <right style="thin">
        <color theme="0"/>
      </right>
      <top style="thin">
        <color theme="0"/>
      </top>
      <bottom/>
      <diagonal/>
    </border>
    <border>
      <left/>
      <right style="thin">
        <color theme="0"/>
      </right>
      <top/>
      <bottom/>
      <diagonal/>
    </border>
    <border>
      <left style="hair">
        <color indexed="64"/>
      </left>
      <right/>
      <top style="thin">
        <color theme="0"/>
      </top>
      <bottom/>
      <diagonal/>
    </border>
    <border>
      <left/>
      <right style="thin">
        <color theme="0"/>
      </right>
      <top style="thin">
        <color theme="0"/>
      </top>
      <bottom/>
      <diagonal/>
    </border>
    <border>
      <left/>
      <right style="thin">
        <color theme="0"/>
      </right>
      <top/>
      <bottom style="thin">
        <color theme="0"/>
      </bottom>
      <diagonal/>
    </border>
    <border>
      <left style="thin">
        <color theme="0"/>
      </left>
      <right style="hair">
        <color indexed="64"/>
      </right>
      <top/>
      <bottom style="thin">
        <color theme="0"/>
      </bottom>
      <diagonal/>
    </border>
    <border>
      <left style="thin">
        <color theme="0"/>
      </left>
      <right style="hair">
        <color indexed="64"/>
      </right>
      <top style="hair">
        <color indexed="64"/>
      </top>
      <bottom style="hair">
        <color indexed="64"/>
      </bottom>
      <diagonal/>
    </border>
    <border>
      <left/>
      <right style="thin">
        <color theme="0"/>
      </right>
      <top/>
      <bottom style="hair">
        <color indexed="64"/>
      </bottom>
      <diagonal/>
    </border>
    <border>
      <left style="medium">
        <color auto="1"/>
      </left>
      <right/>
      <top style="hair">
        <color indexed="64"/>
      </top>
      <bottom style="medium">
        <color indexed="64"/>
      </bottom>
      <diagonal/>
    </border>
    <border>
      <left/>
      <right/>
      <top style="hair">
        <color indexed="64"/>
      </top>
      <bottom style="medium">
        <color indexed="64"/>
      </bottom>
      <diagonal/>
    </border>
    <border>
      <left/>
      <right/>
      <top/>
      <bottom style="medium">
        <color indexed="64"/>
      </bottom>
      <diagonal/>
    </border>
    <border>
      <left/>
      <right style="hair">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bottom/>
      <diagonal/>
    </border>
    <border>
      <left/>
      <right style="medium">
        <color indexed="64"/>
      </right>
      <top/>
      <bottom/>
      <diagonal/>
    </border>
    <border>
      <left style="medium">
        <color indexed="64"/>
      </left>
      <right style="medium">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theme="0"/>
      </left>
      <right/>
      <top style="thin">
        <color theme="0"/>
      </top>
      <bottom style="thin">
        <color indexed="64"/>
      </bottom>
      <diagonal/>
    </border>
    <border>
      <left style="thin">
        <color theme="0"/>
      </left>
      <right style="thin">
        <color theme="0"/>
      </right>
      <top style="thin">
        <color theme="0"/>
      </top>
      <bottom style="thin">
        <color indexed="64"/>
      </bottom>
      <diagonal/>
    </border>
    <border>
      <left style="thin">
        <color theme="0"/>
      </left>
      <right/>
      <top style="thin">
        <color theme="0"/>
      </top>
      <bottom style="medium">
        <color indexed="64"/>
      </bottom>
      <diagonal/>
    </border>
    <border>
      <left style="thin">
        <color theme="0"/>
      </left>
      <right style="thin">
        <color theme="0"/>
      </right>
      <top style="thin">
        <color theme="0"/>
      </top>
      <bottom style="medium">
        <color indexed="64"/>
      </bottom>
      <diagonal/>
    </border>
    <border>
      <left style="medium">
        <color indexed="64"/>
      </left>
      <right style="thin">
        <color theme="0"/>
      </right>
      <top/>
      <bottom/>
      <diagonal/>
    </border>
    <border>
      <left style="medium">
        <color indexed="64"/>
      </left>
      <right style="thin">
        <color theme="0"/>
      </right>
      <top style="thin">
        <color theme="0"/>
      </top>
      <bottom style="thin">
        <color theme="0"/>
      </bottom>
      <diagonal/>
    </border>
    <border>
      <left style="thin">
        <color theme="1"/>
      </left>
      <right style="thin">
        <color theme="0"/>
      </right>
      <top style="thin">
        <color theme="0"/>
      </top>
      <bottom style="thin">
        <color theme="0"/>
      </bottom>
      <diagonal/>
    </border>
    <border>
      <left style="medium">
        <color theme="1"/>
      </left>
      <right style="medium">
        <color theme="1"/>
      </right>
      <top style="medium">
        <color theme="1"/>
      </top>
      <bottom style="medium">
        <color theme="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medium">
        <color indexed="64"/>
      </top>
      <bottom style="thin">
        <color indexed="64"/>
      </bottom>
      <diagonal/>
    </border>
    <border>
      <left/>
      <right style="thin">
        <color theme="0"/>
      </right>
      <top style="thin">
        <color indexed="64"/>
      </top>
      <bottom style="thin">
        <color theme="0"/>
      </bottom>
      <diagonal/>
    </border>
    <border>
      <left style="thin">
        <color theme="0"/>
      </left>
      <right style="thin">
        <color theme="0"/>
      </right>
      <top style="thin">
        <color indexed="64"/>
      </top>
      <bottom style="thin">
        <color theme="0"/>
      </bottom>
      <diagonal/>
    </border>
    <border>
      <left/>
      <right/>
      <top style="thin">
        <color theme="0"/>
      </top>
      <bottom style="medium">
        <color indexed="64"/>
      </bottom>
      <diagonal/>
    </border>
    <border>
      <left style="thin">
        <color theme="0"/>
      </left>
      <right/>
      <top/>
      <bottom style="medium">
        <color indexed="64"/>
      </bottom>
      <diagonal/>
    </border>
    <border>
      <left style="thin">
        <color theme="0"/>
      </left>
      <right style="thin">
        <color theme="0"/>
      </right>
      <top/>
      <bottom style="thin">
        <color indexed="64"/>
      </bottom>
      <diagonal/>
    </border>
    <border>
      <left style="thin">
        <color theme="0"/>
      </left>
      <right/>
      <top style="thin">
        <color indexed="64"/>
      </top>
      <bottom/>
      <diagonal/>
    </border>
    <border>
      <left style="thin">
        <color theme="0"/>
      </left>
      <right/>
      <top style="thin">
        <color indexed="64"/>
      </top>
      <bottom style="thin">
        <color indexed="64"/>
      </bottom>
      <diagonal/>
    </border>
    <border>
      <left/>
      <right style="thin">
        <color theme="0"/>
      </right>
      <top style="thin">
        <color indexed="64"/>
      </top>
      <bottom style="thin">
        <color indexed="64"/>
      </bottom>
      <diagonal/>
    </border>
    <border>
      <left/>
      <right style="thin">
        <color indexed="64"/>
      </right>
      <top style="thin">
        <color theme="0"/>
      </top>
      <bottom style="thin">
        <color theme="0"/>
      </bottom>
      <diagonal/>
    </border>
    <border>
      <left style="thin">
        <color theme="0"/>
      </left>
      <right style="thin">
        <color indexed="64"/>
      </right>
      <top style="thin">
        <color theme="0"/>
      </top>
      <bottom style="thin">
        <color theme="0"/>
      </bottom>
      <diagonal/>
    </border>
    <border>
      <left style="thin">
        <color theme="0"/>
      </left>
      <right style="thin">
        <color indexed="64"/>
      </right>
      <top style="thin">
        <color theme="0"/>
      </top>
      <bottom/>
      <diagonal/>
    </border>
    <border>
      <left style="thin">
        <color theme="0"/>
      </left>
      <right/>
      <top style="thin">
        <color indexed="64"/>
      </top>
      <bottom style="thin">
        <color theme="0"/>
      </bottom>
      <diagonal/>
    </border>
    <border>
      <left/>
      <right/>
      <top style="thin">
        <color indexed="64"/>
      </top>
      <bottom style="thin">
        <color theme="0"/>
      </bottom>
      <diagonal/>
    </border>
    <border>
      <left style="thin">
        <color indexed="64"/>
      </left>
      <right style="thin">
        <color theme="0"/>
      </right>
      <top style="thin">
        <color theme="0"/>
      </top>
      <bottom style="thin">
        <color theme="0"/>
      </bottom>
      <diagonal/>
    </border>
    <border>
      <left style="thin">
        <color indexed="64"/>
      </left>
      <right style="thin">
        <color theme="0"/>
      </right>
      <top style="thin">
        <color indexed="64"/>
      </top>
      <bottom style="thin">
        <color indexed="64"/>
      </bottom>
      <diagonal/>
    </border>
    <border>
      <left style="medium">
        <color indexed="64"/>
      </left>
      <right style="thin">
        <color indexed="64"/>
      </right>
      <top/>
      <bottom style="thick">
        <color indexed="64"/>
      </bottom>
      <diagonal/>
    </border>
    <border>
      <left/>
      <right style="thin">
        <color indexed="64"/>
      </right>
      <top/>
      <bottom style="thick">
        <color indexed="64"/>
      </bottom>
      <diagonal/>
    </border>
    <border>
      <left style="thin">
        <color indexed="64"/>
      </left>
      <right style="thin">
        <color indexed="64"/>
      </right>
      <top/>
      <bottom style="thick">
        <color indexed="64"/>
      </bottom>
      <diagonal/>
    </border>
    <border>
      <left style="thin">
        <color indexed="64"/>
      </left>
      <right style="medium">
        <color indexed="64"/>
      </right>
      <top/>
      <bottom style="thick">
        <color indexed="64"/>
      </bottom>
      <diagonal/>
    </border>
    <border>
      <left style="thin">
        <color indexed="64"/>
      </left>
      <right/>
      <top/>
      <bottom style="thick">
        <color indexed="64"/>
      </bottom>
      <diagonal/>
    </border>
    <border>
      <left style="medium">
        <color indexed="64"/>
      </left>
      <right/>
      <top/>
      <bottom style="thick">
        <color indexed="64"/>
      </bottom>
      <diagonal/>
    </border>
    <border>
      <left style="medium">
        <color indexed="64"/>
      </left>
      <right/>
      <top/>
      <bottom style="hair">
        <color indexed="64"/>
      </bottom>
      <diagonal/>
    </border>
    <border>
      <left style="thin">
        <color theme="0"/>
      </left>
      <right style="medium">
        <color indexed="64"/>
      </right>
      <top/>
      <bottom style="thin">
        <color theme="0"/>
      </bottom>
      <diagonal/>
    </border>
    <border>
      <left style="hair">
        <color indexed="64"/>
      </left>
      <right style="thick">
        <color indexed="64"/>
      </right>
      <top/>
      <bottom style="hair">
        <color indexed="64"/>
      </bottom>
      <diagonal/>
    </border>
    <border>
      <left style="hair">
        <color indexed="64"/>
      </left>
      <right style="thick">
        <color indexed="64"/>
      </right>
      <top style="hair">
        <color indexed="64"/>
      </top>
      <bottom style="hair">
        <color indexed="64"/>
      </bottom>
      <diagonal/>
    </border>
    <border>
      <left style="thick">
        <color indexed="64"/>
      </left>
      <right style="thin">
        <color indexed="64"/>
      </right>
      <top/>
      <bottom style="thick">
        <color indexed="64"/>
      </bottom>
      <diagonal/>
    </border>
    <border>
      <left/>
      <right/>
      <top/>
      <bottom style="thick">
        <color indexed="64"/>
      </bottom>
      <diagonal/>
    </border>
    <border>
      <left style="thin">
        <color indexed="64"/>
      </left>
      <right style="thick">
        <color indexed="64"/>
      </right>
      <top/>
      <bottom style="thick">
        <color indexed="64"/>
      </bottom>
      <diagonal/>
    </border>
    <border>
      <left style="hair">
        <color indexed="64"/>
      </left>
      <right style="hair">
        <color indexed="64"/>
      </right>
      <top style="thick">
        <color indexed="64"/>
      </top>
      <bottom style="hair">
        <color indexed="64"/>
      </bottom>
      <diagonal/>
    </border>
    <border>
      <left style="hair">
        <color indexed="64"/>
      </left>
      <right style="hair">
        <color indexed="64"/>
      </right>
      <top style="thick">
        <color indexed="64"/>
      </top>
      <bottom style="thin">
        <color indexed="64"/>
      </bottom>
      <diagonal/>
    </border>
    <border>
      <left style="hair">
        <color indexed="64"/>
      </left>
      <right style="hair">
        <color indexed="64"/>
      </right>
      <top/>
      <bottom/>
      <diagonal/>
    </border>
    <border>
      <left/>
      <right style="hair">
        <color indexed="64"/>
      </right>
      <top style="thick">
        <color indexed="64"/>
      </top>
      <bottom style="hair">
        <color indexed="64"/>
      </bottom>
      <diagonal/>
    </border>
    <border>
      <left style="hair">
        <color indexed="64"/>
      </left>
      <right style="hair">
        <color indexed="64"/>
      </right>
      <top style="thick">
        <color indexed="64"/>
      </top>
      <bottom/>
      <diagonal/>
    </border>
    <border>
      <left/>
      <right/>
      <top style="thick">
        <color indexed="64"/>
      </top>
      <bottom style="thin">
        <color indexed="64"/>
      </bottom>
      <diagonal/>
    </border>
    <border>
      <left/>
      <right style="thick">
        <color indexed="64"/>
      </right>
      <top/>
      <bottom style="thick">
        <color indexed="64"/>
      </bottom>
      <diagonal/>
    </border>
    <border>
      <left style="thin">
        <color indexed="64"/>
      </left>
      <right style="hair">
        <color indexed="64"/>
      </right>
      <top/>
      <bottom style="thick">
        <color indexed="64"/>
      </bottom>
      <diagonal/>
    </border>
    <border>
      <left/>
      <right style="hair">
        <color indexed="64"/>
      </right>
      <top style="medium">
        <color indexed="64"/>
      </top>
      <bottom style="medium">
        <color indexed="64"/>
      </bottom>
      <diagonal/>
    </border>
    <border>
      <left style="thin">
        <color indexed="64"/>
      </left>
      <right/>
      <top/>
      <bottom/>
      <diagonal/>
    </border>
    <border>
      <left/>
      <right style="thin">
        <color indexed="64"/>
      </right>
      <top/>
      <bottom/>
      <diagonal/>
    </border>
    <border>
      <left style="thin">
        <color theme="1"/>
      </left>
      <right/>
      <top style="medium">
        <color indexed="64"/>
      </top>
      <bottom style="thin">
        <color indexed="64"/>
      </bottom>
      <diagonal/>
    </border>
    <border>
      <left/>
      <right style="thin">
        <color indexed="64"/>
      </right>
      <top/>
      <bottom style="thin">
        <color theme="1"/>
      </bottom>
      <diagonal/>
    </border>
    <border>
      <left style="medium">
        <color indexed="64"/>
      </left>
      <right style="thin">
        <color theme="0"/>
      </right>
      <top style="medium">
        <color indexed="64"/>
      </top>
      <bottom style="thin">
        <color theme="0"/>
      </bottom>
      <diagonal/>
    </border>
    <border>
      <left/>
      <right style="medium">
        <color indexed="64"/>
      </right>
      <top style="medium">
        <color indexed="64"/>
      </top>
      <bottom style="thin">
        <color theme="0"/>
      </bottom>
      <diagonal/>
    </border>
    <border>
      <left/>
      <right style="medium">
        <color indexed="64"/>
      </right>
      <top style="thin">
        <color theme="0"/>
      </top>
      <bottom style="thin">
        <color theme="0"/>
      </bottom>
      <diagonal/>
    </border>
    <border>
      <left style="medium">
        <color indexed="64"/>
      </left>
      <right style="thin">
        <color theme="0"/>
      </right>
      <top style="thin">
        <color theme="0"/>
      </top>
      <bottom style="medium">
        <color indexed="64"/>
      </bottom>
      <diagonal/>
    </border>
    <border>
      <left/>
      <right style="medium">
        <color indexed="64"/>
      </right>
      <top style="thin">
        <color theme="0"/>
      </top>
      <bottom style="medium">
        <color indexed="64"/>
      </bottom>
      <diagonal/>
    </border>
    <border>
      <left style="thin">
        <color indexed="64"/>
      </left>
      <right style="thin">
        <color indexed="9"/>
      </right>
      <top style="thin">
        <color indexed="64"/>
      </top>
      <bottom style="thin">
        <color indexed="9"/>
      </bottom>
      <diagonal/>
    </border>
    <border>
      <left style="thin">
        <color indexed="9"/>
      </left>
      <right style="thin">
        <color indexed="9"/>
      </right>
      <top style="thin">
        <color indexed="64"/>
      </top>
      <bottom style="thin">
        <color indexed="9"/>
      </bottom>
      <diagonal/>
    </border>
    <border>
      <left style="thin">
        <color indexed="9"/>
      </left>
      <right/>
      <top style="thin">
        <color indexed="64"/>
      </top>
      <bottom/>
      <diagonal/>
    </border>
    <border>
      <left/>
      <right style="thin">
        <color indexed="22"/>
      </right>
      <top style="thin">
        <color indexed="9"/>
      </top>
      <bottom style="thin">
        <color indexed="22"/>
      </bottom>
      <diagonal/>
    </border>
    <border>
      <left style="thin">
        <color indexed="22"/>
      </left>
      <right style="thin">
        <color indexed="22"/>
      </right>
      <top style="thin">
        <color indexed="9"/>
      </top>
      <bottom style="thin">
        <color indexed="22"/>
      </bottom>
      <diagonal/>
    </border>
    <border>
      <left style="thin">
        <color indexed="64"/>
      </left>
      <right style="thin">
        <color indexed="9"/>
      </right>
      <top style="thin">
        <color indexed="9"/>
      </top>
      <bottom style="thin">
        <color indexed="9"/>
      </bottom>
      <diagonal/>
    </border>
    <border>
      <left style="thin">
        <color indexed="9"/>
      </left>
      <right style="thin">
        <color indexed="9"/>
      </right>
      <top style="thin">
        <color indexed="9"/>
      </top>
      <bottom style="thin">
        <color indexed="9"/>
      </bottom>
      <diagonal/>
    </border>
    <border>
      <left style="thin">
        <color indexed="9"/>
      </left>
      <right/>
      <top/>
      <bottom/>
      <diagonal/>
    </border>
    <border>
      <left/>
      <right style="thin">
        <color indexed="22"/>
      </right>
      <top style="thin">
        <color indexed="22"/>
      </top>
      <bottom style="thin">
        <color indexed="22"/>
      </bottom>
      <diagonal/>
    </border>
    <border>
      <left style="thin">
        <color indexed="9"/>
      </left>
      <right/>
      <top/>
      <bottom style="medium">
        <color indexed="64"/>
      </bottom>
      <diagonal/>
    </border>
    <border>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9"/>
      </right>
      <top style="thin">
        <color indexed="64"/>
      </top>
      <bottom style="thin">
        <color indexed="9"/>
      </bottom>
      <diagonal/>
    </border>
    <border>
      <left style="thin">
        <color indexed="9"/>
      </left>
      <right/>
      <top style="thin">
        <color indexed="64"/>
      </top>
      <bottom style="thin">
        <color indexed="9"/>
      </bottom>
      <diagonal/>
    </border>
    <border>
      <left style="thin">
        <color indexed="9"/>
      </left>
      <right style="thin">
        <color indexed="64"/>
      </right>
      <top style="thin">
        <color indexed="9"/>
      </top>
      <bottom style="thin">
        <color indexed="9"/>
      </bottom>
      <diagonal/>
    </border>
    <border>
      <left style="thin">
        <color indexed="64"/>
      </left>
      <right/>
      <top style="thin">
        <color indexed="9"/>
      </top>
      <bottom style="thin">
        <color indexed="9"/>
      </bottom>
      <diagonal/>
    </border>
    <border>
      <left/>
      <right/>
      <top style="thin">
        <color indexed="9"/>
      </top>
      <bottom style="thin">
        <color indexed="9"/>
      </bottom>
      <diagonal/>
    </border>
    <border>
      <left/>
      <right style="thin">
        <color indexed="9"/>
      </right>
      <top style="thin">
        <color indexed="9"/>
      </top>
      <bottom style="thin">
        <color indexed="9"/>
      </bottom>
      <diagonal/>
    </border>
    <border>
      <left style="thin">
        <color indexed="9"/>
      </left>
      <right style="thin">
        <color indexed="64"/>
      </right>
      <top style="thin">
        <color indexed="9"/>
      </top>
      <bottom/>
      <diagonal/>
    </border>
    <border>
      <left style="thin">
        <color indexed="9"/>
      </left>
      <right style="thin">
        <color indexed="64"/>
      </right>
      <top style="thin">
        <color indexed="64"/>
      </top>
      <bottom style="thin">
        <color indexed="9"/>
      </bottom>
      <diagonal/>
    </border>
    <border>
      <left style="thin">
        <color indexed="9"/>
      </left>
      <right/>
      <top style="thin">
        <color indexed="9"/>
      </top>
      <bottom style="thin">
        <color indexed="9"/>
      </bottom>
      <diagonal/>
    </border>
    <border>
      <left style="thin">
        <color indexed="64"/>
      </left>
      <right style="thin">
        <color indexed="9"/>
      </right>
      <top style="thin">
        <color indexed="9"/>
      </top>
      <bottom style="thin">
        <color indexed="64"/>
      </bottom>
      <diagonal/>
    </border>
    <border>
      <left style="thin">
        <color indexed="9"/>
      </left>
      <right style="thin">
        <color indexed="9"/>
      </right>
      <top style="thin">
        <color indexed="9"/>
      </top>
      <bottom style="thin">
        <color indexed="64"/>
      </bottom>
      <diagonal/>
    </border>
    <border>
      <left style="thin">
        <color indexed="9"/>
      </left>
      <right style="thin">
        <color indexed="64"/>
      </right>
      <top/>
      <bottom style="thin">
        <color indexed="64"/>
      </bottom>
      <diagonal/>
    </border>
    <border>
      <left style="thin">
        <color indexed="9"/>
      </left>
      <right style="thin">
        <color indexed="64"/>
      </right>
      <top style="thin">
        <color indexed="64"/>
      </top>
      <bottom/>
      <diagonal/>
    </border>
    <border>
      <left style="thin">
        <color indexed="9"/>
      </left>
      <right style="thin">
        <color indexed="9"/>
      </right>
      <top style="thin">
        <color indexed="9"/>
      </top>
      <bottom/>
      <diagonal/>
    </border>
    <border>
      <left/>
      <right style="thin">
        <color indexed="9"/>
      </right>
      <top/>
      <bottom/>
      <diagonal/>
    </border>
    <border>
      <left style="thin">
        <color indexed="9"/>
      </left>
      <right style="thin">
        <color indexed="9"/>
      </right>
      <top/>
      <bottom/>
      <diagonal/>
    </border>
    <border>
      <left style="thin">
        <color indexed="64"/>
      </left>
      <right/>
      <top style="thin">
        <color indexed="9"/>
      </top>
      <bottom/>
      <diagonal/>
    </border>
    <border>
      <left/>
      <right style="thin">
        <color indexed="9"/>
      </right>
      <top style="thin">
        <color indexed="9"/>
      </top>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right style="thin">
        <color indexed="22"/>
      </right>
      <top/>
      <bottom style="thin">
        <color indexed="22"/>
      </bottom>
      <diagonal/>
    </border>
    <border>
      <left style="thin">
        <color indexed="22"/>
      </left>
      <right style="thin">
        <color indexed="22"/>
      </right>
      <top/>
      <bottom style="thin">
        <color indexed="22"/>
      </bottom>
      <diagonal/>
    </border>
    <border>
      <left/>
      <right/>
      <top style="thin">
        <color indexed="9"/>
      </top>
      <bottom/>
      <diagonal/>
    </border>
    <border>
      <left/>
      <right style="thin">
        <color indexed="22"/>
      </right>
      <top/>
      <bottom/>
      <diagonal/>
    </border>
    <border>
      <left style="thin">
        <color indexed="22"/>
      </left>
      <right style="thin">
        <color indexed="22"/>
      </right>
      <top/>
      <bottom/>
      <diagonal/>
    </border>
    <border>
      <left/>
      <right style="thin">
        <color indexed="9"/>
      </right>
      <top/>
      <bottom style="thin">
        <color indexed="64"/>
      </bottom>
      <diagonal/>
    </border>
    <border>
      <left style="thin">
        <color indexed="9"/>
      </left>
      <right style="thin">
        <color indexed="9"/>
      </right>
      <top/>
      <bottom style="thin">
        <color indexed="64"/>
      </bottom>
      <diagonal/>
    </border>
    <border>
      <left style="thin">
        <color indexed="64"/>
      </left>
      <right style="thin">
        <color indexed="9"/>
      </right>
      <top/>
      <bottom style="thin">
        <color indexed="9"/>
      </bottom>
      <diagonal/>
    </border>
    <border>
      <left style="thin">
        <color indexed="9"/>
      </left>
      <right style="thin">
        <color indexed="9"/>
      </right>
      <top/>
      <bottom style="thin">
        <color indexed="9"/>
      </bottom>
      <diagonal/>
    </border>
    <border>
      <left style="thin">
        <color indexed="9"/>
      </left>
      <right style="thin">
        <color indexed="64"/>
      </right>
      <top/>
      <bottom style="thin">
        <color indexed="9"/>
      </bottom>
      <diagonal/>
    </border>
    <border>
      <left style="thin">
        <color indexed="64"/>
      </left>
      <right style="thin">
        <color indexed="9"/>
      </right>
      <top style="thin">
        <color indexed="9"/>
      </top>
      <bottom style="medium">
        <color indexed="64"/>
      </bottom>
      <diagonal/>
    </border>
    <border>
      <left style="thin">
        <color indexed="9"/>
      </left>
      <right style="thin">
        <color indexed="9"/>
      </right>
      <top style="thin">
        <color indexed="9"/>
      </top>
      <bottom style="medium">
        <color indexed="64"/>
      </bottom>
      <diagonal/>
    </border>
    <border>
      <left style="thin">
        <color indexed="9"/>
      </left>
      <right style="thin">
        <color indexed="64"/>
      </right>
      <top/>
      <bottom style="medium">
        <color indexed="64"/>
      </bottom>
      <diagonal/>
    </border>
    <border>
      <left style="thin">
        <color indexed="64"/>
      </left>
      <right/>
      <top/>
      <bottom style="thin">
        <color indexed="9"/>
      </bottom>
      <diagonal/>
    </border>
    <border>
      <left/>
      <right/>
      <top/>
      <bottom style="thin">
        <color indexed="9"/>
      </bottom>
      <diagonal/>
    </border>
    <border>
      <left/>
      <right style="thin">
        <color indexed="64"/>
      </right>
      <top/>
      <bottom style="thin">
        <color indexed="9"/>
      </bottom>
      <diagonal/>
    </border>
    <border>
      <left/>
      <right style="thin">
        <color indexed="64"/>
      </right>
      <top style="thin">
        <color indexed="9"/>
      </top>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n">
        <color indexed="9"/>
      </left>
      <right style="thin">
        <color indexed="9"/>
      </right>
      <top style="thin">
        <color indexed="64"/>
      </top>
      <bottom/>
      <diagonal/>
    </border>
    <border>
      <left style="thin">
        <color indexed="9"/>
      </left>
      <right style="thin">
        <color indexed="9"/>
      </right>
      <top/>
      <bottom style="medium">
        <color indexed="64"/>
      </bottom>
      <diagonal/>
    </border>
    <border>
      <left/>
      <right style="medium">
        <color indexed="64"/>
      </right>
      <top style="thin">
        <color indexed="9"/>
      </top>
      <bottom style="thin">
        <color indexed="9"/>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bottom style="hair">
        <color indexed="64"/>
      </bottom>
      <diagonal/>
    </border>
    <border>
      <left style="thin">
        <color indexed="64"/>
      </left>
      <right style="medium">
        <color indexed="64"/>
      </right>
      <top/>
      <bottom style="hair">
        <color indexed="64"/>
      </bottom>
      <diagonal/>
    </border>
    <border>
      <left/>
      <right style="hair">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right style="thin">
        <color indexed="64"/>
      </right>
      <top style="medium">
        <color indexed="64"/>
      </top>
      <bottom style="thin">
        <color indexed="64"/>
      </bottom>
      <diagonal/>
    </border>
  </borders>
  <cellStyleXfs count="104">
    <xf numFmtId="0" fontId="0" fillId="0" borderId="0"/>
    <xf numFmtId="0" fontId="3"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10" fillId="21" borderId="2" applyNumberFormat="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6" fillId="7" borderId="1" applyNumberFormat="0" applyAlignment="0" applyProtection="0"/>
    <xf numFmtId="0" fontId="17" fillId="0" borderId="6" applyNumberFormat="0" applyFill="0" applyAlignment="0" applyProtection="0"/>
    <xf numFmtId="0" fontId="18" fillId="22" borderId="0" applyNumberFormat="0" applyBorder="0" applyAlignment="0" applyProtection="0"/>
    <xf numFmtId="0" fontId="4" fillId="0" borderId="0"/>
    <xf numFmtId="0" fontId="4" fillId="23" borderId="7" applyNumberFormat="0" applyFont="0" applyAlignment="0" applyProtection="0"/>
    <xf numFmtId="0" fontId="19" fillId="20" borderId="8" applyNumberFormat="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xf numFmtId="0" fontId="4" fillId="0" borderId="0"/>
    <xf numFmtId="0" fontId="1" fillId="0" borderId="0"/>
    <xf numFmtId="0" fontId="4" fillId="0" borderId="0"/>
    <xf numFmtId="0" fontId="6" fillId="2" borderId="0" applyNumberFormat="0" applyBorder="0" applyAlignment="0" applyProtection="0"/>
    <xf numFmtId="0" fontId="6" fillId="3" borderId="0" applyNumberFormat="0" applyBorder="0" applyAlignment="0" applyProtection="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5" borderId="0" applyNumberFormat="0" applyBorder="0" applyAlignment="0" applyProtection="0"/>
    <xf numFmtId="0" fontId="6" fillId="8" borderId="0" applyNumberFormat="0" applyBorder="0" applyAlignment="0" applyProtection="0"/>
    <xf numFmtId="0" fontId="6" fillId="11" borderId="0" applyNumberFormat="0" applyBorder="0" applyAlignment="0" applyProtection="0"/>
    <xf numFmtId="0" fontId="7" fillId="12"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5" borderId="0" applyNumberFormat="0" applyBorder="0" applyAlignment="0" applyProtection="0"/>
    <xf numFmtId="0" fontId="7"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9" borderId="0" applyNumberFormat="0" applyBorder="0" applyAlignment="0" applyProtection="0"/>
    <xf numFmtId="0" fontId="8" fillId="3" borderId="0" applyNumberFormat="0" applyBorder="0" applyAlignment="0" applyProtection="0"/>
    <xf numFmtId="0" fontId="9" fillId="20" borderId="1" applyNumberFormat="0" applyAlignment="0" applyProtection="0"/>
    <xf numFmtId="0" fontId="10" fillId="21" borderId="2" applyNumberFormat="0" applyAlignment="0" applyProtection="0"/>
    <xf numFmtId="0" fontId="11" fillId="0" borderId="0" applyNumberFormat="0" applyFill="0" applyBorder="0" applyAlignment="0" applyProtection="0"/>
    <xf numFmtId="0" fontId="12" fillId="4" borderId="0" applyNumberFormat="0" applyBorder="0" applyAlignment="0" applyProtection="0"/>
    <xf numFmtId="0" fontId="13" fillId="0" borderId="3" applyNumberFormat="0" applyFill="0" applyAlignment="0" applyProtection="0"/>
    <xf numFmtId="0" fontId="14" fillId="0" borderId="4" applyNumberFormat="0" applyFill="0" applyAlignment="0" applyProtection="0"/>
    <xf numFmtId="0" fontId="15" fillId="0" borderId="5" applyNumberFormat="0" applyFill="0" applyAlignment="0" applyProtection="0"/>
    <xf numFmtId="0" fontId="15" fillId="0" borderId="0" applyNumberFormat="0" applyFill="0" applyBorder="0" applyAlignment="0" applyProtection="0"/>
    <xf numFmtId="0" fontId="16" fillId="7" borderId="1" applyNumberFormat="0" applyAlignment="0" applyProtection="0"/>
    <xf numFmtId="0" fontId="17" fillId="0" borderId="6" applyNumberFormat="0" applyFill="0" applyAlignment="0" applyProtection="0"/>
    <xf numFmtId="0" fontId="18" fillId="22" borderId="0" applyNumberFormat="0" applyBorder="0" applyAlignment="0" applyProtection="0"/>
    <xf numFmtId="0" fontId="4" fillId="23" borderId="7" applyNumberFormat="0" applyFont="0" applyAlignment="0" applyProtection="0"/>
    <xf numFmtId="0" fontId="19" fillId="20" borderId="8" applyNumberFormat="0" applyAlignment="0" applyProtection="0"/>
    <xf numFmtId="0" fontId="20" fillId="0" borderId="0" applyNumberFormat="0" applyFill="0" applyBorder="0" applyAlignment="0" applyProtection="0"/>
    <xf numFmtId="0" fontId="21" fillId="0" borderId="9" applyNumberFormat="0" applyFill="0" applyAlignment="0" applyProtection="0"/>
    <xf numFmtId="0" fontId="22" fillId="0" borderId="0" applyNumberFormat="0" applyFill="0" applyBorder="0" applyAlignment="0" applyProtection="0"/>
    <xf numFmtId="0" fontId="4" fillId="0" borderId="0"/>
    <xf numFmtId="0" fontId="3" fillId="0" borderId="0"/>
    <xf numFmtId="0" fontId="34" fillId="0" borderId="0"/>
    <xf numFmtId="0" fontId="3" fillId="0" borderId="0"/>
    <xf numFmtId="0" fontId="3" fillId="23" borderId="7" applyNumberFormat="0" applyFont="0" applyAlignment="0" applyProtection="0"/>
    <xf numFmtId="0" fontId="3" fillId="0" borderId="0"/>
    <xf numFmtId="0" fontId="3" fillId="0" borderId="0"/>
    <xf numFmtId="0" fontId="3" fillId="23" borderId="7" applyNumberFormat="0" applyFont="0" applyAlignment="0" applyProtection="0"/>
    <xf numFmtId="0" fontId="3" fillId="0" borderId="0"/>
    <xf numFmtId="0" fontId="3" fillId="0" borderId="0"/>
    <xf numFmtId="0" fontId="1" fillId="0" borderId="0"/>
    <xf numFmtId="0" fontId="3" fillId="23" borderId="7" applyNumberFormat="0" applyFont="0" applyAlignment="0" applyProtection="0"/>
    <xf numFmtId="0" fontId="55" fillId="0" borderId="0" applyNumberFormat="0" applyFill="0" applyBorder="0" applyAlignment="0" applyProtection="0"/>
    <xf numFmtId="0" fontId="3" fillId="0" borderId="0"/>
    <xf numFmtId="0" fontId="62" fillId="0" borderId="0" applyNumberFormat="0" applyFill="0" applyBorder="0" applyAlignment="0" applyProtection="0"/>
    <xf numFmtId="0" fontId="78" fillId="0" borderId="0" applyNumberFormat="0" applyFill="0" applyBorder="0" applyAlignment="0" applyProtection="0">
      <alignment vertical="top"/>
      <protection locked="0"/>
    </xf>
  </cellStyleXfs>
  <cellXfs count="789">
    <xf numFmtId="0" fontId="0" fillId="0" borderId="0" xfId="0"/>
    <xf numFmtId="0" fontId="3" fillId="0" borderId="0" xfId="1"/>
    <xf numFmtId="0" fontId="4" fillId="0" borderId="13" xfId="38" applyBorder="1" applyAlignment="1" applyProtection="1">
      <alignment horizontal="left" vertical="top" wrapText="1"/>
      <protection locked="0"/>
    </xf>
    <xf numFmtId="0" fontId="5" fillId="0" borderId="14" xfId="1" applyFont="1" applyBorder="1" applyAlignment="1" applyProtection="1">
      <alignment horizontal="left" vertical="top" wrapText="1"/>
      <protection locked="0"/>
    </xf>
    <xf numFmtId="0" fontId="3" fillId="0" borderId="13" xfId="1" applyBorder="1" applyAlignment="1" applyProtection="1">
      <alignment horizontal="left" vertical="top" wrapText="1"/>
      <protection locked="0"/>
    </xf>
    <xf numFmtId="0" fontId="3" fillId="0" borderId="17" xfId="1" applyBorder="1" applyAlignment="1" applyProtection="1">
      <alignment horizontal="left" vertical="top" wrapText="1"/>
      <protection locked="0"/>
    </xf>
    <xf numFmtId="0" fontId="3" fillId="0" borderId="10" xfId="1" applyBorder="1" applyAlignment="1" applyProtection="1">
      <alignment horizontal="left" vertical="top" wrapText="1"/>
      <protection locked="0"/>
    </xf>
    <xf numFmtId="0" fontId="3" fillId="0" borderId="21" xfId="1" applyBorder="1" applyAlignment="1" applyProtection="1">
      <alignment horizontal="left" vertical="top" wrapText="1"/>
      <protection locked="0"/>
    </xf>
    <xf numFmtId="0" fontId="4" fillId="0" borderId="0" xfId="38" applyProtection="1">
      <protection locked="0"/>
    </xf>
    <xf numFmtId="0" fontId="3" fillId="0" borderId="24" xfId="1" applyBorder="1" applyAlignment="1" applyProtection="1">
      <alignment horizontal="left" vertical="top" wrapText="1"/>
      <protection locked="0"/>
    </xf>
    <xf numFmtId="0" fontId="0" fillId="0" borderId="19" xfId="0" applyBorder="1" applyAlignment="1">
      <alignment horizontal="center"/>
    </xf>
    <xf numFmtId="0" fontId="0" fillId="0" borderId="27" xfId="0" applyBorder="1" applyAlignment="1">
      <alignment horizontal="center"/>
    </xf>
    <xf numFmtId="0" fontId="2" fillId="0" borderId="19" xfId="0" applyFont="1" applyBorder="1"/>
    <xf numFmtId="0" fontId="2" fillId="0" borderId="0" xfId="0" applyFont="1"/>
    <xf numFmtId="0" fontId="2" fillId="0" borderId="19" xfId="0" applyFont="1" applyBorder="1" applyAlignment="1">
      <alignment horizontal="center"/>
    </xf>
    <xf numFmtId="0" fontId="3" fillId="0" borderId="22" xfId="1" applyBorder="1" applyAlignment="1" applyProtection="1">
      <alignment horizontal="left" vertical="top" wrapText="1"/>
      <protection locked="0"/>
    </xf>
    <xf numFmtId="0" fontId="3" fillId="0" borderId="11" xfId="1" applyBorder="1" applyAlignment="1" applyProtection="1">
      <alignment horizontal="left" vertical="top" wrapText="1"/>
      <protection locked="0"/>
    </xf>
    <xf numFmtId="0" fontId="3" fillId="0" borderId="18" xfId="1" applyBorder="1" applyAlignment="1" applyProtection="1">
      <alignment horizontal="left" vertical="top" wrapText="1"/>
      <protection locked="0"/>
    </xf>
    <xf numFmtId="0" fontId="2" fillId="28" borderId="19" xfId="0" applyFont="1" applyFill="1" applyBorder="1" applyAlignment="1">
      <alignment horizontal="center"/>
    </xf>
    <xf numFmtId="0" fontId="3" fillId="0" borderId="28" xfId="1" applyBorder="1" applyAlignment="1" applyProtection="1">
      <alignment horizontal="left" vertical="top" wrapText="1"/>
      <protection locked="0"/>
    </xf>
    <xf numFmtId="0" fontId="0" fillId="0" borderId="29" xfId="0" applyBorder="1" applyAlignment="1">
      <alignment horizontal="center"/>
    </xf>
    <xf numFmtId="0" fontId="2" fillId="0" borderId="29" xfId="0" applyFont="1" applyBorder="1"/>
    <xf numFmtId="0" fontId="2" fillId="0" borderId="30" xfId="0" applyFont="1" applyBorder="1"/>
    <xf numFmtId="0" fontId="2" fillId="0" borderId="27" xfId="0" applyFont="1" applyBorder="1"/>
    <xf numFmtId="164" fontId="4" fillId="0" borderId="33" xfId="38" applyNumberFormat="1" applyBorder="1" applyAlignment="1" applyProtection="1">
      <alignment horizontal="left" vertical="top" wrapText="1"/>
      <protection locked="0"/>
    </xf>
    <xf numFmtId="164" fontId="4" fillId="0" borderId="0" xfId="38" applyNumberFormat="1" applyAlignment="1" applyProtection="1">
      <alignment horizontal="left" vertical="top" wrapText="1"/>
      <protection locked="0"/>
    </xf>
    <xf numFmtId="164" fontId="4" fillId="0" borderId="38" xfId="38" applyNumberFormat="1" applyBorder="1" applyAlignment="1" applyProtection="1">
      <alignment horizontal="left" vertical="top" wrapText="1"/>
      <protection locked="0"/>
    </xf>
    <xf numFmtId="0" fontId="0" fillId="0" borderId="33" xfId="0" applyBorder="1"/>
    <xf numFmtId="0" fontId="3" fillId="0" borderId="33" xfId="1" applyBorder="1" applyAlignment="1" applyProtection="1">
      <alignment horizontal="left" vertical="top" wrapText="1"/>
      <protection locked="0"/>
    </xf>
    <xf numFmtId="0" fontId="3" fillId="0" borderId="36" xfId="1" applyBorder="1" applyAlignment="1" applyProtection="1">
      <alignment horizontal="left" vertical="top" wrapText="1"/>
      <protection locked="0"/>
    </xf>
    <xf numFmtId="0" fontId="5" fillId="0" borderId="39" xfId="1" applyFont="1" applyBorder="1" applyAlignment="1" applyProtection="1">
      <alignment horizontal="left" vertical="top" wrapText="1"/>
      <protection locked="0"/>
    </xf>
    <xf numFmtId="0" fontId="3" fillId="0" borderId="34" xfId="1" applyBorder="1" applyAlignment="1" applyProtection="1">
      <alignment horizontal="left" vertical="top" wrapText="1"/>
      <protection locked="0"/>
    </xf>
    <xf numFmtId="0" fontId="4" fillId="0" borderId="42" xfId="38" applyBorder="1" applyAlignment="1" applyProtection="1">
      <alignment horizontal="left" vertical="top" wrapText="1"/>
      <protection locked="0"/>
    </xf>
    <xf numFmtId="0" fontId="4" fillId="0" borderId="34" xfId="38" applyBorder="1" applyAlignment="1" applyProtection="1">
      <alignment horizontal="left" vertical="top" wrapText="1"/>
      <protection locked="0"/>
    </xf>
    <xf numFmtId="0" fontId="4" fillId="0" borderId="37" xfId="38" applyBorder="1" applyAlignment="1" applyProtection="1">
      <alignment horizontal="left" vertical="top" wrapText="1"/>
      <protection locked="0"/>
    </xf>
    <xf numFmtId="0" fontId="4" fillId="0" borderId="45" xfId="38" applyBorder="1" applyAlignment="1" applyProtection="1">
      <alignment horizontal="left" vertical="top" wrapText="1"/>
      <protection locked="0"/>
    </xf>
    <xf numFmtId="0" fontId="32" fillId="0" borderId="47" xfId="38" applyFont="1" applyBorder="1" applyAlignment="1" applyProtection="1">
      <alignment horizontal="center" vertical="center"/>
      <protection locked="0"/>
    </xf>
    <xf numFmtId="0" fontId="5" fillId="0" borderId="36" xfId="1" applyFont="1" applyBorder="1" applyAlignment="1" applyProtection="1">
      <alignment horizontal="left" vertical="top" wrapText="1"/>
      <protection locked="0"/>
    </xf>
    <xf numFmtId="164" fontId="4" fillId="0" borderId="46" xfId="38" applyNumberFormat="1" applyBorder="1" applyAlignment="1" applyProtection="1">
      <alignment horizontal="left" vertical="top" wrapText="1"/>
      <protection locked="0"/>
    </xf>
    <xf numFmtId="164" fontId="3" fillId="0" borderId="46" xfId="38" applyNumberFormat="1" applyFont="1" applyBorder="1" applyAlignment="1" applyProtection="1">
      <alignment horizontal="left" vertical="top" wrapText="1"/>
      <protection locked="0"/>
    </xf>
    <xf numFmtId="0" fontId="3" fillId="0" borderId="45" xfId="38" quotePrefix="1" applyFont="1" applyBorder="1" applyAlignment="1" applyProtection="1">
      <alignment horizontal="left" vertical="top" wrapText="1"/>
      <protection locked="0"/>
    </xf>
    <xf numFmtId="164" fontId="4" fillId="0" borderId="53" xfId="38" applyNumberFormat="1" applyBorder="1" applyAlignment="1" applyProtection="1">
      <alignment horizontal="left" vertical="top" wrapText="1"/>
      <protection locked="0"/>
    </xf>
    <xf numFmtId="0" fontId="4" fillId="0" borderId="53" xfId="38" applyBorder="1" applyAlignment="1" applyProtection="1">
      <alignment horizontal="center" vertical="top" wrapText="1"/>
      <protection locked="0"/>
    </xf>
    <xf numFmtId="0" fontId="4" fillId="0" borderId="54" xfId="38" applyBorder="1" applyAlignment="1" applyProtection="1">
      <alignment horizontal="center" vertical="top"/>
      <protection locked="0"/>
    </xf>
    <xf numFmtId="0" fontId="3" fillId="0" borderId="42" xfId="1" applyBorder="1" applyAlignment="1" applyProtection="1">
      <alignment horizontal="left" vertical="top" wrapText="1"/>
      <protection locked="0"/>
    </xf>
    <xf numFmtId="164" fontId="4" fillId="0" borderId="54" xfId="38" applyNumberFormat="1" applyBorder="1" applyAlignment="1" applyProtection="1">
      <alignment horizontal="left" vertical="top" wrapText="1"/>
      <protection locked="0"/>
    </xf>
    <xf numFmtId="164" fontId="4" fillId="0" borderId="56" xfId="38" applyNumberFormat="1" applyBorder="1" applyAlignment="1" applyProtection="1">
      <alignment horizontal="left" vertical="top" wrapText="1"/>
      <protection locked="0"/>
    </xf>
    <xf numFmtId="0" fontId="2" fillId="29" borderId="55" xfId="0" applyFont="1" applyFill="1" applyBorder="1"/>
    <xf numFmtId="0" fontId="2" fillId="29" borderId="37" xfId="0" applyFont="1" applyFill="1" applyBorder="1"/>
    <xf numFmtId="0" fontId="32" fillId="0" borderId="41" xfId="38" applyFont="1" applyBorder="1" applyAlignment="1" applyProtection="1">
      <alignment horizontal="center" vertical="center"/>
      <protection locked="0"/>
    </xf>
    <xf numFmtId="0" fontId="2" fillId="29" borderId="0" xfId="0" applyFont="1" applyFill="1"/>
    <xf numFmtId="164" fontId="4" fillId="0" borderId="42" xfId="38" applyNumberFormat="1" applyBorder="1" applyAlignment="1" applyProtection="1">
      <alignment horizontal="left" vertical="top" wrapText="1"/>
      <protection locked="0"/>
    </xf>
    <xf numFmtId="0" fontId="5" fillId="0" borderId="19" xfId="38" applyFont="1" applyBorder="1" applyAlignment="1" applyProtection="1">
      <alignment horizontal="center" vertical="center" wrapText="1"/>
      <protection locked="0"/>
    </xf>
    <xf numFmtId="0" fontId="2" fillId="0" borderId="26" xfId="0" applyFont="1" applyBorder="1"/>
    <xf numFmtId="0" fontId="0" fillId="0" borderId="19" xfId="0" applyBorder="1"/>
    <xf numFmtId="0" fontId="2" fillId="0" borderId="27" xfId="0" applyFont="1" applyBorder="1" applyAlignment="1">
      <alignment horizontal="center"/>
    </xf>
    <xf numFmtId="0" fontId="2" fillId="0" borderId="29" xfId="0" applyFont="1" applyBorder="1" applyAlignment="1">
      <alignment horizontal="center"/>
    </xf>
    <xf numFmtId="0" fontId="4" fillId="0" borderId="52" xfId="38" applyBorder="1" applyAlignment="1" applyProtection="1">
      <alignment horizontal="left" vertical="top" wrapText="1"/>
      <protection locked="0"/>
    </xf>
    <xf numFmtId="0" fontId="4" fillId="0" borderId="44" xfId="38" applyBorder="1" applyAlignment="1" applyProtection="1">
      <alignment horizontal="left" vertical="top" wrapText="1"/>
      <protection locked="0"/>
    </xf>
    <xf numFmtId="0" fontId="2" fillId="0" borderId="23" xfId="0" applyFont="1" applyBorder="1"/>
    <xf numFmtId="0" fontId="2" fillId="0" borderId="19" xfId="0" applyFont="1" applyBorder="1" applyAlignment="1">
      <alignment horizontal="center" vertical="center"/>
    </xf>
    <xf numFmtId="0" fontId="3" fillId="32" borderId="21" xfId="1" applyFill="1" applyBorder="1" applyAlignment="1" applyProtection="1">
      <alignment horizontal="left" vertical="top" wrapText="1"/>
      <protection locked="0"/>
    </xf>
    <xf numFmtId="0" fontId="3" fillId="0" borderId="31" xfId="1" applyBorder="1" applyAlignment="1" applyProtection="1">
      <alignment horizontal="left" vertical="top" wrapText="1"/>
      <protection locked="0"/>
    </xf>
    <xf numFmtId="0" fontId="3" fillId="0" borderId="51" xfId="1" applyBorder="1" applyAlignment="1" applyProtection="1">
      <alignment horizontal="left" vertical="top" wrapText="1"/>
      <protection locked="0"/>
    </xf>
    <xf numFmtId="0" fontId="5" fillId="0" borderId="58" xfId="1" applyFont="1" applyBorder="1" applyAlignment="1" applyProtection="1">
      <alignment horizontal="left" vertical="top" wrapText="1"/>
      <protection locked="0"/>
    </xf>
    <xf numFmtId="0" fontId="4" fillId="0" borderId="59" xfId="38" applyBorder="1" applyAlignment="1" applyProtection="1">
      <alignment horizontal="left" vertical="top" wrapText="1"/>
      <protection locked="0"/>
    </xf>
    <xf numFmtId="0" fontId="3" fillId="0" borderId="59" xfId="1" applyBorder="1" applyAlignment="1" applyProtection="1">
      <alignment horizontal="left" vertical="top" wrapText="1"/>
      <protection locked="0"/>
    </xf>
    <xf numFmtId="0" fontId="5" fillId="0" borderId="28" xfId="1" applyFont="1" applyBorder="1" applyAlignment="1" applyProtection="1">
      <alignment horizontal="left" vertical="top" wrapText="1"/>
      <protection locked="0"/>
    </xf>
    <xf numFmtId="0" fontId="2" fillId="0" borderId="19" xfId="0" applyFont="1" applyBorder="1" applyAlignment="1">
      <alignment horizontal="left"/>
    </xf>
    <xf numFmtId="0" fontId="5" fillId="0" borderId="21" xfId="1" applyFont="1" applyBorder="1" applyAlignment="1" applyProtection="1">
      <alignment horizontal="left" vertical="top" wrapText="1"/>
      <protection locked="0"/>
    </xf>
    <xf numFmtId="0" fontId="3" fillId="0" borderId="66" xfId="1" applyBorder="1" applyAlignment="1" applyProtection="1">
      <alignment horizontal="left" vertical="top" wrapText="1"/>
      <protection locked="0"/>
    </xf>
    <xf numFmtId="0" fontId="3" fillId="0" borderId="70" xfId="1" applyBorder="1" applyAlignment="1" applyProtection="1">
      <alignment horizontal="left" vertical="top" wrapText="1"/>
      <protection locked="0"/>
    </xf>
    <xf numFmtId="0" fontId="3" fillId="0" borderId="52" xfId="1" applyBorder="1" applyAlignment="1" applyProtection="1">
      <alignment horizontal="left" vertical="top" wrapText="1"/>
      <protection locked="0"/>
    </xf>
    <xf numFmtId="0" fontId="3" fillId="0" borderId="37" xfId="1" applyBorder="1" applyAlignment="1" applyProtection="1">
      <alignment horizontal="left" vertical="top" wrapText="1"/>
      <protection locked="0"/>
    </xf>
    <xf numFmtId="0" fontId="0" fillId="0" borderId="34" xfId="0" applyBorder="1"/>
    <xf numFmtId="0" fontId="3" fillId="0" borderId="46" xfId="1" applyBorder="1" applyAlignment="1" applyProtection="1">
      <alignment horizontal="left" vertical="top" wrapText="1"/>
      <protection locked="0"/>
    </xf>
    <xf numFmtId="0" fontId="0" fillId="0" borderId="76" xfId="0" applyBorder="1"/>
    <xf numFmtId="0" fontId="3" fillId="0" borderId="15" xfId="1" applyBorder="1" applyAlignment="1" applyProtection="1">
      <alignment horizontal="left" vertical="top" wrapText="1"/>
      <protection locked="0"/>
    </xf>
    <xf numFmtId="0" fontId="3" fillId="0" borderId="38" xfId="1" applyBorder="1" applyAlignment="1" applyProtection="1">
      <alignment horizontal="left" vertical="top" wrapText="1"/>
      <protection locked="0"/>
    </xf>
    <xf numFmtId="0" fontId="3" fillId="0" borderId="45" xfId="1" applyBorder="1" applyAlignment="1" applyProtection="1">
      <alignment horizontal="left" vertical="top" wrapText="1"/>
      <protection locked="0"/>
    </xf>
    <xf numFmtId="0" fontId="3" fillId="0" borderId="77" xfId="1" applyBorder="1" applyAlignment="1" applyProtection="1">
      <alignment horizontal="left" vertical="top" wrapText="1"/>
      <protection locked="0"/>
    </xf>
    <xf numFmtId="0" fontId="0" fillId="0" borderId="45" xfId="0" applyBorder="1"/>
    <xf numFmtId="0" fontId="0" fillId="0" borderId="52" xfId="0" applyBorder="1"/>
    <xf numFmtId="0" fontId="0" fillId="0" borderId="38" xfId="0" applyBorder="1"/>
    <xf numFmtId="0" fontId="0" fillId="0" borderId="46" xfId="0" applyBorder="1"/>
    <xf numFmtId="0" fontId="2" fillId="29" borderId="44" xfId="0" applyFont="1" applyFill="1" applyBorder="1"/>
    <xf numFmtId="0" fontId="5" fillId="29" borderId="51" xfId="1" applyFont="1" applyFill="1" applyBorder="1" applyAlignment="1" applyProtection="1">
      <alignment vertical="top" wrapText="1"/>
      <protection locked="0"/>
    </xf>
    <xf numFmtId="0" fontId="3" fillId="0" borderId="45" xfId="1" applyBorder="1" applyAlignment="1" applyProtection="1">
      <alignment horizontal="left" vertical="center" wrapText="1"/>
      <protection locked="0"/>
    </xf>
    <xf numFmtId="0" fontId="3" fillId="0" borderId="0" xfId="1" applyAlignment="1" applyProtection="1">
      <alignment horizontal="left" vertical="top" wrapText="1"/>
      <protection locked="0"/>
    </xf>
    <xf numFmtId="0" fontId="4" fillId="0" borderId="33" xfId="38" applyBorder="1" applyAlignment="1" applyProtection="1">
      <alignment horizontal="left" vertical="top" wrapText="1"/>
      <protection locked="0"/>
    </xf>
    <xf numFmtId="0" fontId="3" fillId="0" borderId="41" xfId="1" applyBorder="1" applyAlignment="1" applyProtection="1">
      <alignment horizontal="left" vertical="top" wrapText="1"/>
      <protection locked="0"/>
    </xf>
    <xf numFmtId="0" fontId="0" fillId="0" borderId="44" xfId="0" applyBorder="1"/>
    <xf numFmtId="0" fontId="0" fillId="0" borderId="37" xfId="0" applyBorder="1"/>
    <xf numFmtId="0" fontId="0" fillId="0" borderId="77" xfId="0" applyBorder="1"/>
    <xf numFmtId="0" fontId="0" fillId="0" borderId="42" xfId="0" applyBorder="1"/>
    <xf numFmtId="0" fontId="0" fillId="0" borderId="51" xfId="0" applyBorder="1"/>
    <xf numFmtId="0" fontId="5" fillId="0" borderId="19" xfId="38" applyFont="1" applyBorder="1" applyAlignment="1" applyProtection="1">
      <alignment horizontal="center" vertical="top" wrapText="1"/>
      <protection locked="0"/>
    </xf>
    <xf numFmtId="0" fontId="2" fillId="31" borderId="19" xfId="0" applyFont="1" applyFill="1" applyBorder="1" applyAlignment="1">
      <alignment horizontal="center"/>
    </xf>
    <xf numFmtId="0" fontId="2" fillId="31" borderId="29" xfId="0" applyFont="1" applyFill="1" applyBorder="1" applyAlignment="1">
      <alignment horizontal="center"/>
    </xf>
    <xf numFmtId="0" fontId="2" fillId="33" borderId="19" xfId="0" applyFont="1" applyFill="1" applyBorder="1" applyAlignment="1">
      <alignment horizontal="center"/>
    </xf>
    <xf numFmtId="0" fontId="2" fillId="33" borderId="29" xfId="0" applyFont="1" applyFill="1" applyBorder="1" applyAlignment="1">
      <alignment horizontal="center"/>
    </xf>
    <xf numFmtId="0" fontId="2" fillId="33" borderId="27" xfId="0" applyFont="1" applyFill="1" applyBorder="1" applyAlignment="1">
      <alignment horizontal="center"/>
    </xf>
    <xf numFmtId="0" fontId="35" fillId="0" borderId="39" xfId="1" applyFont="1" applyBorder="1" applyAlignment="1" applyProtection="1">
      <alignment horizontal="left" vertical="top" wrapText="1"/>
      <protection locked="0"/>
    </xf>
    <xf numFmtId="0" fontId="0" fillId="0" borderId="74" xfId="0" applyBorder="1"/>
    <xf numFmtId="0" fontId="2" fillId="34" borderId="19" xfId="0" applyFont="1" applyFill="1" applyBorder="1" applyAlignment="1">
      <alignment horizontal="center"/>
    </xf>
    <xf numFmtId="0" fontId="2" fillId="34" borderId="26" xfId="0" applyFont="1" applyFill="1" applyBorder="1"/>
    <xf numFmtId="0" fontId="2" fillId="0" borderId="26" xfId="0" applyFont="1" applyBorder="1" applyAlignment="1">
      <alignment horizontal="center" vertical="center"/>
    </xf>
    <xf numFmtId="0" fontId="2" fillId="34" borderId="19" xfId="0" applyFont="1" applyFill="1" applyBorder="1"/>
    <xf numFmtId="0" fontId="27" fillId="0" borderId="90" xfId="0" applyFont="1" applyBorder="1" applyAlignment="1">
      <alignment horizontal="center" wrapText="1"/>
    </xf>
    <xf numFmtId="0" fontId="24" fillId="0" borderId="91" xfId="0" applyFont="1" applyBorder="1" applyAlignment="1">
      <alignment horizontal="center" wrapText="1"/>
    </xf>
    <xf numFmtId="0" fontId="24" fillId="0" borderId="92" xfId="0" applyFont="1" applyBorder="1" applyAlignment="1">
      <alignment horizontal="center" wrapText="1"/>
    </xf>
    <xf numFmtId="0" fontId="24" fillId="0" borderId="93" xfId="91" applyFont="1" applyBorder="1" applyAlignment="1">
      <alignment wrapText="1"/>
    </xf>
    <xf numFmtId="0" fontId="24" fillId="0" borderId="95" xfId="91" applyFont="1" applyBorder="1" applyAlignment="1">
      <alignment wrapText="1"/>
    </xf>
    <xf numFmtId="0" fontId="24" fillId="0" borderId="96" xfId="91" applyFont="1" applyBorder="1" applyAlignment="1">
      <alignment wrapText="1"/>
    </xf>
    <xf numFmtId="0" fontId="24" fillId="0" borderId="90" xfId="91" applyFont="1" applyBorder="1" applyAlignment="1">
      <alignment wrapText="1"/>
    </xf>
    <xf numFmtId="0" fontId="24" fillId="0" borderId="97" xfId="91" applyFont="1" applyBorder="1" applyAlignment="1">
      <alignment wrapText="1"/>
    </xf>
    <xf numFmtId="0" fontId="24" fillId="0" borderId="97" xfId="91" applyFont="1" applyBorder="1" applyAlignment="1">
      <alignment horizontal="center" wrapText="1"/>
    </xf>
    <xf numFmtId="0" fontId="3" fillId="26" borderId="89" xfId="0" applyFont="1" applyFill="1" applyBorder="1" applyAlignment="1">
      <alignment horizontal="left" wrapText="1"/>
    </xf>
    <xf numFmtId="0" fontId="3" fillId="26" borderId="89" xfId="0" quotePrefix="1" applyFont="1" applyFill="1" applyBorder="1" applyAlignment="1">
      <alignment horizontal="left" wrapText="1"/>
    </xf>
    <xf numFmtId="0" fontId="3" fillId="26" borderId="89" xfId="91" applyFill="1" applyBorder="1" applyAlignment="1">
      <alignment horizontal="left" wrapText="1"/>
    </xf>
    <xf numFmtId="0" fontId="3" fillId="26" borderId="89" xfId="91" applyFill="1" applyBorder="1" applyAlignment="1">
      <alignment wrapText="1"/>
    </xf>
    <xf numFmtId="0" fontId="24" fillId="36" borderId="91" xfId="0" applyFont="1" applyFill="1" applyBorder="1" applyAlignment="1">
      <alignment horizontal="center" wrapText="1"/>
    </xf>
    <xf numFmtId="0" fontId="24" fillId="36" borderId="98" xfId="0" applyFont="1" applyFill="1" applyBorder="1" applyAlignment="1">
      <alignment horizontal="center" wrapText="1"/>
    </xf>
    <xf numFmtId="0" fontId="24" fillId="36" borderId="0" xfId="0" applyFont="1" applyFill="1" applyAlignment="1">
      <alignment horizontal="center" wrapText="1"/>
    </xf>
    <xf numFmtId="0" fontId="24" fillId="0" borderId="91" xfId="91" applyFont="1" applyBorder="1" applyAlignment="1">
      <alignment wrapText="1"/>
    </xf>
    <xf numFmtId="0" fontId="24" fillId="0" borderId="92" xfId="91" applyFont="1" applyBorder="1" applyAlignment="1">
      <alignment wrapText="1"/>
    </xf>
    <xf numFmtId="0" fontId="24" fillId="0" borderId="53" xfId="91" applyFont="1" applyBorder="1" applyAlignment="1">
      <alignment wrapText="1"/>
    </xf>
    <xf numFmtId="0" fontId="24" fillId="0" borderId="0" xfId="91" applyFont="1" applyAlignment="1">
      <alignment wrapText="1"/>
    </xf>
    <xf numFmtId="0" fontId="24" fillId="0" borderId="99" xfId="91" applyFont="1" applyBorder="1" applyAlignment="1">
      <alignment wrapText="1"/>
    </xf>
    <xf numFmtId="0" fontId="24" fillId="0" borderId="99" xfId="91" applyFont="1" applyBorder="1" applyAlignment="1">
      <alignment horizontal="center" wrapText="1"/>
    </xf>
    <xf numFmtId="0" fontId="24" fillId="0" borderId="100" xfId="91" applyFont="1" applyBorder="1" applyAlignment="1">
      <alignment wrapText="1"/>
    </xf>
    <xf numFmtId="0" fontId="24" fillId="0" borderId="98" xfId="0" applyFont="1" applyBorder="1" applyAlignment="1">
      <alignment horizontal="center" wrapText="1"/>
    </xf>
    <xf numFmtId="0" fontId="24" fillId="0" borderId="0" xfId="0" applyFont="1" applyAlignment="1">
      <alignment horizontal="center" wrapText="1"/>
    </xf>
    <xf numFmtId="0" fontId="27" fillId="0" borderId="94" xfId="0" applyFont="1" applyBorder="1" applyAlignment="1">
      <alignment horizontal="center" wrapText="1"/>
    </xf>
    <xf numFmtId="0" fontId="24" fillId="29" borderId="93" xfId="0" applyFont="1" applyFill="1" applyBorder="1" applyAlignment="1">
      <alignment horizontal="center" wrapText="1"/>
    </xf>
    <xf numFmtId="0" fontId="24" fillId="29" borderId="94" xfId="0" applyFont="1" applyFill="1" applyBorder="1" applyAlignment="1">
      <alignment horizontal="center" wrapText="1"/>
    </xf>
    <xf numFmtId="0" fontId="24" fillId="29" borderId="90" xfId="0" applyFont="1" applyFill="1" applyBorder="1" applyAlignment="1">
      <alignment horizontal="center" wrapText="1"/>
    </xf>
    <xf numFmtId="0" fontId="24" fillId="0" borderId="94" xfId="91" applyFont="1" applyBorder="1" applyAlignment="1">
      <alignment wrapText="1"/>
    </xf>
    <xf numFmtId="0" fontId="3" fillId="35" borderId="89" xfId="91" applyFill="1" applyBorder="1" applyAlignment="1">
      <alignment horizontal="left" wrapText="1"/>
    </xf>
    <xf numFmtId="0" fontId="3" fillId="26" borderId="89" xfId="91" applyFill="1" applyBorder="1"/>
    <xf numFmtId="0" fontId="5" fillId="31" borderId="28" xfId="1" applyFont="1" applyFill="1" applyBorder="1" applyAlignment="1" applyProtection="1">
      <alignment horizontal="center" vertical="center" wrapText="1"/>
      <protection locked="0"/>
    </xf>
    <xf numFmtId="0" fontId="24" fillId="0" borderId="98" xfId="91" applyFont="1" applyBorder="1" applyAlignment="1">
      <alignment wrapText="1"/>
    </xf>
    <xf numFmtId="0" fontId="24" fillId="0" borderId="95" xfId="1" applyFont="1" applyBorder="1" applyAlignment="1">
      <alignment horizontal="center" wrapText="1"/>
    </xf>
    <xf numFmtId="0" fontId="24" fillId="0" borderId="101" xfId="1" applyFont="1" applyBorder="1" applyAlignment="1">
      <alignment horizontal="center" wrapText="1"/>
    </xf>
    <xf numFmtId="0" fontId="25" fillId="25" borderId="93" xfId="1" applyFont="1" applyFill="1" applyBorder="1" applyAlignment="1">
      <alignment horizontal="center" wrapText="1"/>
    </xf>
    <xf numFmtId="0" fontId="25" fillId="25" borderId="101" xfId="1" applyFont="1" applyFill="1" applyBorder="1" applyAlignment="1">
      <alignment horizontal="center" wrapText="1"/>
    </xf>
    <xf numFmtId="0" fontId="24" fillId="0" borderId="93" xfId="1" applyFont="1" applyBorder="1" applyAlignment="1">
      <alignment horizontal="center" wrapText="1"/>
    </xf>
    <xf numFmtId="0" fontId="26" fillId="0" borderId="101" xfId="1" applyFont="1" applyBorder="1" applyAlignment="1">
      <alignment horizontal="center" wrapText="1"/>
    </xf>
    <xf numFmtId="0" fontId="26" fillId="0" borderId="97" xfId="1" applyFont="1" applyBorder="1" applyAlignment="1">
      <alignment horizontal="center" wrapText="1"/>
    </xf>
    <xf numFmtId="0" fontId="24" fillId="0" borderId="102" xfId="1" applyFont="1" applyBorder="1" applyAlignment="1">
      <alignment horizontal="center" wrapText="1"/>
    </xf>
    <xf numFmtId="0" fontId="24" fillId="0" borderId="94" xfId="1" applyFont="1" applyBorder="1" applyAlignment="1">
      <alignment horizontal="center" wrapText="1"/>
    </xf>
    <xf numFmtId="0" fontId="3" fillId="26" borderId="89" xfId="1" quotePrefix="1" applyFill="1" applyBorder="1" applyAlignment="1">
      <alignment horizontal="left" vertical="top" wrapText="1"/>
    </xf>
    <xf numFmtId="0" fontId="0" fillId="0" borderId="85" xfId="0" applyBorder="1"/>
    <xf numFmtId="0" fontId="28" fillId="0" borderId="101" xfId="1" applyFont="1" applyBorder="1" applyAlignment="1">
      <alignment horizontal="center" wrapText="1"/>
    </xf>
    <xf numFmtId="0" fontId="27" fillId="0" borderId="90" xfId="1" applyFont="1" applyBorder="1" applyAlignment="1">
      <alignment horizontal="center" wrapText="1"/>
    </xf>
    <xf numFmtId="0" fontId="25" fillId="25" borderId="95" xfId="1" applyFont="1" applyFill="1" applyBorder="1" applyAlignment="1">
      <alignment horizontal="center" vertical="center" wrapText="1"/>
    </xf>
    <xf numFmtId="0" fontId="25" fillId="25" borderId="102" xfId="1" applyFont="1" applyFill="1" applyBorder="1" applyAlignment="1">
      <alignment horizontal="center" vertical="center" wrapText="1"/>
    </xf>
    <xf numFmtId="0" fontId="25" fillId="25" borderId="97" xfId="1" applyFont="1" applyFill="1" applyBorder="1" applyAlignment="1">
      <alignment horizontal="center" vertical="center" wrapText="1"/>
    </xf>
    <xf numFmtId="0" fontId="26" fillId="24" borderId="101" xfId="1" applyFont="1" applyFill="1" applyBorder="1" applyAlignment="1">
      <alignment horizontal="center" wrapText="1"/>
    </xf>
    <xf numFmtId="0" fontId="26" fillId="24" borderId="94" xfId="1" applyFont="1" applyFill="1" applyBorder="1" applyAlignment="1">
      <alignment horizontal="center" wrapText="1"/>
    </xf>
    <xf numFmtId="0" fontId="26" fillId="24" borderId="102" xfId="1" applyFont="1" applyFill="1" applyBorder="1" applyAlignment="1">
      <alignment horizontal="center" wrapText="1"/>
    </xf>
    <xf numFmtId="0" fontId="28" fillId="0" borderId="102" xfId="1" applyFont="1" applyBorder="1" applyAlignment="1">
      <alignment horizontal="center" wrapText="1"/>
    </xf>
    <xf numFmtId="0" fontId="27" fillId="0" borderId="94" xfId="1" applyFont="1" applyBorder="1" applyAlignment="1">
      <alignment horizontal="center" wrapText="1"/>
    </xf>
    <xf numFmtId="0" fontId="25" fillId="25" borderId="95" xfId="1" applyFont="1" applyFill="1" applyBorder="1" applyAlignment="1">
      <alignment horizontal="center" wrapText="1"/>
    </xf>
    <xf numFmtId="0" fontId="25" fillId="25" borderId="102" xfId="1" applyFont="1" applyFill="1" applyBorder="1" applyAlignment="1">
      <alignment horizontal="center" wrapText="1"/>
    </xf>
    <xf numFmtId="0" fontId="25" fillId="25" borderId="97" xfId="1" applyFont="1" applyFill="1" applyBorder="1" applyAlignment="1">
      <alignment horizontal="center" wrapText="1"/>
    </xf>
    <xf numFmtId="0" fontId="5" fillId="0" borderId="12" xfId="1" applyFont="1" applyBorder="1" applyAlignment="1" applyProtection="1">
      <alignment horizontal="left" vertical="top" wrapText="1"/>
      <protection locked="0"/>
    </xf>
    <xf numFmtId="0" fontId="3" fillId="0" borderId="11" xfId="91" applyBorder="1" applyAlignment="1" applyProtection="1">
      <alignment horizontal="left" vertical="top" wrapText="1"/>
      <protection locked="0"/>
    </xf>
    <xf numFmtId="0" fontId="34" fillId="0" borderId="11" xfId="90" applyBorder="1" applyAlignment="1" applyProtection="1">
      <alignment horizontal="left" vertical="top" wrapText="1"/>
      <protection locked="0"/>
    </xf>
    <xf numFmtId="0" fontId="3" fillId="0" borderId="11" xfId="90" applyFont="1" applyBorder="1" applyAlignment="1" applyProtection="1">
      <alignment horizontal="left" vertical="top" wrapText="1"/>
      <protection locked="0"/>
    </xf>
    <xf numFmtId="0" fontId="34" fillId="0" borderId="18" xfId="90" applyBorder="1" applyAlignment="1" applyProtection="1">
      <alignment horizontal="left" vertical="top" wrapText="1"/>
      <protection locked="0"/>
    </xf>
    <xf numFmtId="0" fontId="3" fillId="0" borderId="16" xfId="90" applyFont="1" applyBorder="1" applyAlignment="1" applyProtection="1">
      <alignment horizontal="left" vertical="top" wrapText="1"/>
      <protection locked="0"/>
    </xf>
    <xf numFmtId="0" fontId="3" fillId="0" borderId="22" xfId="90" applyFont="1" applyBorder="1" applyAlignment="1" applyProtection="1">
      <alignment horizontal="left" vertical="top" wrapText="1"/>
      <protection locked="0"/>
    </xf>
    <xf numFmtId="0" fontId="3" fillId="0" borderId="20" xfId="1" applyBorder="1" applyAlignment="1" applyProtection="1">
      <alignment horizontal="left" vertical="top" wrapText="1"/>
      <protection locked="0"/>
    </xf>
    <xf numFmtId="0" fontId="39" fillId="24" borderId="104" xfId="0" applyFont="1" applyFill="1" applyBorder="1"/>
    <xf numFmtId="0" fontId="0" fillId="24" borderId="103" xfId="0" applyFill="1" applyBorder="1"/>
    <xf numFmtId="0" fontId="0" fillId="0" borderId="0" xfId="0" applyProtection="1">
      <protection locked="0"/>
    </xf>
    <xf numFmtId="0" fontId="5" fillId="24" borderId="0" xfId="0" applyFont="1" applyFill="1" applyProtection="1">
      <protection locked="0"/>
    </xf>
    <xf numFmtId="0" fontId="0" fillId="24" borderId="0" xfId="0" applyFill="1" applyProtection="1">
      <protection locked="0"/>
    </xf>
    <xf numFmtId="0" fontId="39" fillId="24" borderId="0" xfId="0" applyFont="1" applyFill="1" applyProtection="1">
      <protection locked="0"/>
    </xf>
    <xf numFmtId="0" fontId="0" fillId="24" borderId="0" xfId="0" applyFill="1"/>
    <xf numFmtId="0" fontId="5" fillId="24" borderId="0" xfId="0" applyFont="1" applyFill="1" applyAlignment="1" applyProtection="1">
      <alignment horizontal="left" vertical="center"/>
      <protection locked="0"/>
    </xf>
    <xf numFmtId="0" fontId="43" fillId="24" borderId="0" xfId="0" applyFont="1" applyFill="1" applyAlignment="1" applyProtection="1">
      <alignment horizontal="center" vertical="center"/>
      <protection locked="0"/>
    </xf>
    <xf numFmtId="0" fontId="5" fillId="24" borderId="0" xfId="0" applyFont="1" applyFill="1"/>
    <xf numFmtId="0" fontId="3" fillId="24" borderId="0" xfId="0" applyFont="1" applyFill="1" applyProtection="1">
      <protection locked="0"/>
    </xf>
    <xf numFmtId="0" fontId="45" fillId="24" borderId="0" xfId="0" applyFont="1" applyFill="1" applyProtection="1">
      <protection locked="0"/>
    </xf>
    <xf numFmtId="11" fontId="3" fillId="24" borderId="0" xfId="0" applyNumberFormat="1" applyFont="1" applyFill="1" applyProtection="1">
      <protection locked="0"/>
    </xf>
    <xf numFmtId="0" fontId="3" fillId="0" borderId="0" xfId="0" applyFont="1" applyAlignment="1" applyProtection="1">
      <alignment horizontal="center"/>
      <protection locked="0"/>
    </xf>
    <xf numFmtId="0" fontId="3" fillId="0" borderId="0" xfId="0" applyFont="1" applyProtection="1">
      <protection locked="0"/>
    </xf>
    <xf numFmtId="0" fontId="46" fillId="27" borderId="107" xfId="0" applyFont="1" applyFill="1" applyBorder="1" applyAlignment="1" applyProtection="1">
      <alignment horizontal="left"/>
      <protection locked="0"/>
    </xf>
    <xf numFmtId="0" fontId="47" fillId="37" borderId="106" xfId="0" applyFont="1" applyFill="1" applyBorder="1" applyAlignment="1" applyProtection="1">
      <alignment horizontal="left" wrapText="1"/>
      <protection locked="0"/>
    </xf>
    <xf numFmtId="0" fontId="46" fillId="27" borderId="89" xfId="0" applyFont="1" applyFill="1" applyBorder="1" applyAlignment="1" applyProtection="1">
      <alignment horizontal="left"/>
      <protection locked="0"/>
    </xf>
    <xf numFmtId="0" fontId="42" fillId="27" borderId="105" xfId="0" applyFont="1" applyFill="1" applyBorder="1" applyAlignment="1" applyProtection="1">
      <alignment horizontal="left" wrapText="1"/>
      <protection locked="0"/>
    </xf>
    <xf numFmtId="0" fontId="48" fillId="0" borderId="107" xfId="0" applyFont="1" applyBorder="1" applyAlignment="1" applyProtection="1">
      <alignment vertical="top"/>
      <protection locked="0"/>
    </xf>
    <xf numFmtId="0" fontId="48" fillId="0" borderId="106" xfId="0" applyFont="1" applyBorder="1" applyAlignment="1" applyProtection="1">
      <alignment vertical="top"/>
      <protection locked="0"/>
    </xf>
    <xf numFmtId="0" fontId="48" fillId="0" borderId="89" xfId="0" applyFont="1" applyBorder="1" applyAlignment="1" applyProtection="1">
      <alignment vertical="top"/>
      <protection locked="0"/>
    </xf>
    <xf numFmtId="0" fontId="50" fillId="0" borderId="0" xfId="0" applyFont="1" applyProtection="1">
      <protection locked="0"/>
    </xf>
    <xf numFmtId="0" fontId="46" fillId="27" borderId="89" xfId="0" applyFont="1" applyFill="1" applyBorder="1" applyAlignment="1" applyProtection="1">
      <alignment horizontal="left" wrapText="1"/>
      <protection locked="0"/>
    </xf>
    <xf numFmtId="0" fontId="46" fillId="27" borderId="109" xfId="0" applyFont="1" applyFill="1" applyBorder="1" applyAlignment="1" applyProtection="1">
      <alignment wrapText="1"/>
      <protection locked="0"/>
    </xf>
    <xf numFmtId="0" fontId="48" fillId="38" borderId="89" xfId="0" applyFont="1" applyFill="1" applyBorder="1" applyAlignment="1" applyProtection="1">
      <alignment vertical="top" wrapText="1"/>
      <protection locked="0"/>
    </xf>
    <xf numFmtId="0" fontId="48" fillId="0" borderId="89" xfId="0" applyFont="1" applyBorder="1" applyAlignment="1" applyProtection="1">
      <alignment vertical="top" wrapText="1"/>
      <protection locked="0"/>
    </xf>
    <xf numFmtId="0" fontId="48" fillId="0" borderId="109" xfId="0" applyFont="1" applyBorder="1" applyAlignment="1" applyProtection="1">
      <alignment vertical="top" wrapText="1"/>
      <protection locked="0"/>
    </xf>
    <xf numFmtId="0" fontId="0" fillId="0" borderId="107" xfId="0" applyBorder="1" applyProtection="1">
      <protection locked="0"/>
    </xf>
    <xf numFmtId="0" fontId="3" fillId="0" borderId="89" xfId="0" applyFont="1" applyBorder="1" applyAlignment="1" applyProtection="1">
      <alignment horizontal="left" vertical="top" wrapText="1"/>
      <protection locked="0"/>
    </xf>
    <xf numFmtId="0" fontId="0" fillId="0" borderId="89" xfId="0" applyBorder="1" applyAlignment="1" applyProtection="1">
      <alignment horizontal="left" vertical="top" wrapText="1"/>
      <protection locked="0"/>
    </xf>
    <xf numFmtId="0" fontId="48" fillId="0" borderId="105" xfId="0" applyFont="1" applyBorder="1" applyAlignment="1" applyProtection="1">
      <alignment vertical="top" wrapText="1"/>
      <protection locked="0"/>
    </xf>
    <xf numFmtId="0" fontId="48" fillId="0" borderId="110" xfId="0" applyFont="1" applyBorder="1" applyAlignment="1" applyProtection="1">
      <alignment vertical="top"/>
      <protection locked="0"/>
    </xf>
    <xf numFmtId="0" fontId="48" fillId="0" borderId="112" xfId="0" applyFont="1" applyBorder="1" applyAlignment="1" applyProtection="1">
      <alignment vertical="top"/>
      <protection locked="0"/>
    </xf>
    <xf numFmtId="0" fontId="48" fillId="0" borderId="114" xfId="0" applyFont="1" applyBorder="1" applyAlignment="1" applyProtection="1">
      <alignment vertical="top" wrapText="1"/>
      <protection locked="0"/>
    </xf>
    <xf numFmtId="0" fontId="0" fillId="0" borderId="116" xfId="0" applyBorder="1"/>
    <xf numFmtId="0" fontId="0" fillId="0" borderId="117" xfId="0" applyBorder="1" applyProtection="1">
      <protection locked="0"/>
    </xf>
    <xf numFmtId="0" fontId="0" fillId="0" borderId="118" xfId="0" applyBorder="1" applyProtection="1">
      <protection locked="0"/>
    </xf>
    <xf numFmtId="0" fontId="0" fillId="0" borderId="120" xfId="0" applyBorder="1" applyProtection="1">
      <protection locked="0"/>
    </xf>
    <xf numFmtId="0" fontId="51" fillId="0" borderId="55" xfId="0" applyFont="1" applyBorder="1" applyAlignment="1" applyProtection="1">
      <alignment vertical="center" wrapText="1"/>
      <protection locked="0"/>
    </xf>
    <xf numFmtId="0" fontId="39" fillId="24" borderId="76" xfId="0" applyFont="1" applyFill="1" applyBorder="1" applyProtection="1">
      <protection locked="0"/>
    </xf>
    <xf numFmtId="0" fontId="39" fillId="24" borderId="52" xfId="0" applyFont="1" applyFill="1" applyBorder="1" applyProtection="1">
      <protection locked="0"/>
    </xf>
    <xf numFmtId="0" fontId="39" fillId="24" borderId="41" xfId="0" applyFont="1" applyFill="1" applyBorder="1" applyProtection="1">
      <protection locked="0"/>
    </xf>
    <xf numFmtId="0" fontId="39" fillId="24" borderId="37" xfId="0" applyFont="1" applyFill="1" applyBorder="1" applyProtection="1">
      <protection locked="0"/>
    </xf>
    <xf numFmtId="0" fontId="39" fillId="24" borderId="46" xfId="0" applyFont="1" applyFill="1" applyBorder="1" applyProtection="1">
      <protection locked="0"/>
    </xf>
    <xf numFmtId="0" fontId="3" fillId="24" borderId="41" xfId="0" applyFont="1" applyFill="1" applyBorder="1" applyProtection="1">
      <protection locked="0"/>
    </xf>
    <xf numFmtId="0" fontId="3" fillId="24" borderId="37" xfId="0" applyFont="1" applyFill="1" applyBorder="1" applyProtection="1">
      <protection locked="0"/>
    </xf>
    <xf numFmtId="0" fontId="3" fillId="24" borderId="46" xfId="0" applyFont="1" applyFill="1" applyBorder="1" applyAlignment="1" applyProtection="1">
      <alignment horizontal="left"/>
      <protection locked="0"/>
    </xf>
    <xf numFmtId="0" fontId="5" fillId="24" borderId="41" xfId="0" applyFont="1" applyFill="1" applyBorder="1" applyProtection="1">
      <protection locked="0"/>
    </xf>
    <xf numFmtId="0" fontId="46" fillId="27" borderId="105" xfId="0" applyFont="1" applyFill="1" applyBorder="1" applyAlignment="1" applyProtection="1">
      <alignment horizontal="left"/>
      <protection locked="0"/>
    </xf>
    <xf numFmtId="0" fontId="46" fillId="27" borderId="108" xfId="0" applyFont="1" applyFill="1" applyBorder="1" applyAlignment="1" applyProtection="1">
      <alignment horizontal="left"/>
      <protection locked="0"/>
    </xf>
    <xf numFmtId="165" fontId="3" fillId="24" borderId="37" xfId="0" applyNumberFormat="1" applyFont="1" applyFill="1" applyBorder="1" applyAlignment="1" applyProtection="1">
      <alignment horizontal="left" vertical="center"/>
      <protection locked="0"/>
    </xf>
    <xf numFmtId="0" fontId="0" fillId="24" borderId="119" xfId="0" applyFill="1" applyBorder="1" applyProtection="1">
      <protection locked="0"/>
    </xf>
    <xf numFmtId="0" fontId="39" fillId="24" borderId="74" xfId="0" applyFont="1" applyFill="1" applyBorder="1" applyProtection="1">
      <protection locked="0"/>
    </xf>
    <xf numFmtId="165" fontId="0" fillId="24" borderId="0" xfId="0" applyNumberFormat="1" applyFill="1" applyProtection="1">
      <protection locked="0"/>
    </xf>
    <xf numFmtId="11" fontId="44" fillId="24" borderId="74" xfId="0" applyNumberFormat="1" applyFont="1" applyFill="1" applyBorder="1"/>
    <xf numFmtId="0" fontId="46" fillId="27" borderId="105" xfId="0" applyFont="1" applyFill="1" applyBorder="1" applyProtection="1">
      <protection locked="0"/>
    </xf>
    <xf numFmtId="0" fontId="0" fillId="0" borderId="121" xfId="0" applyBorder="1"/>
    <xf numFmtId="0" fontId="46" fillId="27" borderId="89" xfId="96" applyFont="1" applyFill="1" applyBorder="1" applyAlignment="1" applyProtection="1">
      <alignment horizontal="left" wrapText="1"/>
      <protection locked="0"/>
    </xf>
    <xf numFmtId="0" fontId="46" fillId="27" borderId="108" xfId="0" applyFont="1" applyFill="1" applyBorder="1" applyProtection="1">
      <protection locked="0"/>
    </xf>
    <xf numFmtId="11" fontId="44" fillId="24" borderId="0" xfId="0" applyNumberFormat="1" applyFont="1" applyFill="1" applyProtection="1">
      <protection locked="0"/>
    </xf>
    <xf numFmtId="0" fontId="5" fillId="24" borderId="34" xfId="0" applyFont="1" applyFill="1" applyBorder="1" applyAlignment="1">
      <alignment horizontal="left" vertical="center" wrapText="1"/>
    </xf>
    <xf numFmtId="0" fontId="0" fillId="0" borderId="37" xfId="0" applyBorder="1" applyAlignment="1" applyProtection="1">
      <alignment vertical="center"/>
      <protection locked="0"/>
    </xf>
    <xf numFmtId="0" fontId="5" fillId="24" borderId="0" xfId="0" applyFont="1" applyFill="1" applyAlignment="1">
      <alignment vertical="center"/>
    </xf>
    <xf numFmtId="0" fontId="0" fillId="0" borderId="33" xfId="0" applyBorder="1" applyAlignment="1">
      <alignment vertical="center"/>
    </xf>
    <xf numFmtId="11" fontId="5" fillId="24" borderId="0" xfId="0" applyNumberFormat="1" applyFont="1" applyFill="1" applyAlignment="1">
      <alignment vertical="center"/>
    </xf>
    <xf numFmtId="0" fontId="0" fillId="24" borderId="89" xfId="0" applyFill="1" applyBorder="1" applyProtection="1">
      <protection locked="0"/>
    </xf>
    <xf numFmtId="0" fontId="5" fillId="29" borderId="89" xfId="0" applyFont="1" applyFill="1" applyBorder="1" applyAlignment="1" applyProtection="1">
      <alignment vertical="center"/>
      <protection locked="0"/>
    </xf>
    <xf numFmtId="0" fontId="5" fillId="29" borderId="89" xfId="0" applyFont="1" applyFill="1" applyBorder="1" applyProtection="1">
      <protection locked="0"/>
    </xf>
    <xf numFmtId="0" fontId="5" fillId="39" borderId="96" xfId="0" applyFont="1" applyFill="1" applyBorder="1" applyAlignment="1" applyProtection="1">
      <alignment vertical="center"/>
      <protection locked="0"/>
    </xf>
    <xf numFmtId="0" fontId="5" fillId="39" borderId="90" xfId="0" applyFont="1" applyFill="1" applyBorder="1" applyAlignment="1" applyProtection="1">
      <alignment vertical="center"/>
      <protection locked="0"/>
    </xf>
    <xf numFmtId="0" fontId="5" fillId="39" borderId="90" xfId="0" applyFont="1" applyFill="1" applyBorder="1" applyProtection="1">
      <protection locked="0"/>
    </xf>
    <xf numFmtId="0" fontId="5" fillId="39" borderId="97" xfId="0" applyFont="1" applyFill="1" applyBorder="1" applyProtection="1">
      <protection locked="0"/>
    </xf>
    <xf numFmtId="0" fontId="2" fillId="39" borderId="122" xfId="0" applyFont="1" applyFill="1" applyBorder="1" applyAlignment="1">
      <alignment vertical="center"/>
    </xf>
    <xf numFmtId="0" fontId="5" fillId="39" borderId="97" xfId="0" applyFont="1" applyFill="1" applyBorder="1" applyAlignment="1" applyProtection="1">
      <alignment wrapText="1"/>
      <protection locked="0"/>
    </xf>
    <xf numFmtId="0" fontId="5" fillId="39" borderId="90" xfId="0" applyFont="1" applyFill="1" applyBorder="1" applyAlignment="1" applyProtection="1">
      <alignment vertical="center" wrapText="1"/>
      <protection locked="0"/>
    </xf>
    <xf numFmtId="0" fontId="5" fillId="39" borderId="97" xfId="0" applyFont="1" applyFill="1" applyBorder="1" applyAlignment="1" applyProtection="1">
      <alignment vertical="center" wrapText="1"/>
      <protection locked="0"/>
    </xf>
    <xf numFmtId="0" fontId="51" fillId="39" borderId="0" xfId="0" applyFont="1" applyFill="1" applyAlignment="1" applyProtection="1">
      <alignment vertical="center" wrapText="1"/>
      <protection locked="0"/>
    </xf>
    <xf numFmtId="0" fontId="51" fillId="39" borderId="99" xfId="0" applyFont="1" applyFill="1" applyBorder="1" applyAlignment="1" applyProtection="1">
      <alignment vertical="center" wrapText="1"/>
      <protection locked="0"/>
    </xf>
    <xf numFmtId="0" fontId="2" fillId="39" borderId="19" xfId="0" applyFont="1" applyFill="1" applyBorder="1" applyAlignment="1">
      <alignment vertical="center"/>
    </xf>
    <xf numFmtId="0" fontId="5" fillId="39" borderId="122" xfId="0" applyFont="1" applyFill="1" applyBorder="1" applyAlignment="1">
      <alignment horizontal="left" vertical="center"/>
    </xf>
    <xf numFmtId="0" fontId="0" fillId="0" borderId="115" xfId="0" applyBorder="1"/>
    <xf numFmtId="0" fontId="0" fillId="0" borderId="117" xfId="0" applyBorder="1"/>
    <xf numFmtId="0" fontId="3" fillId="0" borderId="89" xfId="94" quotePrefix="1" applyBorder="1"/>
    <xf numFmtId="0" fontId="3" fillId="0" borderId="105" xfId="94" quotePrefix="1" applyBorder="1"/>
    <xf numFmtId="0" fontId="0" fillId="0" borderId="142" xfId="0" applyBorder="1"/>
    <xf numFmtId="0" fontId="0" fillId="0" borderId="140" xfId="0" applyBorder="1"/>
    <xf numFmtId="0" fontId="0" fillId="0" borderId="139" xfId="0" applyBorder="1"/>
    <xf numFmtId="0" fontId="0" fillId="0" borderId="138" xfId="0" applyBorder="1"/>
    <xf numFmtId="0" fontId="0" fillId="0" borderId="137" xfId="0" applyBorder="1"/>
    <xf numFmtId="0" fontId="0" fillId="0" borderId="136" xfId="0" applyBorder="1"/>
    <xf numFmtId="0" fontId="0" fillId="0" borderId="135" xfId="0" applyBorder="1"/>
    <xf numFmtId="0" fontId="0" fillId="0" borderId="134" xfId="0" applyBorder="1"/>
    <xf numFmtId="0" fontId="0" fillId="0" borderId="133" xfId="0" applyBorder="1"/>
    <xf numFmtId="0" fontId="0" fillId="0" borderId="131" xfId="0" applyBorder="1"/>
    <xf numFmtId="0" fontId="0" fillId="0" borderId="129" xfId="0" applyBorder="1"/>
    <xf numFmtId="0" fontId="2" fillId="0" borderId="44" xfId="0" applyFont="1" applyBorder="1"/>
    <xf numFmtId="0" fontId="0" fillId="0" borderId="130" xfId="0" applyBorder="1"/>
    <xf numFmtId="0" fontId="0" fillId="0" borderId="132" xfId="0" applyBorder="1"/>
    <xf numFmtId="1" fontId="3" fillId="0" borderId="0" xfId="94" applyNumberFormat="1"/>
    <xf numFmtId="0" fontId="3" fillId="31" borderId="89" xfId="94" quotePrefix="1" applyFill="1" applyBorder="1"/>
    <xf numFmtId="2" fontId="52" fillId="31" borderId="89" xfId="94" quotePrefix="1" applyNumberFormat="1" applyFont="1" applyFill="1" applyBorder="1"/>
    <xf numFmtId="0" fontId="39" fillId="24" borderId="143" xfId="0" applyFont="1" applyFill="1" applyBorder="1"/>
    <xf numFmtId="0" fontId="53" fillId="41" borderId="128" xfId="94" quotePrefix="1" applyFont="1" applyFill="1" applyBorder="1" applyAlignment="1">
      <alignment horizontal="right"/>
    </xf>
    <xf numFmtId="0" fontId="54" fillId="41" borderId="128" xfId="94" quotePrefix="1" applyFont="1" applyFill="1" applyBorder="1" applyAlignment="1">
      <alignment horizontal="right"/>
    </xf>
    <xf numFmtId="0" fontId="3" fillId="40" borderId="0" xfId="94" applyFill="1"/>
    <xf numFmtId="0" fontId="5" fillId="40" borderId="0" xfId="94" quotePrefix="1" applyFont="1" applyFill="1"/>
    <xf numFmtId="0" fontId="3" fillId="40" borderId="0" xfId="94" quotePrefix="1" applyFill="1"/>
    <xf numFmtId="0" fontId="5" fillId="40" borderId="103" xfId="94" quotePrefix="1" applyFont="1" applyFill="1" applyBorder="1"/>
    <xf numFmtId="0" fontId="5" fillId="0" borderId="19" xfId="38" applyFont="1" applyBorder="1" applyAlignment="1" applyProtection="1">
      <alignment horizontal="center" wrapText="1"/>
      <protection locked="0"/>
    </xf>
    <xf numFmtId="164" fontId="5" fillId="42" borderId="86" xfId="38" applyNumberFormat="1" applyFont="1" applyFill="1" applyBorder="1" applyAlignment="1">
      <alignment horizontal="left" vertical="top" wrapText="1"/>
    </xf>
    <xf numFmtId="0" fontId="5" fillId="42" borderId="86" xfId="38" applyFont="1" applyFill="1" applyBorder="1" applyAlignment="1" applyProtection="1">
      <alignment horizontal="left" vertical="top" wrapText="1"/>
      <protection locked="0"/>
    </xf>
    <xf numFmtId="164" fontId="5" fillId="42" borderId="86" xfId="38" applyNumberFormat="1" applyFont="1" applyFill="1" applyBorder="1" applyAlignment="1">
      <alignment vertical="top" wrapText="1"/>
    </xf>
    <xf numFmtId="0" fontId="24" fillId="0" borderId="144" xfId="96" applyFont="1" applyBorder="1" applyAlignment="1">
      <alignment horizontal="center" wrapText="1"/>
    </xf>
    <xf numFmtId="0" fontId="24" fillId="0" borderId="145" xfId="96" applyFont="1" applyBorder="1" applyAlignment="1">
      <alignment horizontal="center" wrapText="1"/>
    </xf>
    <xf numFmtId="0" fontId="24" fillId="0" borderId="146" xfId="96" applyFont="1" applyBorder="1" applyAlignment="1">
      <alignment horizontal="center" wrapText="1"/>
    </xf>
    <xf numFmtId="0" fontId="3" fillId="26" borderId="11" xfId="91" applyFill="1" applyBorder="1" applyAlignment="1">
      <alignment horizontal="left" wrapText="1"/>
    </xf>
    <xf numFmtId="164" fontId="3" fillId="26" borderId="11" xfId="91" applyNumberFormat="1" applyFill="1" applyBorder="1" applyAlignment="1">
      <alignment horizontal="left" wrapText="1"/>
    </xf>
    <xf numFmtId="0" fontId="3" fillId="26" borderId="12" xfId="96" applyFill="1" applyBorder="1" applyAlignment="1">
      <alignment horizontal="left" wrapText="1"/>
    </xf>
    <xf numFmtId="0" fontId="3" fillId="26" borderId="11" xfId="96" quotePrefix="1" applyFill="1" applyBorder="1" applyAlignment="1">
      <alignment horizontal="left" wrapText="1"/>
    </xf>
    <xf numFmtId="0" fontId="3" fillId="26" borderId="11" xfId="96" applyFill="1" applyBorder="1" applyAlignment="1">
      <alignment horizontal="left" wrapText="1"/>
    </xf>
    <xf numFmtId="0" fontId="24" fillId="0" borderId="147" xfId="96" applyFont="1" applyBorder="1" applyAlignment="1">
      <alignment horizontal="center" wrapText="1"/>
    </xf>
    <xf numFmtId="0" fontId="24" fillId="0" borderId="148" xfId="96" applyFont="1" applyBorder="1" applyAlignment="1">
      <alignment horizontal="center" wrapText="1"/>
    </xf>
    <xf numFmtId="0" fontId="3" fillId="27" borderId="11" xfId="91" applyFill="1" applyBorder="1" applyAlignment="1">
      <alignment horizontal="left" wrapText="1"/>
    </xf>
    <xf numFmtId="0" fontId="3" fillId="27" borderId="11" xfId="96" applyFill="1" applyBorder="1" applyAlignment="1">
      <alignment horizontal="left" wrapText="1"/>
    </xf>
    <xf numFmtId="0" fontId="3" fillId="43" borderId="11" xfId="91" applyFill="1" applyBorder="1" applyAlignment="1">
      <alignment horizontal="left" wrapText="1"/>
    </xf>
    <xf numFmtId="0" fontId="3" fillId="35" borderId="11" xfId="91" applyFill="1" applyBorder="1" applyAlignment="1">
      <alignment horizontal="left" wrapText="1"/>
    </xf>
    <xf numFmtId="0" fontId="3" fillId="35" borderId="20" xfId="91" applyFill="1" applyBorder="1" applyAlignment="1">
      <alignment horizontal="left" wrapText="1"/>
    </xf>
    <xf numFmtId="0" fontId="24" fillId="0" borderId="149" xfId="96" applyFont="1" applyBorder="1" applyAlignment="1">
      <alignment horizontal="center" wrapText="1"/>
    </xf>
    <xf numFmtId="0" fontId="3" fillId="35" borderId="150" xfId="91" applyFill="1" applyBorder="1" applyAlignment="1">
      <alignment horizontal="left" wrapText="1"/>
    </xf>
    <xf numFmtId="0" fontId="3" fillId="35" borderId="18" xfId="91" applyFill="1" applyBorder="1" applyAlignment="1">
      <alignment horizontal="left" wrapText="1"/>
    </xf>
    <xf numFmtId="0" fontId="42" fillId="39" borderId="0" xfId="0" applyFont="1" applyFill="1" applyAlignment="1" applyProtection="1">
      <alignment vertical="center" wrapText="1"/>
      <protection locked="0"/>
    </xf>
    <xf numFmtId="0" fontId="42" fillId="39" borderId="53" xfId="0" applyFont="1" applyFill="1" applyBorder="1" applyAlignment="1" applyProtection="1">
      <alignment vertical="center"/>
      <protection locked="0"/>
    </xf>
    <xf numFmtId="0" fontId="2" fillId="32" borderId="19" xfId="0" applyFont="1" applyFill="1" applyBorder="1" applyAlignment="1">
      <alignment horizontal="center"/>
    </xf>
    <xf numFmtId="0" fontId="5" fillId="32" borderId="19" xfId="38" applyFont="1" applyFill="1" applyBorder="1" applyAlignment="1" applyProtection="1">
      <alignment horizontal="left" vertical="top" wrapText="1"/>
      <protection locked="0"/>
    </xf>
    <xf numFmtId="0" fontId="56" fillId="0" borderId="46" xfId="0" applyFont="1" applyBorder="1"/>
    <xf numFmtId="0" fontId="42" fillId="39" borderId="0" xfId="0" applyFont="1" applyFill="1" applyAlignment="1" applyProtection="1">
      <alignment vertical="center"/>
      <protection locked="0"/>
    </xf>
    <xf numFmtId="164" fontId="5" fillId="32" borderId="19" xfId="38" applyNumberFormat="1" applyFont="1" applyFill="1" applyBorder="1" applyAlignment="1">
      <alignment vertical="top" wrapText="1"/>
    </xf>
    <xf numFmtId="164" fontId="5" fillId="32" borderId="19" xfId="38" applyNumberFormat="1" applyFont="1" applyFill="1" applyBorder="1" applyAlignment="1">
      <alignment horizontal="left" vertical="top" wrapText="1"/>
    </xf>
    <xf numFmtId="0" fontId="5" fillId="0" borderId="19" xfId="91" applyFont="1" applyBorder="1" applyAlignment="1" applyProtection="1">
      <alignment horizontal="center" vertical="center" wrapText="1"/>
      <protection locked="0"/>
    </xf>
    <xf numFmtId="0" fontId="56" fillId="0" borderId="77" xfId="0" applyFont="1" applyBorder="1"/>
    <xf numFmtId="164" fontId="5" fillId="34" borderId="86" xfId="91" applyNumberFormat="1" applyFont="1" applyFill="1" applyBorder="1" applyAlignment="1">
      <alignment horizontal="left" vertical="top" wrapText="1"/>
    </xf>
    <xf numFmtId="0" fontId="5" fillId="34" borderId="86" xfId="91" applyFont="1" applyFill="1" applyBorder="1" applyAlignment="1" applyProtection="1">
      <alignment horizontal="left" vertical="top" wrapText="1"/>
      <protection locked="0"/>
    </xf>
    <xf numFmtId="164" fontId="5" fillId="34" borderId="86" xfId="91" applyNumberFormat="1" applyFont="1" applyFill="1" applyBorder="1" applyAlignment="1">
      <alignment vertical="top" wrapText="1"/>
    </xf>
    <xf numFmtId="0" fontId="0" fillId="0" borderId="151" xfId="0" applyBorder="1"/>
    <xf numFmtId="0" fontId="3" fillId="26" borderId="89" xfId="1" applyFill="1" applyBorder="1" applyAlignment="1">
      <alignment horizontal="left" vertical="top" wrapText="1"/>
    </xf>
    <xf numFmtId="0" fontId="25" fillId="25" borderId="155" xfId="96" applyFont="1" applyFill="1" applyBorder="1" applyAlignment="1">
      <alignment horizontal="center" wrapText="1"/>
    </xf>
    <xf numFmtId="0" fontId="24" fillId="0" borderId="154" xfId="96" applyFont="1" applyBorder="1" applyAlignment="1">
      <alignment horizontal="center" wrapText="1"/>
    </xf>
    <xf numFmtId="0" fontId="24" fillId="0" borderId="156" xfId="96" applyFont="1" applyBorder="1" applyAlignment="1">
      <alignment horizontal="center" wrapText="1"/>
    </xf>
    <xf numFmtId="0" fontId="25" fillId="25" borderId="148" xfId="96" applyFont="1" applyFill="1" applyBorder="1" applyAlignment="1">
      <alignment horizontal="center" wrapText="1"/>
    </xf>
    <xf numFmtId="0" fontId="25" fillId="25" borderId="146" xfId="96" applyFont="1" applyFill="1" applyBorder="1" applyAlignment="1">
      <alignment horizontal="center" wrapText="1"/>
    </xf>
    <xf numFmtId="0" fontId="25" fillId="25" borderId="163" xfId="96" applyFont="1" applyFill="1" applyBorder="1" applyAlignment="1">
      <alignment horizontal="center" wrapText="1"/>
    </xf>
    <xf numFmtId="0" fontId="24" fillId="0" borderId="164" xfId="96" applyFont="1" applyBorder="1" applyAlignment="1">
      <alignment horizontal="center" wrapText="1"/>
    </xf>
    <xf numFmtId="0" fontId="24" fillId="0" borderId="163" xfId="91" applyFont="1" applyBorder="1" applyAlignment="1">
      <alignment horizontal="center"/>
    </xf>
    <xf numFmtId="0" fontId="3" fillId="26" borderId="18" xfId="91" applyFill="1" applyBorder="1" applyAlignment="1">
      <alignment horizontal="left" wrapText="1"/>
    </xf>
    <xf numFmtId="0" fontId="3" fillId="26" borderId="22" xfId="91" applyFill="1" applyBorder="1" applyAlignment="1">
      <alignment horizontal="left" wrapText="1"/>
    </xf>
    <xf numFmtId="0" fontId="3" fillId="26" borderId="22" xfId="96" applyFill="1" applyBorder="1" applyAlignment="1">
      <alignment horizontal="left" wrapText="1"/>
    </xf>
    <xf numFmtId="0" fontId="3" fillId="26" borderId="152" xfId="96" applyFill="1" applyBorder="1" applyAlignment="1">
      <alignment horizontal="left" wrapText="1"/>
    </xf>
    <xf numFmtId="0" fontId="3" fillId="26" borderId="15" xfId="91" applyFill="1" applyBorder="1" applyAlignment="1">
      <alignment horizontal="left" wrapText="1"/>
    </xf>
    <xf numFmtId="0" fontId="3" fillId="26" borderId="157" xfId="91" applyFill="1" applyBorder="1" applyAlignment="1">
      <alignment horizontal="left" wrapText="1"/>
    </xf>
    <xf numFmtId="0" fontId="3" fillId="26" borderId="160" xfId="91" applyFill="1" applyBorder="1" applyAlignment="1">
      <alignment horizontal="left" wrapText="1"/>
    </xf>
    <xf numFmtId="0" fontId="3" fillId="26" borderId="161" xfId="91" applyFill="1" applyBorder="1" applyAlignment="1">
      <alignment horizontal="left" wrapText="1"/>
    </xf>
    <xf numFmtId="0" fontId="3" fillId="26" borderId="162" xfId="91" applyFill="1" applyBorder="1" applyAlignment="1">
      <alignment horizontal="left" wrapText="1"/>
    </xf>
    <xf numFmtId="0" fontId="3" fillId="26" borderId="152" xfId="91" applyFill="1" applyBorder="1" applyAlignment="1">
      <alignment horizontal="left" wrapText="1"/>
    </xf>
    <xf numFmtId="0" fontId="3" fillId="0" borderId="153" xfId="91" applyBorder="1" applyAlignment="1" applyProtection="1">
      <alignment horizontal="left" wrapText="1"/>
      <protection locked="0"/>
    </xf>
    <xf numFmtId="0" fontId="3" fillId="26" borderId="158" xfId="91" applyFill="1" applyBorder="1" applyAlignment="1">
      <alignment horizontal="left" wrapText="1"/>
    </xf>
    <xf numFmtId="0" fontId="3" fillId="0" borderId="159" xfId="91" applyBorder="1" applyAlignment="1" applyProtection="1">
      <alignment horizontal="left" wrapText="1"/>
      <protection locked="0"/>
    </xf>
    <xf numFmtId="0" fontId="25" fillId="25" borderId="156" xfId="96" applyFont="1" applyFill="1" applyBorder="1" applyAlignment="1">
      <alignment horizontal="center" wrapText="1"/>
    </xf>
    <xf numFmtId="0" fontId="3" fillId="26" borderId="13" xfId="1" quotePrefix="1" applyFill="1" applyBorder="1" applyAlignment="1">
      <alignment horizontal="left" vertical="top" wrapText="1"/>
    </xf>
    <xf numFmtId="0" fontId="3" fillId="32" borderId="13" xfId="1" applyFill="1" applyBorder="1" applyAlignment="1" applyProtection="1">
      <alignment horizontal="left" vertical="top" wrapText="1"/>
      <protection locked="0"/>
    </xf>
    <xf numFmtId="0" fontId="3" fillId="26" borderId="13" xfId="1" applyFill="1" applyBorder="1" applyAlignment="1">
      <alignment horizontal="left" vertical="top" wrapText="1"/>
    </xf>
    <xf numFmtId="0" fontId="5" fillId="31" borderId="13" xfId="1" applyFont="1" applyFill="1" applyBorder="1" applyAlignment="1" applyProtection="1">
      <alignment horizontal="center" vertical="center" wrapText="1"/>
      <protection locked="0"/>
    </xf>
    <xf numFmtId="0" fontId="4" fillId="0" borderId="11" xfId="38" applyBorder="1" applyAlignment="1" applyProtection="1">
      <alignment horizontal="left" vertical="top" wrapText="1"/>
      <protection locked="0"/>
    </xf>
    <xf numFmtId="0" fontId="3" fillId="26" borderId="13" xfId="0" quotePrefix="1" applyFont="1" applyFill="1" applyBorder="1" applyAlignment="1">
      <alignment horizontal="left" wrapText="1"/>
    </xf>
    <xf numFmtId="0" fontId="3" fillId="26" borderId="13" xfId="91" applyFill="1" applyBorder="1" applyAlignment="1">
      <alignment horizontal="left" wrapText="1"/>
    </xf>
    <xf numFmtId="0" fontId="3" fillId="26" borderId="13" xfId="1" applyFill="1" applyBorder="1" applyAlignment="1">
      <alignment horizontal="left" wrapText="1"/>
    </xf>
    <xf numFmtId="0" fontId="3" fillId="0" borderId="62" xfId="1" applyBorder="1" applyAlignment="1" applyProtection="1">
      <alignment horizontal="left" vertical="top" wrapText="1"/>
      <protection locked="0"/>
    </xf>
    <xf numFmtId="0" fontId="24" fillId="0" borderId="11" xfId="1" applyFont="1" applyBorder="1" applyAlignment="1">
      <alignment horizontal="center" wrapText="1"/>
    </xf>
    <xf numFmtId="0" fontId="3" fillId="31" borderId="106" xfId="94" quotePrefix="1" applyFill="1" applyBorder="1"/>
    <xf numFmtId="0" fontId="53" fillId="41" borderId="128" xfId="94" applyFont="1" applyFill="1" applyBorder="1" applyAlignment="1">
      <alignment horizontal="right"/>
    </xf>
    <xf numFmtId="0" fontId="53" fillId="41" borderId="168" xfId="94" quotePrefix="1" applyFont="1" applyFill="1" applyBorder="1" applyAlignment="1">
      <alignment horizontal="right"/>
    </xf>
    <xf numFmtId="0" fontId="5" fillId="40" borderId="126" xfId="94" quotePrefix="1" applyFont="1" applyFill="1" applyBorder="1"/>
    <xf numFmtId="0" fontId="3" fillId="40" borderId="169" xfId="94" quotePrefix="1" applyFill="1" applyBorder="1"/>
    <xf numFmtId="0" fontId="5" fillId="40" borderId="123" xfId="94" quotePrefix="1" applyFont="1" applyFill="1" applyBorder="1" applyAlignment="1">
      <alignment horizontal="center"/>
    </xf>
    <xf numFmtId="0" fontId="3" fillId="0" borderId="106" xfId="94" applyBorder="1"/>
    <xf numFmtId="0" fontId="3" fillId="0" borderId="89" xfId="94" applyBorder="1"/>
    <xf numFmtId="2" fontId="52" fillId="29" borderId="89" xfId="94" quotePrefix="1" applyNumberFormat="1" applyFont="1" applyFill="1" applyBorder="1"/>
    <xf numFmtId="0" fontId="2" fillId="0" borderId="46" xfId="0" applyFont="1" applyBorder="1"/>
    <xf numFmtId="14" fontId="5" fillId="0" borderId="19" xfId="38" applyNumberFormat="1" applyFont="1" applyBorder="1" applyAlignment="1">
      <alignment horizontal="center" vertical="center" wrapText="1"/>
    </xf>
    <xf numFmtId="14" fontId="61" fillId="29" borderId="32" xfId="1" applyNumberFormat="1" applyFont="1" applyFill="1" applyBorder="1" applyAlignment="1">
      <alignment horizontal="left" vertical="top" wrapText="1"/>
    </xf>
    <xf numFmtId="0" fontId="48" fillId="29" borderId="107" xfId="0" applyFont="1" applyFill="1" applyBorder="1" applyAlignment="1" applyProtection="1">
      <alignment vertical="top"/>
      <protection locked="0"/>
    </xf>
    <xf numFmtId="0" fontId="48" fillId="29" borderId="106" xfId="0" applyFont="1" applyFill="1" applyBorder="1" applyAlignment="1" applyProtection="1">
      <alignment vertical="top"/>
      <protection locked="0"/>
    </xf>
    <xf numFmtId="0" fontId="48" fillId="29" borderId="89" xfId="0" applyFont="1" applyFill="1" applyBorder="1" applyAlignment="1" applyProtection="1">
      <alignment vertical="top"/>
      <protection locked="0"/>
    </xf>
    <xf numFmtId="0" fontId="48" fillId="29" borderId="89" xfId="0" applyFont="1" applyFill="1" applyBorder="1" applyAlignment="1" applyProtection="1">
      <alignment vertical="top" wrapText="1"/>
      <protection locked="0"/>
    </xf>
    <xf numFmtId="0" fontId="48" fillId="29" borderId="109" xfId="0" applyFont="1" applyFill="1" applyBorder="1" applyAlignment="1" applyProtection="1">
      <alignment vertical="top" wrapText="1"/>
      <protection locked="0"/>
    </xf>
    <xf numFmtId="0" fontId="2" fillId="0" borderId="170" xfId="0" applyFont="1" applyBorder="1"/>
    <xf numFmtId="0" fontId="0" fillId="0" borderId="171" xfId="0" applyBorder="1"/>
    <xf numFmtId="0" fontId="62" fillId="0" borderId="53" xfId="102" applyBorder="1"/>
    <xf numFmtId="0" fontId="0" fillId="0" borderId="172" xfId="0" applyBorder="1"/>
    <xf numFmtId="0" fontId="0" fillId="0" borderId="173" xfId="0" applyBorder="1"/>
    <xf numFmtId="0" fontId="0" fillId="0" borderId="174" xfId="0" applyBorder="1"/>
    <xf numFmtId="0" fontId="29" fillId="0" borderId="175" xfId="0" applyFont="1" applyBorder="1" applyProtection="1">
      <protection locked="0"/>
    </xf>
    <xf numFmtId="0" fontId="26" fillId="0" borderId="176" xfId="0" applyFont="1" applyBorder="1" applyProtection="1">
      <protection locked="0"/>
    </xf>
    <xf numFmtId="0" fontId="30" fillId="0" borderId="178" xfId="0" applyFont="1" applyBorder="1"/>
    <xf numFmtId="0" fontId="30" fillId="0" borderId="179" xfId="0" applyFont="1" applyBorder="1"/>
    <xf numFmtId="0" fontId="29" fillId="0" borderId="180" xfId="0" applyFont="1" applyBorder="1" applyProtection="1">
      <protection locked="0"/>
    </xf>
    <xf numFmtId="0" fontId="26" fillId="0" borderId="181" xfId="0" applyFont="1" applyBorder="1" applyProtection="1">
      <protection locked="0"/>
    </xf>
    <xf numFmtId="0" fontId="30" fillId="0" borderId="183" xfId="0" applyFont="1" applyBorder="1"/>
    <xf numFmtId="0" fontId="30" fillId="0" borderId="7" xfId="0" applyFont="1" applyBorder="1"/>
    <xf numFmtId="0" fontId="39" fillId="24" borderId="27" xfId="0" applyFont="1" applyFill="1" applyBorder="1" applyProtection="1">
      <protection locked="0"/>
    </xf>
    <xf numFmtId="0" fontId="3" fillId="24" borderId="23" xfId="0" applyFont="1" applyFill="1" applyBorder="1" applyProtection="1">
      <protection locked="0"/>
    </xf>
    <xf numFmtId="0" fontId="39" fillId="24" borderId="23" xfId="0" applyFont="1" applyFill="1" applyBorder="1" applyAlignment="1" applyProtection="1">
      <alignment horizontal="center" wrapText="1"/>
      <protection locked="0"/>
    </xf>
    <xf numFmtId="0" fontId="3" fillId="0" borderId="183" xfId="0" applyFont="1" applyBorder="1" applyProtection="1">
      <protection locked="0"/>
    </xf>
    <xf numFmtId="0" fontId="3" fillId="0" borderId="7" xfId="0" applyFont="1" applyBorder="1" applyProtection="1">
      <protection locked="0"/>
    </xf>
    <xf numFmtId="0" fontId="48" fillId="0" borderId="183" xfId="0" applyFont="1" applyBorder="1"/>
    <xf numFmtId="0" fontId="48" fillId="0" borderId="7" xfId="0" applyFont="1" applyBorder="1"/>
    <xf numFmtId="0" fontId="27" fillId="26" borderId="89" xfId="0" applyFont="1" applyFill="1" applyBorder="1" applyAlignment="1" applyProtection="1">
      <alignment horizontal="center" wrapText="1"/>
      <protection locked="0"/>
    </xf>
    <xf numFmtId="0" fontId="27" fillId="26" borderId="103" xfId="0" applyFont="1" applyFill="1" applyBorder="1" applyAlignment="1" applyProtection="1">
      <alignment horizontal="left" vertical="center"/>
      <protection locked="0"/>
    </xf>
    <xf numFmtId="0" fontId="27" fillId="26" borderId="106" xfId="0" applyFont="1" applyFill="1" applyBorder="1" applyAlignment="1" applyProtection="1">
      <alignment horizontal="left" vertical="center"/>
      <protection locked="0"/>
    </xf>
    <xf numFmtId="0" fontId="30" fillId="24" borderId="188" xfId="0" applyFont="1" applyFill="1" applyBorder="1" applyProtection="1">
      <protection locked="0"/>
    </xf>
    <xf numFmtId="0" fontId="30" fillId="24" borderId="176" xfId="0" applyFont="1" applyFill="1" applyBorder="1" applyProtection="1">
      <protection locked="0"/>
    </xf>
    <xf numFmtId="0" fontId="30" fillId="24" borderId="189" xfId="0" applyFont="1" applyFill="1" applyBorder="1" applyProtection="1">
      <protection locked="0"/>
    </xf>
    <xf numFmtId="0" fontId="26" fillId="24" borderId="180" xfId="0" applyFont="1" applyFill="1" applyBorder="1" applyAlignment="1" applyProtection="1">
      <alignment horizontal="left" indent="2"/>
      <protection locked="0"/>
    </xf>
    <xf numFmtId="0" fontId="30" fillId="24" borderId="181" xfId="0" applyFont="1" applyFill="1" applyBorder="1" applyProtection="1">
      <protection locked="0"/>
    </xf>
    <xf numFmtId="0" fontId="30" fillId="24" borderId="190" xfId="0" applyFont="1" applyFill="1" applyBorder="1" applyProtection="1">
      <protection locked="0"/>
    </xf>
    <xf numFmtId="0" fontId="30" fillId="24" borderId="0" xfId="0" applyFont="1" applyFill="1" applyProtection="1">
      <protection locked="0"/>
    </xf>
    <xf numFmtId="0" fontId="30" fillId="24" borderId="194" xfId="0" applyFont="1" applyFill="1" applyBorder="1" applyProtection="1">
      <protection locked="0"/>
    </xf>
    <xf numFmtId="0" fontId="30" fillId="24" borderId="175" xfId="0" applyFont="1" applyFill="1" applyBorder="1" applyProtection="1">
      <protection locked="0"/>
    </xf>
    <xf numFmtId="0" fontId="30" fillId="24" borderId="195" xfId="0" applyFont="1" applyFill="1" applyBorder="1" applyProtection="1">
      <protection locked="0"/>
    </xf>
    <xf numFmtId="0" fontId="29" fillId="24" borderId="180" xfId="0" applyFont="1" applyFill="1" applyBorder="1" applyProtection="1">
      <protection locked="0"/>
    </xf>
    <xf numFmtId="0" fontId="30" fillId="24" borderId="180" xfId="0" applyFont="1" applyFill="1" applyBorder="1" applyProtection="1">
      <protection locked="0"/>
    </xf>
    <xf numFmtId="0" fontId="30" fillId="24" borderId="197" xfId="0" applyFont="1" applyFill="1" applyBorder="1" applyProtection="1">
      <protection locked="0"/>
    </xf>
    <xf numFmtId="0" fontId="30" fillId="24" borderId="198" xfId="0" applyFont="1" applyFill="1" applyBorder="1" applyProtection="1">
      <protection locked="0"/>
    </xf>
    <xf numFmtId="0" fontId="30" fillId="24" borderId="199" xfId="0" applyFont="1" applyFill="1" applyBorder="1" applyProtection="1">
      <protection locked="0"/>
    </xf>
    <xf numFmtId="0" fontId="31" fillId="26" borderId="105" xfId="0" applyFont="1" applyFill="1" applyBorder="1" applyAlignment="1" applyProtection="1">
      <alignment horizontal="left" vertical="center"/>
      <protection locked="0"/>
    </xf>
    <xf numFmtId="0" fontId="27" fillId="26" borderId="105" xfId="0" applyFont="1" applyFill="1" applyBorder="1" applyAlignment="1" applyProtection="1">
      <alignment horizontal="left" vertical="center" wrapText="1"/>
      <protection locked="0"/>
    </xf>
    <xf numFmtId="0" fontId="27" fillId="26" borderId="89" xfId="0" applyFont="1" applyFill="1" applyBorder="1" applyAlignment="1" applyProtection="1">
      <alignment horizontal="center" vertical="center" wrapText="1"/>
      <protection locked="0"/>
    </xf>
    <xf numFmtId="0" fontId="30" fillId="24" borderId="200" xfId="0" applyFont="1" applyFill="1" applyBorder="1" applyProtection="1">
      <protection locked="0"/>
    </xf>
    <xf numFmtId="0" fontId="26" fillId="24" borderId="180" xfId="0" applyFont="1" applyFill="1" applyBorder="1" applyAlignment="1" applyProtection="1">
      <alignment horizontal="left" vertical="center" indent="2"/>
      <protection locked="0"/>
    </xf>
    <xf numFmtId="0" fontId="30" fillId="24" borderId="201" xfId="0" applyFont="1" applyFill="1" applyBorder="1" applyProtection="1">
      <protection locked="0"/>
    </xf>
    <xf numFmtId="0" fontId="23" fillId="24" borderId="167" xfId="0" applyFont="1" applyFill="1" applyBorder="1" applyAlignment="1" applyProtection="1">
      <alignment vertical="top" wrapText="1"/>
      <protection locked="0"/>
    </xf>
    <xf numFmtId="0" fontId="30" fillId="24" borderId="166" xfId="0" applyFont="1" applyFill="1" applyBorder="1" applyProtection="1">
      <protection locked="0"/>
    </xf>
    <xf numFmtId="0" fontId="30" fillId="24" borderId="202" xfId="0" applyFont="1" applyFill="1" applyBorder="1" applyProtection="1">
      <protection locked="0"/>
    </xf>
    <xf numFmtId="0" fontId="30" fillId="24" borderId="203" xfId="0" applyFont="1" applyFill="1" applyBorder="1" applyProtection="1">
      <protection locked="0"/>
    </xf>
    <xf numFmtId="0" fontId="30" fillId="24" borderId="182" xfId="0" applyFont="1" applyFill="1" applyBorder="1" applyProtection="1">
      <protection locked="0"/>
    </xf>
    <xf numFmtId="0" fontId="30" fillId="24" borderId="167" xfId="0" applyFont="1" applyFill="1" applyBorder="1" applyProtection="1">
      <protection locked="0"/>
    </xf>
    <xf numFmtId="0" fontId="23" fillId="24" borderId="166" xfId="0" applyFont="1" applyFill="1" applyBorder="1" applyAlignment="1" applyProtection="1">
      <alignment horizontal="left" vertical="center" wrapText="1" indent="1"/>
      <protection locked="0"/>
    </xf>
    <xf numFmtId="0" fontId="23" fillId="24" borderId="0" xfId="0" applyFont="1" applyFill="1" applyAlignment="1" applyProtection="1">
      <alignment horizontal="left" vertical="center" wrapText="1" indent="1"/>
      <protection locked="0"/>
    </xf>
    <xf numFmtId="0" fontId="30" fillId="0" borderId="0" xfId="0" applyFont="1" applyProtection="1">
      <protection locked="0"/>
    </xf>
    <xf numFmtId="0" fontId="30" fillId="0" borderId="167" xfId="0" applyFont="1" applyBorder="1" applyProtection="1">
      <protection locked="0"/>
    </xf>
    <xf numFmtId="0" fontId="24" fillId="0" borderId="175" xfId="0" applyFont="1" applyBorder="1" applyProtection="1">
      <protection locked="0"/>
    </xf>
    <xf numFmtId="0" fontId="30" fillId="0" borderId="176" xfId="0" applyFont="1" applyBorder="1" applyProtection="1">
      <protection locked="0"/>
    </xf>
    <xf numFmtId="0" fontId="30" fillId="0" borderId="200" xfId="0" applyFont="1" applyBorder="1" applyProtection="1">
      <protection locked="0"/>
    </xf>
    <xf numFmtId="0" fontId="30" fillId="0" borderId="206" xfId="0" applyFont="1" applyBorder="1"/>
    <xf numFmtId="0" fontId="30" fillId="0" borderId="207" xfId="0" applyFont="1" applyBorder="1"/>
    <xf numFmtId="0" fontId="67" fillId="28" borderId="166" xfId="0" quotePrefix="1" applyFont="1" applyFill="1" applyBorder="1" applyProtection="1">
      <protection locked="0"/>
    </xf>
    <xf numFmtId="0" fontId="67" fillId="28" borderId="0" xfId="0" applyFont="1" applyFill="1" applyProtection="1">
      <protection locked="0"/>
    </xf>
    <xf numFmtId="0" fontId="30" fillId="0" borderId="208" xfId="0" applyFont="1" applyBorder="1"/>
    <xf numFmtId="0" fontId="30" fillId="0" borderId="209" xfId="0" applyFont="1" applyBorder="1"/>
    <xf numFmtId="0" fontId="30" fillId="0" borderId="211" xfId="0" applyFont="1" applyBorder="1"/>
    <xf numFmtId="0" fontId="30" fillId="0" borderId="212" xfId="0" applyFont="1" applyBorder="1"/>
    <xf numFmtId="0" fontId="30" fillId="24" borderId="214" xfId="0" applyFont="1" applyFill="1" applyBorder="1" applyProtection="1">
      <protection locked="0"/>
    </xf>
    <xf numFmtId="0" fontId="29" fillId="26" borderId="106" xfId="0" applyFont="1" applyFill="1" applyBorder="1" applyAlignment="1" applyProtection="1">
      <alignment horizontal="left" vertical="center"/>
      <protection locked="0"/>
    </xf>
    <xf numFmtId="0" fontId="30" fillId="0" borderId="175" xfId="0" quotePrefix="1" applyFont="1" applyBorder="1" applyProtection="1">
      <protection locked="0"/>
    </xf>
    <xf numFmtId="0" fontId="30" fillId="0" borderId="195" xfId="0" applyFont="1" applyBorder="1" applyProtection="1">
      <protection locked="0"/>
    </xf>
    <xf numFmtId="0" fontId="30" fillId="24" borderId="215" xfId="0" quotePrefix="1" applyFont="1" applyFill="1" applyBorder="1" applyProtection="1">
      <protection locked="0"/>
    </xf>
    <xf numFmtId="0" fontId="30" fillId="24" borderId="216" xfId="0" applyFont="1" applyFill="1" applyBorder="1" applyProtection="1">
      <protection locked="0"/>
    </xf>
    <xf numFmtId="0" fontId="30" fillId="24" borderId="217" xfId="0" applyFont="1" applyFill="1" applyBorder="1" applyProtection="1">
      <protection locked="0"/>
    </xf>
    <xf numFmtId="0" fontId="69" fillId="24" borderId="0" xfId="0" applyFont="1" applyFill="1"/>
    <xf numFmtId="0" fontId="30" fillId="0" borderId="218" xfId="0" applyFont="1" applyBorder="1" applyProtection="1">
      <protection locked="0"/>
    </xf>
    <xf numFmtId="0" fontId="30" fillId="0" borderId="219" xfId="0" applyFont="1" applyBorder="1" applyProtection="1">
      <protection locked="0"/>
    </xf>
    <xf numFmtId="0" fontId="30" fillId="0" borderId="220" xfId="0" applyFont="1" applyBorder="1" applyProtection="1">
      <protection locked="0"/>
    </xf>
    <xf numFmtId="0" fontId="30" fillId="0" borderId="166" xfId="0" applyFont="1" applyBorder="1" applyProtection="1">
      <protection locked="0"/>
    </xf>
    <xf numFmtId="0" fontId="30" fillId="0" borderId="0" xfId="0" applyFont="1"/>
    <xf numFmtId="0" fontId="30" fillId="24" borderId="224" xfId="0" applyFont="1" applyFill="1" applyBorder="1" applyProtection="1">
      <protection locked="0"/>
    </xf>
    <xf numFmtId="0" fontId="23" fillId="24" borderId="225" xfId="0" applyFont="1" applyFill="1" applyBorder="1" applyAlignment="1" applyProtection="1">
      <alignment vertical="top" wrapText="1"/>
      <protection locked="0"/>
    </xf>
    <xf numFmtId="0" fontId="23" fillId="24" borderId="226" xfId="0" applyFont="1" applyFill="1" applyBorder="1" applyAlignment="1" applyProtection="1">
      <alignment vertical="top" wrapText="1"/>
      <protection locked="0"/>
    </xf>
    <xf numFmtId="0" fontId="30" fillId="24" borderId="196" xfId="0" applyFont="1" applyFill="1" applyBorder="1" applyProtection="1">
      <protection locked="0"/>
    </xf>
    <xf numFmtId="0" fontId="30" fillId="24" borderId="227" xfId="0" applyFont="1" applyFill="1" applyBorder="1" applyProtection="1">
      <protection locked="0"/>
    </xf>
    <xf numFmtId="0" fontId="69" fillId="24" borderId="182" xfId="0" applyFont="1" applyFill="1" applyBorder="1"/>
    <xf numFmtId="0" fontId="69" fillId="24" borderId="203" xfId="0" applyFont="1" applyFill="1" applyBorder="1"/>
    <xf numFmtId="0" fontId="30" fillId="24" borderId="196" xfId="0" applyFont="1" applyFill="1" applyBorder="1" applyAlignment="1" applyProtection="1">
      <alignment vertical="center"/>
      <protection locked="0"/>
    </xf>
    <xf numFmtId="0" fontId="23" fillId="24" borderId="225" xfId="0" applyFont="1" applyFill="1" applyBorder="1" applyAlignment="1" applyProtection="1">
      <alignment vertical="center" wrapText="1"/>
      <protection locked="0"/>
    </xf>
    <xf numFmtId="0" fontId="30" fillId="0" borderId="228" xfId="0" applyFont="1" applyBorder="1" applyProtection="1">
      <protection locked="0"/>
    </xf>
    <xf numFmtId="0" fontId="62" fillId="26" borderId="13" xfId="102" quotePrefix="1" applyFill="1" applyBorder="1" applyAlignment="1" applyProtection="1">
      <alignment horizontal="left" vertical="top" wrapText="1"/>
    </xf>
    <xf numFmtId="0" fontId="30" fillId="24" borderId="19" xfId="96" applyFont="1" applyFill="1" applyBorder="1" applyAlignment="1" applyProtection="1">
      <alignment horizontal="center" wrapText="1"/>
      <protection locked="0"/>
    </xf>
    <xf numFmtId="0" fontId="30" fillId="24" borderId="19" xfId="96" applyFont="1" applyFill="1" applyBorder="1" applyAlignment="1" applyProtection="1">
      <alignment wrapText="1"/>
      <protection locked="0"/>
    </xf>
    <xf numFmtId="0" fontId="24" fillId="0" borderId="233" xfId="0" applyFont="1" applyBorder="1" applyAlignment="1">
      <alignment horizontal="center" wrapText="1"/>
    </xf>
    <xf numFmtId="0" fontId="24" fillId="24" borderId="234" xfId="1" applyFont="1" applyFill="1" applyBorder="1" applyAlignment="1">
      <alignment horizontal="center" wrapText="1"/>
    </xf>
    <xf numFmtId="0" fontId="24" fillId="0" borderId="235" xfId="0" applyFont="1" applyBorder="1" applyAlignment="1">
      <alignment horizontal="center" wrapText="1"/>
    </xf>
    <xf numFmtId="0" fontId="24" fillId="24" borderId="236" xfId="1" applyFont="1" applyFill="1" applyBorder="1" applyAlignment="1">
      <alignment horizontal="center" wrapText="1"/>
    </xf>
    <xf numFmtId="0" fontId="30" fillId="24" borderId="89" xfId="0" applyFont="1" applyFill="1" applyBorder="1" applyAlignment="1" applyProtection="1">
      <alignment horizontal="left" wrapText="1"/>
      <protection locked="0"/>
    </xf>
    <xf numFmtId="0" fontId="0" fillId="0" borderId="0" xfId="0" applyAlignment="1">
      <alignment vertical="center"/>
    </xf>
    <xf numFmtId="0" fontId="3" fillId="0" borderId="153" xfId="91" applyBorder="1" applyAlignment="1" applyProtection="1">
      <alignment horizontal="left" vertical="center" wrapText="1"/>
      <protection locked="0"/>
    </xf>
    <xf numFmtId="0" fontId="3" fillId="0" borderId="159" xfId="91" applyBorder="1" applyAlignment="1" applyProtection="1">
      <alignment horizontal="left" vertical="center" wrapText="1"/>
      <protection locked="0"/>
    </xf>
    <xf numFmtId="0" fontId="75" fillId="0" borderId="0" xfId="0" applyFont="1" applyAlignment="1">
      <alignment horizontal="left" vertical="center" wrapText="1"/>
    </xf>
    <xf numFmtId="0" fontId="2" fillId="54" borderId="89" xfId="0" applyFont="1" applyFill="1" applyBorder="1" applyAlignment="1">
      <alignment horizontal="center" vertical="center" wrapText="1"/>
    </xf>
    <xf numFmtId="0" fontId="0" fillId="46" borderId="89" xfId="0" applyFill="1" applyBorder="1" applyAlignment="1">
      <alignment horizontal="center" vertical="center" wrapText="1"/>
    </xf>
    <xf numFmtId="0" fontId="0" fillId="46" borderId="89" xfId="0" applyFill="1" applyBorder="1" applyAlignment="1">
      <alignment horizontal="left" vertical="center" wrapText="1"/>
    </xf>
    <xf numFmtId="0" fontId="2" fillId="47" borderId="106" xfId="0" applyFont="1" applyFill="1" applyBorder="1" applyAlignment="1">
      <alignment horizontal="center" vertical="center" wrapText="1"/>
    </xf>
    <xf numFmtId="0" fontId="0" fillId="47" borderId="106" xfId="0" applyFill="1" applyBorder="1" applyAlignment="1">
      <alignment horizontal="center" vertical="center" wrapText="1"/>
    </xf>
    <xf numFmtId="0" fontId="2" fillId="46" borderId="89" xfId="0" applyFont="1" applyFill="1" applyBorder="1" applyAlignment="1">
      <alignment vertical="center" wrapText="1"/>
    </xf>
    <xf numFmtId="0" fontId="0" fillId="0" borderId="0" xfId="0" applyAlignment="1">
      <alignment vertical="center" wrapText="1"/>
    </xf>
    <xf numFmtId="0" fontId="2" fillId="45" borderId="89" xfId="0" applyFont="1" applyFill="1" applyBorder="1" applyAlignment="1">
      <alignment horizontal="center" vertical="center" wrapText="1"/>
    </xf>
    <xf numFmtId="0" fontId="2" fillId="48" borderId="89" xfId="0" applyFont="1" applyFill="1" applyBorder="1" applyAlignment="1">
      <alignment vertical="center" wrapText="1"/>
    </xf>
    <xf numFmtId="0" fontId="76" fillId="40" borderId="89" xfId="0" applyFont="1" applyFill="1" applyBorder="1" applyAlignment="1">
      <alignment horizontal="center" vertical="center" wrapText="1"/>
    </xf>
    <xf numFmtId="0" fontId="0" fillId="45" borderId="89" xfId="0" applyFill="1" applyBorder="1" applyAlignment="1">
      <alignment horizontal="center" vertical="center" wrapText="1"/>
    </xf>
    <xf numFmtId="0" fontId="0" fillId="48" borderId="89" xfId="0" applyFill="1" applyBorder="1" applyAlignment="1">
      <alignment vertical="center" wrapText="1"/>
    </xf>
    <xf numFmtId="0" fontId="2" fillId="50" borderId="89" xfId="0" applyFont="1" applyFill="1" applyBorder="1" applyAlignment="1">
      <alignment horizontal="left" vertical="center" wrapText="1"/>
    </xf>
    <xf numFmtId="0" fontId="0" fillId="0" borderId="0" xfId="0" applyAlignment="1">
      <alignment horizontal="center" vertical="center" wrapText="1"/>
    </xf>
    <xf numFmtId="0" fontId="0" fillId="50" borderId="89" xfId="0" quotePrefix="1" applyFill="1" applyBorder="1" applyAlignment="1">
      <alignment horizontal="center" vertical="center" wrapText="1"/>
    </xf>
    <xf numFmtId="0" fontId="0" fillId="50" borderId="89" xfId="0" applyFill="1" applyBorder="1" applyAlignment="1">
      <alignment horizontal="left" vertical="center" wrapText="1"/>
    </xf>
    <xf numFmtId="0" fontId="2" fillId="49" borderId="89" xfId="0" applyFont="1" applyFill="1" applyBorder="1" applyAlignment="1">
      <alignment horizontal="center" vertical="center" wrapText="1"/>
    </xf>
    <xf numFmtId="0" fontId="2" fillId="49" borderId="89" xfId="0" applyFont="1" applyFill="1" applyBorder="1" applyAlignment="1">
      <alignment vertical="center" wrapText="1"/>
    </xf>
    <xf numFmtId="0" fontId="0" fillId="49" borderId="89" xfId="0" applyFill="1" applyBorder="1" applyAlignment="1">
      <alignment horizontal="center" vertical="center" wrapText="1"/>
    </xf>
    <xf numFmtId="0" fontId="0" fillId="49" borderId="89" xfId="0" applyFill="1" applyBorder="1" applyAlignment="1">
      <alignment vertical="center" wrapText="1"/>
    </xf>
    <xf numFmtId="0" fontId="0" fillId="50" borderId="89" xfId="0" applyFill="1" applyBorder="1" applyAlignment="1">
      <alignment horizontal="center" vertical="center" wrapText="1"/>
    </xf>
    <xf numFmtId="0" fontId="2" fillId="51" borderId="89" xfId="0" applyFont="1" applyFill="1" applyBorder="1" applyAlignment="1">
      <alignment horizontal="center" vertical="center" wrapText="1"/>
    </xf>
    <xf numFmtId="0" fontId="2" fillId="51" borderId="89" xfId="0" applyFont="1" applyFill="1" applyBorder="1" applyAlignment="1">
      <alignment vertical="center" wrapText="1"/>
    </xf>
    <xf numFmtId="0" fontId="0" fillId="51" borderId="89" xfId="0" applyFill="1" applyBorder="1" applyAlignment="1">
      <alignment horizontal="center" vertical="center" wrapText="1"/>
    </xf>
    <xf numFmtId="0" fontId="0" fillId="51" borderId="89" xfId="0" applyFill="1" applyBorder="1" applyAlignment="1">
      <alignment vertical="center" wrapText="1"/>
    </xf>
    <xf numFmtId="0" fontId="2" fillId="52" borderId="89" xfId="0" applyFont="1" applyFill="1" applyBorder="1" applyAlignment="1">
      <alignment horizontal="center" vertical="center" wrapText="1"/>
    </xf>
    <xf numFmtId="0" fontId="2" fillId="52" borderId="89" xfId="0" applyFont="1" applyFill="1" applyBorder="1" applyAlignment="1">
      <alignment vertical="center" wrapText="1"/>
    </xf>
    <xf numFmtId="0" fontId="0" fillId="52" borderId="89" xfId="0" quotePrefix="1" applyFill="1" applyBorder="1" applyAlignment="1">
      <alignment horizontal="center" vertical="center" wrapText="1"/>
    </xf>
    <xf numFmtId="0" fontId="0" fillId="52" borderId="89" xfId="0" applyFill="1" applyBorder="1" applyAlignment="1">
      <alignment vertical="center" wrapText="1"/>
    </xf>
    <xf numFmtId="0" fontId="2" fillId="53" borderId="89" xfId="0" quotePrefix="1" applyFont="1" applyFill="1" applyBorder="1" applyAlignment="1">
      <alignment horizontal="center" vertical="center" wrapText="1"/>
    </xf>
    <xf numFmtId="0" fontId="2" fillId="53" borderId="89" xfId="0" applyFont="1" applyFill="1" applyBorder="1" applyAlignment="1">
      <alignment horizontal="center" vertical="center" wrapText="1"/>
    </xf>
    <xf numFmtId="0" fontId="0" fillId="53" borderId="89" xfId="0" quotePrefix="1" applyFill="1" applyBorder="1" applyAlignment="1">
      <alignment horizontal="center" vertical="center" wrapText="1"/>
    </xf>
    <xf numFmtId="0" fontId="0" fillId="53" borderId="89" xfId="0" applyFill="1" applyBorder="1" applyAlignment="1">
      <alignment horizontal="left" vertical="center" wrapText="1"/>
    </xf>
    <xf numFmtId="0" fontId="0" fillId="52" borderId="89" xfId="0" applyFill="1" applyBorder="1" applyAlignment="1">
      <alignment horizontal="center" vertical="center" wrapText="1"/>
    </xf>
    <xf numFmtId="0" fontId="2" fillId="54" borderId="89" xfId="0" quotePrefix="1" applyFont="1" applyFill="1" applyBorder="1" applyAlignment="1">
      <alignment horizontal="center" vertical="center" wrapText="1"/>
    </xf>
    <xf numFmtId="0" fontId="0" fillId="0" borderId="0" xfId="0" applyAlignment="1">
      <alignment wrapText="1"/>
    </xf>
    <xf numFmtId="0" fontId="0" fillId="54" borderId="89" xfId="0" quotePrefix="1" applyFill="1" applyBorder="1" applyAlignment="1">
      <alignment horizontal="center" vertical="center" wrapText="1"/>
    </xf>
    <xf numFmtId="0" fontId="0" fillId="54" borderId="89" xfId="0" applyFill="1" applyBorder="1" applyAlignment="1">
      <alignment horizontal="left" vertical="center" wrapText="1"/>
    </xf>
    <xf numFmtId="0" fontId="2" fillId="39" borderId="89" xfId="0" applyFont="1" applyFill="1" applyBorder="1" applyAlignment="1">
      <alignment horizontal="center" vertical="center" wrapText="1"/>
    </xf>
    <xf numFmtId="0" fontId="0" fillId="39" borderId="89" xfId="0" applyFill="1" applyBorder="1" applyAlignment="1">
      <alignment horizontal="center" vertical="center" wrapText="1"/>
    </xf>
    <xf numFmtId="0" fontId="0" fillId="39" borderId="89" xfId="0" applyFill="1" applyBorder="1" applyAlignment="1">
      <alignment horizontal="left" vertical="center" wrapText="1"/>
    </xf>
    <xf numFmtId="0" fontId="0" fillId="39" borderId="89" xfId="0" quotePrefix="1" applyFill="1" applyBorder="1" applyAlignment="1">
      <alignment horizontal="center" vertical="center" wrapText="1"/>
    </xf>
    <xf numFmtId="0" fontId="2" fillId="55" borderId="89" xfId="0" applyFont="1" applyFill="1" applyBorder="1" applyAlignment="1">
      <alignment horizontal="center" vertical="center" wrapText="1"/>
    </xf>
    <xf numFmtId="0" fontId="0" fillId="55" borderId="89" xfId="0" applyFill="1" applyBorder="1" applyAlignment="1">
      <alignment horizontal="center" vertical="center" wrapText="1"/>
    </xf>
    <xf numFmtId="0" fontId="0" fillId="55" borderId="89" xfId="0" applyFill="1" applyBorder="1" applyAlignment="1">
      <alignment horizontal="left" vertical="center" wrapText="1"/>
    </xf>
    <xf numFmtId="0" fontId="0" fillId="55" borderId="89" xfId="0" quotePrefix="1" applyFill="1" applyBorder="1" applyAlignment="1">
      <alignment horizontal="center" vertical="center" wrapText="1"/>
    </xf>
    <xf numFmtId="0" fontId="0" fillId="54" borderId="89" xfId="0" applyFill="1" applyBorder="1" applyAlignment="1">
      <alignment horizontal="center" vertical="center" wrapText="1"/>
    </xf>
    <xf numFmtId="0" fontId="77" fillId="0" borderId="0" xfId="0" applyFont="1" applyAlignment="1">
      <alignment wrapText="1"/>
    </xf>
    <xf numFmtId="0" fontId="2" fillId="56" borderId="89" xfId="0" applyFont="1" applyFill="1" applyBorder="1" applyAlignment="1">
      <alignment horizontal="center" vertical="center" wrapText="1"/>
    </xf>
    <xf numFmtId="0" fontId="0" fillId="56" borderId="89" xfId="0" applyFill="1" applyBorder="1" applyAlignment="1">
      <alignment horizontal="center" vertical="center" wrapText="1"/>
    </xf>
    <xf numFmtId="0" fontId="0" fillId="56" borderId="89" xfId="0" applyFill="1" applyBorder="1" applyAlignment="1">
      <alignment horizontal="left" vertical="center" wrapText="1"/>
    </xf>
    <xf numFmtId="0" fontId="2" fillId="33" borderId="89" xfId="0" applyFont="1" applyFill="1" applyBorder="1" applyAlignment="1">
      <alignment horizontal="center" vertical="center" wrapText="1"/>
    </xf>
    <xf numFmtId="0" fontId="0" fillId="33" borderId="89" xfId="0" applyFill="1" applyBorder="1" applyAlignment="1">
      <alignment horizontal="center" vertical="center" wrapText="1"/>
    </xf>
    <xf numFmtId="0" fontId="3" fillId="0" borderId="89" xfId="91" applyBorder="1" applyAlignment="1">
      <alignment horizontal="left" vertical="center" wrapText="1"/>
    </xf>
    <xf numFmtId="0" fontId="81" fillId="0" borderId="110" xfId="0" applyFont="1" applyBorder="1" applyAlignment="1">
      <alignment horizontal="left" vertical="center" wrapText="1"/>
    </xf>
    <xf numFmtId="14" fontId="0" fillId="0" borderId="112" xfId="0" applyNumberFormat="1" applyBorder="1" applyAlignment="1">
      <alignment horizontal="left" vertical="center"/>
    </xf>
    <xf numFmtId="0" fontId="5" fillId="31" borderId="239" xfId="96" applyFont="1" applyFill="1" applyBorder="1" applyAlignment="1">
      <alignment horizontal="center" vertical="center" wrapText="1"/>
    </xf>
    <xf numFmtId="0" fontId="5" fillId="31" borderId="240" xfId="96" applyFont="1" applyFill="1" applyBorder="1" applyAlignment="1">
      <alignment horizontal="center" vertical="center" wrapText="1"/>
    </xf>
    <xf numFmtId="0" fontId="5" fillId="57" borderId="239" xfId="96" applyFont="1" applyFill="1" applyBorder="1" applyAlignment="1">
      <alignment horizontal="left" vertical="center" wrapText="1"/>
    </xf>
    <xf numFmtId="0" fontId="79" fillId="57" borderId="238" xfId="96" applyFont="1" applyFill="1" applyBorder="1" applyAlignment="1">
      <alignment horizontal="left" vertical="center" wrapText="1"/>
    </xf>
    <xf numFmtId="0" fontId="0" fillId="0" borderId="112" xfId="0" applyBorder="1" applyAlignment="1">
      <alignment horizontal="left" vertical="center"/>
    </xf>
    <xf numFmtId="0" fontId="82" fillId="0" borderId="109" xfId="96" quotePrefix="1" applyFont="1" applyBorder="1" applyAlignment="1">
      <alignment horizontal="left" vertical="center" wrapText="1"/>
    </xf>
    <xf numFmtId="0" fontId="5" fillId="31" borderId="109" xfId="96" applyFont="1" applyFill="1" applyBorder="1" applyAlignment="1">
      <alignment horizontal="center" vertical="center" wrapText="1"/>
    </xf>
    <xf numFmtId="0" fontId="77" fillId="40" borderId="89" xfId="0" applyFont="1" applyFill="1" applyBorder="1" applyAlignment="1">
      <alignment horizontal="center" vertical="center" wrapText="1"/>
    </xf>
    <xf numFmtId="0" fontId="77" fillId="0" borderId="0" xfId="0" applyFont="1" applyAlignment="1">
      <alignment horizontal="center" vertical="center" wrapText="1"/>
    </xf>
    <xf numFmtId="0" fontId="5" fillId="58" borderId="239" xfId="96" applyFont="1" applyFill="1" applyBorder="1" applyAlignment="1">
      <alignment horizontal="center" vertical="center" wrapText="1"/>
    </xf>
    <xf numFmtId="0" fontId="79" fillId="58" borderId="107" xfId="96" applyFont="1" applyFill="1" applyBorder="1" applyAlignment="1">
      <alignment vertical="center" wrapText="1"/>
    </xf>
    <xf numFmtId="0" fontId="79" fillId="58" borderId="110" xfId="96" applyFont="1" applyFill="1" applyBorder="1" applyAlignment="1">
      <alignment vertical="center" wrapText="1"/>
    </xf>
    <xf numFmtId="0" fontId="84" fillId="0" borderId="89" xfId="96" applyFont="1" applyBorder="1" applyAlignment="1">
      <alignment horizontal="left" vertical="center" wrapText="1"/>
    </xf>
    <xf numFmtId="0" fontId="84" fillId="0" borderId="109" xfId="96" applyFont="1" applyBorder="1" applyAlignment="1">
      <alignment horizontal="left" vertical="center" wrapText="1"/>
    </xf>
    <xf numFmtId="0" fontId="84" fillId="0" borderId="89" xfId="91" applyFont="1" applyBorder="1" applyAlignment="1">
      <alignment horizontal="left" vertical="center" wrapText="1"/>
    </xf>
    <xf numFmtId="0" fontId="84" fillId="0" borderId="109" xfId="91" applyFont="1" applyBorder="1" applyAlignment="1">
      <alignment horizontal="left" vertical="center" wrapText="1"/>
    </xf>
    <xf numFmtId="0" fontId="85" fillId="42" borderId="89" xfId="96" applyFont="1" applyFill="1" applyBorder="1" applyAlignment="1">
      <alignment horizontal="left" vertical="center" wrapText="1"/>
    </xf>
    <xf numFmtId="0" fontId="85" fillId="42" borderId="89" xfId="96" quotePrefix="1" applyFont="1" applyFill="1" applyBorder="1" applyAlignment="1">
      <alignment horizontal="left" vertical="center" wrapText="1"/>
    </xf>
    <xf numFmtId="0" fontId="85" fillId="42" borderId="89" xfId="0" applyFont="1" applyFill="1" applyBorder="1" applyAlignment="1">
      <alignment horizontal="left" vertical="center" wrapText="1"/>
    </xf>
    <xf numFmtId="0" fontId="85" fillId="42" borderId="109" xfId="0" applyFont="1" applyFill="1" applyBorder="1" applyAlignment="1">
      <alignment horizontal="left" vertical="center" wrapText="1"/>
    </xf>
    <xf numFmtId="0" fontId="85" fillId="42" borderId="112" xfId="0" applyFont="1" applyFill="1" applyBorder="1" applyAlignment="1">
      <alignment horizontal="left" vertical="center" wrapText="1"/>
    </xf>
    <xf numFmtId="0" fontId="85" fillId="42" borderId="114" xfId="0" applyFont="1" applyFill="1" applyBorder="1" applyAlignment="1">
      <alignment horizontal="left" vertical="center" wrapText="1"/>
    </xf>
    <xf numFmtId="0" fontId="85" fillId="42" borderId="19" xfId="0" applyFont="1" applyFill="1" applyBorder="1" applyAlignment="1">
      <alignment horizontal="left" vertical="center" wrapText="1"/>
    </xf>
    <xf numFmtId="0" fontId="0" fillId="31" borderId="19" xfId="0" applyFill="1" applyBorder="1"/>
    <xf numFmtId="0" fontId="0" fillId="54" borderId="19" xfId="0" applyFill="1" applyBorder="1" applyAlignment="1">
      <alignment vertical="center"/>
    </xf>
    <xf numFmtId="0" fontId="0" fillId="0" borderId="19" xfId="0" applyBorder="1" applyAlignment="1">
      <alignment vertical="center"/>
    </xf>
    <xf numFmtId="0" fontId="5" fillId="54" borderId="239" xfId="96" applyFont="1" applyFill="1" applyBorder="1" applyAlignment="1">
      <alignment horizontal="center" vertical="center" wrapText="1"/>
    </xf>
    <xf numFmtId="0" fontId="86" fillId="42" borderId="109" xfId="0" applyFont="1" applyFill="1" applyBorder="1" applyAlignment="1">
      <alignment horizontal="left" vertical="center" wrapText="1"/>
    </xf>
    <xf numFmtId="0" fontId="79" fillId="58" borderId="238" xfId="96" applyFont="1" applyFill="1" applyBorder="1" applyAlignment="1">
      <alignment horizontal="left" vertical="center" wrapText="1"/>
    </xf>
    <xf numFmtId="0" fontId="79" fillId="58" borderId="238" xfId="0" applyFont="1" applyFill="1" applyBorder="1" applyAlignment="1">
      <alignment vertical="center"/>
    </xf>
    <xf numFmtId="0" fontId="79" fillId="57" borderId="242" xfId="96" applyFont="1" applyFill="1" applyBorder="1" applyAlignment="1">
      <alignment horizontal="left" vertical="center" wrapText="1"/>
    </xf>
    <xf numFmtId="0" fontId="81" fillId="0" borderId="111" xfId="0" applyFont="1" applyBorder="1" applyAlignment="1">
      <alignment horizontal="left" vertical="center" wrapText="1"/>
    </xf>
    <xf numFmtId="0" fontId="79" fillId="31" borderId="242" xfId="96" applyFont="1" applyFill="1" applyBorder="1" applyAlignment="1">
      <alignment horizontal="left" vertical="center" wrapText="1"/>
    </xf>
    <xf numFmtId="0" fontId="83" fillId="0" borderId="0" xfId="0" applyFont="1" applyAlignment="1">
      <alignment horizontal="left" vertical="center"/>
    </xf>
    <xf numFmtId="0" fontId="79" fillId="58" borderId="107" xfId="96" applyFont="1" applyFill="1" applyBorder="1" applyAlignment="1">
      <alignment horizontal="left" vertical="center" wrapText="1"/>
    </xf>
    <xf numFmtId="0" fontId="5" fillId="54" borderId="89" xfId="96" applyFont="1" applyFill="1" applyBorder="1" applyAlignment="1">
      <alignment horizontal="center" vertical="center" wrapText="1"/>
    </xf>
    <xf numFmtId="0" fontId="5" fillId="59" borderId="239" xfId="96" applyFont="1" applyFill="1" applyBorder="1" applyAlignment="1">
      <alignment horizontal="center" vertical="center" wrapText="1"/>
    </xf>
    <xf numFmtId="164" fontId="3" fillId="42" borderId="89" xfId="91" applyNumberFormat="1" applyFill="1" applyBorder="1" applyAlignment="1">
      <alignment horizontal="left" vertical="center" wrapText="1"/>
    </xf>
    <xf numFmtId="0" fontId="79" fillId="58" borderId="107" xfId="0" applyFont="1" applyFill="1" applyBorder="1" applyAlignment="1">
      <alignment vertical="center"/>
    </xf>
    <xf numFmtId="0" fontId="79" fillId="54" borderId="109" xfId="96" applyFont="1" applyFill="1" applyBorder="1" applyAlignment="1">
      <alignment horizontal="center" vertical="center" wrapText="1"/>
    </xf>
    <xf numFmtId="0" fontId="86" fillId="42" borderId="112" xfId="0" applyFont="1" applyFill="1" applyBorder="1" applyAlignment="1">
      <alignment horizontal="left" vertical="center" wrapText="1"/>
    </xf>
    <xf numFmtId="0" fontId="86" fillId="42" borderId="114" xfId="0" applyFont="1" applyFill="1" applyBorder="1" applyAlignment="1">
      <alignment horizontal="left" vertical="center" wrapText="1"/>
    </xf>
    <xf numFmtId="0" fontId="87" fillId="0" borderId="109" xfId="96" applyFont="1" applyBorder="1" applyAlignment="1">
      <alignment horizontal="left" vertical="center" wrapText="1"/>
    </xf>
    <xf numFmtId="0" fontId="87" fillId="0" borderId="109" xfId="96" quotePrefix="1" applyFont="1" applyBorder="1" applyAlignment="1">
      <alignment horizontal="left" vertical="center" wrapText="1"/>
    </xf>
    <xf numFmtId="0" fontId="79" fillId="54" borderId="240" xfId="96" applyFont="1" applyFill="1" applyBorder="1" applyAlignment="1">
      <alignment horizontal="center" vertical="center" wrapText="1"/>
    </xf>
    <xf numFmtId="0" fontId="86" fillId="42" borderId="106" xfId="96" applyFont="1" applyFill="1" applyBorder="1" applyAlignment="1">
      <alignment vertical="center" wrapText="1"/>
    </xf>
    <xf numFmtId="0" fontId="3" fillId="42" borderId="89" xfId="96" applyFill="1" applyBorder="1" applyAlignment="1">
      <alignment horizontal="left" vertical="center" wrapText="1"/>
    </xf>
    <xf numFmtId="0" fontId="3" fillId="0" borderId="50" xfId="1" applyBorder="1" applyAlignment="1" applyProtection="1">
      <alignment horizontal="left" vertical="top" wrapText="1"/>
      <protection locked="0"/>
    </xf>
    <xf numFmtId="0" fontId="3" fillId="0" borderId="32" xfId="1" applyBorder="1" applyAlignment="1" applyProtection="1">
      <alignment horizontal="left" vertical="top" wrapText="1"/>
      <protection locked="0"/>
    </xf>
    <xf numFmtId="0" fontId="3" fillId="0" borderId="49" xfId="1" applyBorder="1" applyAlignment="1" applyProtection="1">
      <alignment horizontal="left" vertical="top" wrapText="1"/>
      <protection locked="0"/>
    </xf>
    <xf numFmtId="0" fontId="3" fillId="0" borderId="40" xfId="1" applyBorder="1" applyAlignment="1" applyProtection="1">
      <alignment horizontal="left" vertical="top" wrapText="1"/>
      <protection locked="0"/>
    </xf>
    <xf numFmtId="0" fontId="3" fillId="0" borderId="48" xfId="1" applyBorder="1" applyAlignment="1" applyProtection="1">
      <alignment horizontal="left" vertical="top" wrapText="1"/>
      <protection locked="0"/>
    </xf>
    <xf numFmtId="0" fontId="3" fillId="0" borderId="44" xfId="1" applyBorder="1" applyAlignment="1" applyProtection="1">
      <alignment horizontal="left" vertical="top" wrapText="1"/>
      <protection locked="0"/>
    </xf>
    <xf numFmtId="0" fontId="3" fillId="0" borderId="76" xfId="1" applyBorder="1" applyAlignment="1" applyProtection="1">
      <alignment horizontal="left" vertical="top" wrapText="1"/>
      <protection locked="0"/>
    </xf>
    <xf numFmtId="0" fontId="3" fillId="0" borderId="63" xfId="1" applyBorder="1" applyAlignment="1" applyProtection="1">
      <alignment horizontal="left" vertical="top" wrapText="1"/>
      <protection locked="0"/>
    </xf>
    <xf numFmtId="0" fontId="3" fillId="0" borderId="43" xfId="1" applyBorder="1" applyAlignment="1" applyProtection="1">
      <alignment horizontal="left" vertical="top" wrapText="1"/>
      <protection locked="0"/>
    </xf>
    <xf numFmtId="0" fontId="3" fillId="0" borderId="39" xfId="1" applyBorder="1" applyAlignment="1" applyProtection="1">
      <alignment horizontal="left" vertical="top" wrapText="1"/>
      <protection locked="0"/>
    </xf>
    <xf numFmtId="0" fontId="3" fillId="0" borderId="57" xfId="1" applyBorder="1" applyAlignment="1" applyProtection="1">
      <alignment horizontal="left" vertical="top" wrapText="1"/>
      <protection locked="0"/>
    </xf>
    <xf numFmtId="0" fontId="3" fillId="0" borderId="68" xfId="1" applyBorder="1" applyAlignment="1" applyProtection="1">
      <alignment horizontal="left" vertical="top" wrapText="1"/>
      <protection locked="0"/>
    </xf>
    <xf numFmtId="0" fontId="3" fillId="0" borderId="71" xfId="1" applyBorder="1" applyAlignment="1" applyProtection="1">
      <alignment horizontal="left" vertical="top" wrapText="1"/>
      <protection locked="0"/>
    </xf>
    <xf numFmtId="0" fontId="3" fillId="0" borderId="78" xfId="1" applyBorder="1" applyAlignment="1" applyProtection="1">
      <alignment horizontal="left" vertical="top" wrapText="1"/>
      <protection locked="0"/>
    </xf>
    <xf numFmtId="0" fontId="3" fillId="0" borderId="67" xfId="1" applyBorder="1" applyAlignment="1" applyProtection="1">
      <alignment horizontal="left" vertical="top" wrapText="1"/>
      <protection locked="0"/>
    </xf>
    <xf numFmtId="0" fontId="3" fillId="0" borderId="35" xfId="1" applyBorder="1" applyAlignment="1" applyProtection="1">
      <alignment horizontal="left" vertical="top" wrapText="1"/>
      <protection locked="0"/>
    </xf>
    <xf numFmtId="0" fontId="3" fillId="0" borderId="74" xfId="1" applyBorder="1" applyAlignment="1" applyProtection="1">
      <alignment horizontal="left" vertical="top" wrapText="1"/>
      <protection locked="0"/>
    </xf>
    <xf numFmtId="0" fontId="3" fillId="0" borderId="75" xfId="1" applyBorder="1" applyAlignment="1" applyProtection="1">
      <alignment horizontal="left" vertical="top" wrapText="1"/>
      <protection locked="0"/>
    </xf>
    <xf numFmtId="0" fontId="3" fillId="0" borderId="73" xfId="1" applyBorder="1" applyAlignment="1" applyProtection="1">
      <alignment horizontal="left" vertical="top" wrapText="1"/>
      <protection locked="0"/>
    </xf>
    <xf numFmtId="0" fontId="3" fillId="0" borderId="54" xfId="1" applyBorder="1" applyAlignment="1" applyProtection="1">
      <alignment horizontal="left" vertical="top" wrapText="1"/>
      <protection locked="0"/>
    </xf>
    <xf numFmtId="0" fontId="3" fillId="0" borderId="61" xfId="1" applyBorder="1" applyAlignment="1" applyProtection="1">
      <alignment horizontal="left" vertical="top" wrapText="1"/>
      <protection locked="0"/>
    </xf>
    <xf numFmtId="0" fontId="3" fillId="0" borderId="80" xfId="1" applyBorder="1" applyAlignment="1" applyProtection="1">
      <alignment horizontal="left" vertical="top" wrapText="1"/>
      <protection locked="0"/>
    </xf>
    <xf numFmtId="0" fontId="3" fillId="27" borderId="89" xfId="1" applyFill="1" applyBorder="1" applyAlignment="1">
      <alignment horizontal="left" vertical="top" wrapText="1"/>
    </xf>
    <xf numFmtId="0" fontId="3" fillId="0" borderId="16" xfId="1" applyBorder="1" applyAlignment="1" applyProtection="1">
      <alignment horizontal="left" vertical="top" wrapText="1"/>
      <protection locked="0"/>
    </xf>
    <xf numFmtId="0" fontId="3" fillId="0" borderId="60" xfId="1" applyBorder="1" applyAlignment="1" applyProtection="1">
      <alignment horizontal="left" vertical="top" wrapText="1"/>
      <protection locked="0"/>
    </xf>
    <xf numFmtId="0" fontId="3" fillId="0" borderId="25" xfId="1" applyBorder="1" applyAlignment="1" applyProtection="1">
      <alignment horizontal="left" vertical="top" wrapText="1"/>
      <protection locked="0"/>
    </xf>
    <xf numFmtId="0" fontId="3" fillId="0" borderId="69" xfId="1" applyBorder="1" applyAlignment="1" applyProtection="1">
      <alignment horizontal="left" vertical="top" wrapText="1"/>
      <protection locked="0"/>
    </xf>
    <xf numFmtId="0" fontId="3" fillId="0" borderId="79" xfId="1" applyBorder="1" applyAlignment="1" applyProtection="1">
      <alignment horizontal="left" vertical="top" wrapText="1"/>
      <protection locked="0"/>
    </xf>
    <xf numFmtId="0" fontId="3" fillId="0" borderId="64" xfId="1" applyBorder="1" applyAlignment="1" applyProtection="1">
      <alignment horizontal="left" vertical="top" wrapText="1"/>
      <protection locked="0"/>
    </xf>
    <xf numFmtId="0" fontId="3" fillId="0" borderId="65" xfId="1" applyBorder="1" applyAlignment="1" applyProtection="1">
      <alignment horizontal="left" vertical="top" wrapText="1"/>
      <protection locked="0"/>
    </xf>
    <xf numFmtId="0" fontId="3" fillId="0" borderId="72" xfId="1" applyBorder="1" applyAlignment="1" applyProtection="1">
      <alignment horizontal="left" vertical="top" wrapText="1"/>
      <protection locked="0"/>
    </xf>
    <xf numFmtId="0" fontId="3" fillId="0" borderId="14" xfId="1" applyBorder="1" applyAlignment="1" applyProtection="1">
      <alignment horizontal="left" vertical="top" wrapText="1"/>
      <protection locked="0"/>
    </xf>
    <xf numFmtId="0" fontId="3" fillId="0" borderId="16" xfId="1" applyBorder="1" applyAlignment="1">
      <alignment horizontal="left" vertical="top" wrapText="1"/>
    </xf>
    <xf numFmtId="0" fontId="3" fillId="26" borderId="11" xfId="1" applyFill="1" applyBorder="1" applyAlignment="1">
      <alignment horizontal="left" vertical="top" wrapText="1"/>
    </xf>
    <xf numFmtId="0" fontId="2" fillId="0" borderId="27" xfId="0" applyFont="1" applyBorder="1" applyAlignment="1">
      <alignment horizontal="center"/>
    </xf>
    <xf numFmtId="0" fontId="2" fillId="0" borderId="26" xfId="0" applyFont="1" applyBorder="1" applyAlignment="1">
      <alignment horizontal="center"/>
    </xf>
    <xf numFmtId="0" fontId="2" fillId="29" borderId="27" xfId="0" applyFont="1" applyFill="1" applyBorder="1" applyAlignment="1">
      <alignment horizontal="left"/>
    </xf>
    <xf numFmtId="0" fontId="2" fillId="29" borderId="26" xfId="0" applyFont="1" applyFill="1" applyBorder="1" applyAlignment="1">
      <alignment horizontal="left"/>
    </xf>
    <xf numFmtId="0" fontId="2" fillId="42" borderId="27" xfId="0" applyFont="1" applyFill="1" applyBorder="1" applyAlignment="1">
      <alignment horizontal="center"/>
    </xf>
    <xf numFmtId="0" fontId="2" fillId="42" borderId="26" xfId="0" applyFont="1" applyFill="1" applyBorder="1" applyAlignment="1">
      <alignment horizontal="center"/>
    </xf>
    <xf numFmtId="0" fontId="33" fillId="0" borderId="53" xfId="1" applyFont="1" applyBorder="1" applyAlignment="1">
      <alignment horizontal="center" vertical="center" wrapText="1"/>
    </xf>
    <xf numFmtId="0" fontId="33" fillId="0" borderId="0" xfId="1" applyFont="1" applyAlignment="1">
      <alignment horizontal="center" vertical="center" wrapText="1"/>
    </xf>
    <xf numFmtId="164" fontId="5" fillId="32" borderId="27" xfId="38" applyNumberFormat="1" applyFont="1" applyFill="1" applyBorder="1" applyAlignment="1">
      <alignment horizontal="center" vertical="top" wrapText="1"/>
    </xf>
    <xf numFmtId="164" fontId="5" fillId="32" borderId="26" xfId="38" applyNumberFormat="1" applyFont="1" applyFill="1" applyBorder="1" applyAlignment="1">
      <alignment horizontal="center" vertical="top" wrapText="1"/>
    </xf>
    <xf numFmtId="0" fontId="5" fillId="0" borderId="27" xfId="38" applyFont="1" applyBorder="1" applyAlignment="1" applyProtection="1">
      <alignment horizontal="center" vertical="center" wrapText="1"/>
      <protection locked="0"/>
    </xf>
    <xf numFmtId="0" fontId="5" fillId="0" borderId="26" xfId="38" applyFont="1" applyBorder="1" applyAlignment="1" applyProtection="1">
      <alignment horizontal="center" vertical="center" wrapText="1"/>
      <protection locked="0"/>
    </xf>
    <xf numFmtId="0" fontId="2" fillId="32" borderId="27" xfId="0" applyFont="1" applyFill="1" applyBorder="1" applyAlignment="1">
      <alignment horizontal="center" wrapText="1"/>
    </xf>
    <xf numFmtId="0" fontId="2" fillId="32" borderId="23" xfId="0" applyFont="1" applyFill="1" applyBorder="1" applyAlignment="1">
      <alignment horizontal="center" wrapText="1"/>
    </xf>
    <xf numFmtId="0" fontId="2" fillId="32" borderId="26" xfId="0" applyFont="1" applyFill="1" applyBorder="1" applyAlignment="1">
      <alignment horizontal="center" wrapText="1"/>
    </xf>
    <xf numFmtId="164" fontId="5" fillId="0" borderId="27" xfId="38" applyNumberFormat="1" applyFont="1" applyBorder="1" applyAlignment="1" applyProtection="1">
      <alignment horizontal="center" vertical="top" wrapText="1"/>
      <protection locked="0"/>
    </xf>
    <xf numFmtId="164" fontId="5" fillId="0" borderId="23" xfId="38" applyNumberFormat="1" applyFont="1" applyBorder="1" applyAlignment="1" applyProtection="1">
      <alignment horizontal="center" vertical="top" wrapText="1"/>
      <protection locked="0"/>
    </xf>
    <xf numFmtId="164" fontId="5" fillId="0" borderId="26" xfId="38" applyNumberFormat="1" applyFont="1" applyBorder="1" applyAlignment="1" applyProtection="1">
      <alignment horizontal="center" vertical="top" wrapText="1"/>
      <protection locked="0"/>
    </xf>
    <xf numFmtId="0" fontId="2" fillId="32" borderId="27" xfId="0" applyFont="1" applyFill="1" applyBorder="1" applyAlignment="1">
      <alignment horizontal="center"/>
    </xf>
    <xf numFmtId="0" fontId="2" fillId="32" borderId="26" xfId="0" applyFont="1" applyFill="1" applyBorder="1" applyAlignment="1">
      <alignment horizontal="center"/>
    </xf>
    <xf numFmtId="0" fontId="23" fillId="24" borderId="204" xfId="0" applyFont="1" applyFill="1" applyBorder="1" applyAlignment="1" applyProtection="1">
      <alignment horizontal="left" vertical="center" wrapText="1" indent="1"/>
      <protection locked="0"/>
    </xf>
    <xf numFmtId="0" fontId="23" fillId="24" borderId="210" xfId="0" applyFont="1" applyFill="1" applyBorder="1" applyAlignment="1" applyProtection="1">
      <alignment horizontal="left" vertical="center" wrapText="1" indent="1"/>
      <protection locked="0"/>
    </xf>
    <xf numFmtId="0" fontId="23" fillId="24" borderId="191" xfId="0" applyFont="1" applyFill="1" applyBorder="1" applyAlignment="1" applyProtection="1">
      <alignment horizontal="left" vertical="center" wrapText="1" indent="1"/>
      <protection locked="0"/>
    </xf>
    <xf numFmtId="0" fontId="23" fillId="24" borderId="192" xfId="0" applyFont="1" applyFill="1" applyBorder="1" applyAlignment="1" applyProtection="1">
      <alignment horizontal="left" vertical="center" wrapText="1" indent="1"/>
      <protection locked="0"/>
    </xf>
    <xf numFmtId="0" fontId="73" fillId="0" borderId="221" xfId="0" applyFont="1" applyBorder="1" applyAlignment="1" applyProtection="1">
      <alignment horizontal="left" wrapText="1"/>
      <protection locked="0"/>
    </xf>
    <xf numFmtId="0" fontId="73" fillId="0" borderId="222" xfId="0" applyFont="1" applyBorder="1" applyAlignment="1" applyProtection="1">
      <alignment horizontal="left" wrapText="1"/>
      <protection locked="0"/>
    </xf>
    <xf numFmtId="0" fontId="73" fillId="0" borderId="223" xfId="0" applyFont="1" applyBorder="1" applyAlignment="1" applyProtection="1">
      <alignment horizontal="left" wrapText="1"/>
      <protection locked="0"/>
    </xf>
    <xf numFmtId="0" fontId="55" fillId="24" borderId="191" xfId="100" applyFill="1" applyBorder="1" applyAlignment="1" applyProtection="1">
      <alignment horizontal="center" vertical="center"/>
      <protection locked="0"/>
    </xf>
    <xf numFmtId="0" fontId="55" fillId="24" borderId="193" xfId="100" applyFill="1" applyBorder="1" applyAlignment="1" applyProtection="1">
      <alignment horizontal="center" vertical="center"/>
      <protection locked="0"/>
    </xf>
    <xf numFmtId="0" fontId="23" fillId="24" borderId="204" xfId="0" applyFont="1" applyFill="1" applyBorder="1" applyAlignment="1" applyProtection="1">
      <alignment horizontal="left" wrapText="1" indent="1"/>
      <protection locked="0"/>
    </xf>
    <xf numFmtId="0" fontId="23" fillId="24" borderId="205" xfId="0" applyFont="1" applyFill="1" applyBorder="1" applyAlignment="1" applyProtection="1">
      <alignment horizontal="left" wrapText="1" indent="1"/>
      <protection locked="0"/>
    </xf>
    <xf numFmtId="0" fontId="72" fillId="24" borderId="125" xfId="0" applyFont="1" applyFill="1" applyBorder="1" applyAlignment="1" applyProtection="1">
      <alignment horizontal="left" vertical="top" wrapText="1"/>
      <protection locked="0"/>
    </xf>
    <xf numFmtId="0" fontId="72" fillId="24" borderId="126" xfId="0" applyFont="1" applyFill="1" applyBorder="1" applyAlignment="1" applyProtection="1">
      <alignment horizontal="left" vertical="top" wrapText="1"/>
      <protection locked="0"/>
    </xf>
    <xf numFmtId="0" fontId="72" fillId="24" borderId="213" xfId="0" applyFont="1" applyFill="1" applyBorder="1" applyAlignment="1" applyProtection="1">
      <alignment horizontal="left" vertical="top" wrapText="1"/>
      <protection locked="0"/>
    </xf>
    <xf numFmtId="0" fontId="26" fillId="24" borderId="196" xfId="0" applyFont="1" applyFill="1" applyBorder="1" applyAlignment="1" applyProtection="1">
      <alignment horizontal="left" vertical="center" wrapText="1"/>
      <protection locked="0"/>
    </xf>
    <xf numFmtId="0" fontId="26" fillId="24" borderId="192" xfId="0" applyFont="1" applyFill="1" applyBorder="1" applyAlignment="1" applyProtection="1">
      <alignment horizontal="left" vertical="center" wrapText="1"/>
      <protection locked="0"/>
    </xf>
    <xf numFmtId="0" fontId="26" fillId="24" borderId="191" xfId="0" applyFont="1" applyFill="1" applyBorder="1" applyAlignment="1" applyProtection="1">
      <alignment horizontal="left" vertical="center" wrapText="1" indent="2"/>
      <protection locked="0"/>
    </xf>
    <xf numFmtId="0" fontId="60" fillId="24" borderId="192" xfId="0" applyFont="1" applyFill="1" applyBorder="1" applyAlignment="1" applyProtection="1">
      <alignment horizontal="left" vertical="center" wrapText="1" indent="2"/>
      <protection locked="0"/>
    </xf>
    <xf numFmtId="0" fontId="65" fillId="26" borderId="105" xfId="0" applyFont="1" applyFill="1" applyBorder="1" applyAlignment="1" applyProtection="1">
      <alignment horizontal="left" wrapText="1"/>
      <protection locked="0"/>
    </xf>
    <xf numFmtId="0" fontId="66" fillId="26" borderId="106" xfId="0" applyFont="1" applyFill="1" applyBorder="1" applyAlignment="1" applyProtection="1">
      <alignment horizontal="left" wrapText="1"/>
      <protection locked="0"/>
    </xf>
    <xf numFmtId="0" fontId="67" fillId="24" borderId="191" xfId="0" applyFont="1" applyFill="1" applyBorder="1" applyAlignment="1" applyProtection="1">
      <alignment horizontal="left" wrapText="1" indent="2"/>
      <protection locked="0"/>
    </xf>
    <xf numFmtId="0" fontId="29" fillId="24" borderId="192" xfId="0" applyFont="1" applyFill="1" applyBorder="1" applyAlignment="1" applyProtection="1">
      <alignment horizontal="left" wrapText="1" indent="2"/>
      <protection locked="0"/>
    </xf>
    <xf numFmtId="0" fontId="29" fillId="24" borderId="193" xfId="0" applyFont="1" applyFill="1" applyBorder="1" applyAlignment="1" applyProtection="1">
      <alignment horizontal="left" wrapText="1" indent="2"/>
      <protection locked="0"/>
    </xf>
    <xf numFmtId="0" fontId="26" fillId="24" borderId="229" xfId="0" applyFont="1" applyFill="1" applyBorder="1" applyAlignment="1" applyProtection="1">
      <alignment horizontal="left" vertical="center" wrapText="1"/>
      <protection locked="0"/>
    </xf>
    <xf numFmtId="0" fontId="46" fillId="0" borderId="177" xfId="0" applyFont="1" applyBorder="1" applyAlignment="1" applyProtection="1">
      <alignment horizontal="left" vertical="center" wrapText="1"/>
      <protection locked="0"/>
    </xf>
    <xf numFmtId="0" fontId="48" fillId="0" borderId="104" xfId="0" applyFont="1" applyBorder="1" applyAlignment="1" applyProtection="1">
      <alignment horizontal="left" vertical="center" wrapText="1"/>
      <protection locked="0"/>
    </xf>
    <xf numFmtId="0" fontId="48" fillId="0" borderId="124" xfId="0" applyFont="1" applyBorder="1" applyAlignment="1" applyProtection="1">
      <alignment horizontal="left" vertical="center" wrapText="1"/>
      <protection locked="0"/>
    </xf>
    <xf numFmtId="0" fontId="48" fillId="0" borderId="182" xfId="0" applyFont="1" applyBorder="1" applyAlignment="1" applyProtection="1">
      <alignment horizontal="left" vertical="center" wrapText="1"/>
      <protection locked="0"/>
    </xf>
    <xf numFmtId="0" fontId="48" fillId="0" borderId="0" xfId="0" applyFont="1" applyAlignment="1" applyProtection="1">
      <alignment horizontal="left" vertical="center" wrapText="1"/>
      <protection locked="0"/>
    </xf>
    <xf numFmtId="0" fontId="48" fillId="0" borderId="167" xfId="0" applyFont="1" applyBorder="1" applyAlignment="1" applyProtection="1">
      <alignment horizontal="left" vertical="center" wrapText="1"/>
      <protection locked="0"/>
    </xf>
    <xf numFmtId="0" fontId="48" fillId="0" borderId="184" xfId="0" applyFont="1" applyBorder="1" applyAlignment="1" applyProtection="1">
      <alignment horizontal="left" vertical="center" wrapText="1"/>
      <protection locked="0"/>
    </xf>
    <xf numFmtId="0" fontId="48" fillId="0" borderId="83" xfId="0" applyFont="1" applyBorder="1" applyAlignment="1" applyProtection="1">
      <alignment horizontal="left" vertical="center" wrapText="1"/>
      <protection locked="0"/>
    </xf>
    <xf numFmtId="0" fontId="48" fillId="0" borderId="185" xfId="0" applyFont="1" applyBorder="1" applyAlignment="1" applyProtection="1">
      <alignment horizontal="left" vertical="center" wrapText="1"/>
      <protection locked="0"/>
    </xf>
    <xf numFmtId="0" fontId="3" fillId="24" borderId="23" xfId="0" applyFont="1" applyFill="1" applyBorder="1" applyAlignment="1" applyProtection="1">
      <alignment horizontal="right" wrapText="1"/>
      <protection locked="0"/>
    </xf>
    <xf numFmtId="0" fontId="3" fillId="24" borderId="26" xfId="0" applyFont="1" applyFill="1" applyBorder="1" applyAlignment="1" applyProtection="1">
      <alignment horizontal="right" wrapText="1"/>
      <protection locked="0"/>
    </xf>
    <xf numFmtId="0" fontId="55" fillId="24" borderId="0" xfId="100" applyFill="1" applyBorder="1" applyAlignment="1" applyProtection="1">
      <alignment horizontal="left" vertical="center" wrapText="1"/>
      <protection locked="0"/>
    </xf>
    <xf numFmtId="0" fontId="63" fillId="0" borderId="126" xfId="100" applyFont="1" applyBorder="1" applyAlignment="1">
      <alignment vertical="top" wrapText="1"/>
    </xf>
    <xf numFmtId="0" fontId="55" fillId="0" borderId="126" xfId="100" applyBorder="1" applyAlignment="1">
      <alignment vertical="top"/>
    </xf>
    <xf numFmtId="0" fontId="30" fillId="44" borderId="186" xfId="0" applyFont="1" applyFill="1" applyBorder="1" applyAlignment="1" applyProtection="1">
      <alignment horizontal="center" wrapText="1"/>
      <protection locked="0"/>
    </xf>
    <xf numFmtId="0" fontId="30" fillId="44" borderId="92" xfId="0" applyFont="1" applyFill="1" applyBorder="1" applyAlignment="1" applyProtection="1">
      <alignment horizontal="center" wrapText="1"/>
      <protection locked="0"/>
    </xf>
    <xf numFmtId="0" fontId="30" fillId="44" borderId="123" xfId="0" applyFont="1" applyFill="1" applyBorder="1" applyAlignment="1" applyProtection="1">
      <alignment horizontal="center" vertical="distributed" wrapText="1"/>
      <protection locked="0"/>
    </xf>
    <xf numFmtId="0" fontId="30" fillId="44" borderId="104" xfId="0" applyFont="1" applyFill="1" applyBorder="1" applyAlignment="1" applyProtection="1">
      <alignment horizontal="center" vertical="distributed" wrapText="1"/>
      <protection locked="0"/>
    </xf>
    <xf numFmtId="0" fontId="30" fillId="44" borderId="124" xfId="0" applyFont="1" applyFill="1" applyBorder="1" applyAlignment="1" applyProtection="1">
      <alignment horizontal="center" vertical="distributed" wrapText="1"/>
      <protection locked="0"/>
    </xf>
    <xf numFmtId="0" fontId="27" fillId="44" borderId="92" xfId="0" applyFont="1" applyFill="1" applyBorder="1" applyAlignment="1" applyProtection="1">
      <alignment horizontal="center" wrapText="1"/>
      <protection locked="0"/>
    </xf>
    <xf numFmtId="0" fontId="27" fillId="44" borderId="187" xfId="0" applyFont="1" applyFill="1" applyBorder="1" applyAlignment="1" applyProtection="1">
      <alignment horizontal="center" wrapText="1"/>
      <protection locked="0"/>
    </xf>
    <xf numFmtId="0" fontId="30" fillId="44" borderId="166" xfId="0" applyFont="1" applyFill="1" applyBorder="1" applyAlignment="1" applyProtection="1">
      <alignment horizontal="center" vertical="distributed" wrapText="1"/>
      <protection locked="0"/>
    </xf>
    <xf numFmtId="0" fontId="30" fillId="44" borderId="0" xfId="0" applyFont="1" applyFill="1" applyAlignment="1" applyProtection="1">
      <alignment horizontal="center" vertical="distributed" wrapText="1"/>
      <protection locked="0"/>
    </xf>
    <xf numFmtId="0" fontId="30" fillId="44" borderId="167" xfId="0" applyFont="1" applyFill="1" applyBorder="1" applyAlignment="1" applyProtection="1">
      <alignment horizontal="center" vertical="distributed" wrapText="1"/>
      <protection locked="0"/>
    </xf>
    <xf numFmtId="0" fontId="5" fillId="30" borderId="30" xfId="1" applyFont="1" applyFill="1" applyBorder="1" applyAlignment="1" applyProtection="1">
      <alignment horizontal="center" vertical="top" wrapText="1"/>
      <protection locked="0"/>
    </xf>
    <xf numFmtId="0" fontId="5" fillId="30" borderId="83" xfId="1" applyFont="1" applyFill="1" applyBorder="1" applyAlignment="1" applyProtection="1">
      <alignment horizontal="center" vertical="top" wrapText="1"/>
      <protection locked="0"/>
    </xf>
    <xf numFmtId="0" fontId="5" fillId="30" borderId="237" xfId="1" applyFont="1" applyFill="1" applyBorder="1" applyAlignment="1" applyProtection="1">
      <alignment horizontal="center" vertical="top" wrapText="1"/>
      <protection locked="0"/>
    </xf>
    <xf numFmtId="0" fontId="5" fillId="30" borderId="27" xfId="1" applyFont="1" applyFill="1" applyBorder="1" applyAlignment="1" applyProtection="1">
      <alignment horizontal="center" vertical="top"/>
      <protection locked="0"/>
    </xf>
    <xf numFmtId="0" fontId="5" fillId="30" borderId="23" xfId="1" applyFont="1" applyFill="1" applyBorder="1" applyAlignment="1" applyProtection="1">
      <alignment horizontal="center" vertical="top"/>
      <protection locked="0"/>
    </xf>
    <xf numFmtId="0" fontId="5" fillId="30" borderId="26" xfId="1" applyFont="1" applyFill="1" applyBorder="1" applyAlignment="1" applyProtection="1">
      <alignment horizontal="center" vertical="top"/>
      <protection locked="0"/>
    </xf>
    <xf numFmtId="0" fontId="5" fillId="30" borderId="27" xfId="1" applyFont="1" applyFill="1" applyBorder="1" applyAlignment="1" applyProtection="1">
      <alignment horizontal="center" vertical="top" wrapText="1"/>
      <protection locked="0"/>
    </xf>
    <xf numFmtId="0" fontId="5" fillId="30" borderId="23" xfId="1" applyFont="1" applyFill="1" applyBorder="1" applyAlignment="1" applyProtection="1">
      <alignment horizontal="center" vertical="top" wrapText="1"/>
      <protection locked="0"/>
    </xf>
    <xf numFmtId="0" fontId="5" fillId="30" borderId="26" xfId="1" applyFont="1" applyFill="1" applyBorder="1" applyAlignment="1" applyProtection="1">
      <alignment horizontal="center" vertical="top" wrapText="1"/>
      <protection locked="0"/>
    </xf>
    <xf numFmtId="0" fontId="5" fillId="31" borderId="27" xfId="1" applyFont="1" applyFill="1" applyBorder="1" applyAlignment="1" applyProtection="1">
      <alignment horizontal="center" vertical="top" wrapText="1"/>
      <protection locked="0"/>
    </xf>
    <xf numFmtId="0" fontId="5" fillId="31" borderId="23" xfId="1" applyFont="1" applyFill="1" applyBorder="1" applyAlignment="1" applyProtection="1">
      <alignment horizontal="center" vertical="top" wrapText="1"/>
      <protection locked="0"/>
    </xf>
    <xf numFmtId="0" fontId="5" fillId="30" borderId="81" xfId="1" applyFont="1" applyFill="1" applyBorder="1" applyAlignment="1" applyProtection="1">
      <alignment horizontal="center" vertical="top" wrapText="1"/>
      <protection locked="0"/>
    </xf>
    <xf numFmtId="0" fontId="5" fillId="30" borderId="82" xfId="1" applyFont="1" applyFill="1" applyBorder="1" applyAlignment="1" applyProtection="1">
      <alignment horizontal="center" vertical="top" wrapText="1"/>
      <protection locked="0"/>
    </xf>
    <xf numFmtId="0" fontId="5" fillId="30" borderId="84" xfId="1" applyFont="1" applyFill="1" applyBorder="1" applyAlignment="1" applyProtection="1">
      <alignment horizontal="center" vertical="top" wrapText="1"/>
      <protection locked="0"/>
    </xf>
    <xf numFmtId="0" fontId="5" fillId="30" borderId="165" xfId="1" applyFont="1" applyFill="1" applyBorder="1" applyAlignment="1" applyProtection="1">
      <alignment horizontal="center" vertical="top" wrapText="1"/>
      <protection locked="0"/>
    </xf>
    <xf numFmtId="0" fontId="5" fillId="31" borderId="30" xfId="1" applyFont="1" applyFill="1" applyBorder="1" applyAlignment="1" applyProtection="1">
      <alignment horizontal="center" vertical="top" wrapText="1"/>
      <protection locked="0"/>
    </xf>
    <xf numFmtId="0" fontId="5" fillId="31" borderId="83" xfId="1" applyFont="1" applyFill="1" applyBorder="1" applyAlignment="1" applyProtection="1">
      <alignment horizontal="center" vertical="top" wrapText="1"/>
      <protection locked="0"/>
    </xf>
    <xf numFmtId="0" fontId="5" fillId="31" borderId="237" xfId="1" applyFont="1" applyFill="1" applyBorder="1" applyAlignment="1" applyProtection="1">
      <alignment horizontal="center" vertical="top" wrapText="1"/>
      <protection locked="0"/>
    </xf>
    <xf numFmtId="0" fontId="2" fillId="34" borderId="27" xfId="0" applyFont="1" applyFill="1" applyBorder="1" applyAlignment="1">
      <alignment horizontal="center" wrapText="1"/>
    </xf>
    <xf numFmtId="0" fontId="2" fillId="34" borderId="23" xfId="0" applyFont="1" applyFill="1" applyBorder="1" applyAlignment="1">
      <alignment horizontal="center" wrapText="1"/>
    </xf>
    <xf numFmtId="0" fontId="2" fillId="34" borderId="26" xfId="0" applyFont="1" applyFill="1" applyBorder="1" applyAlignment="1">
      <alignment horizontal="center" wrapText="1"/>
    </xf>
    <xf numFmtId="164" fontId="5" fillId="0" borderId="27" xfId="38" applyNumberFormat="1" applyFont="1" applyBorder="1" applyAlignment="1" applyProtection="1">
      <alignment horizontal="center" vertical="center" wrapText="1"/>
      <protection locked="0"/>
    </xf>
    <xf numFmtId="164" fontId="5" fillId="0" borderId="23" xfId="38" applyNumberFormat="1" applyFont="1" applyBorder="1" applyAlignment="1" applyProtection="1">
      <alignment horizontal="center" vertical="center" wrapText="1"/>
      <protection locked="0"/>
    </xf>
    <xf numFmtId="164" fontId="5" fillId="0" borderId="26" xfId="38" applyNumberFormat="1" applyFont="1" applyBorder="1" applyAlignment="1" applyProtection="1">
      <alignment horizontal="center" vertical="center" wrapText="1"/>
      <protection locked="0"/>
    </xf>
    <xf numFmtId="0" fontId="58" fillId="29" borderId="0" xfId="0" applyFont="1" applyFill="1" applyAlignment="1">
      <alignment horizontal="center" vertical="center"/>
    </xf>
    <xf numFmtId="164" fontId="5" fillId="34" borderId="87" xfId="91" applyNumberFormat="1" applyFont="1" applyFill="1" applyBorder="1" applyAlignment="1">
      <alignment horizontal="center" vertical="top" wrapText="1"/>
    </xf>
    <xf numFmtId="164" fontId="5" fillId="34" borderId="88" xfId="91" applyNumberFormat="1" applyFont="1" applyFill="1" applyBorder="1" applyAlignment="1">
      <alignment horizontal="center" vertical="top" wrapText="1"/>
    </xf>
    <xf numFmtId="0" fontId="5" fillId="0" borderId="27" xfId="91" applyFont="1" applyBorder="1" applyAlignment="1" applyProtection="1">
      <alignment horizontal="center" vertical="center" wrapText="1"/>
      <protection locked="0"/>
    </xf>
    <xf numFmtId="0" fontId="5" fillId="0" borderId="26" xfId="91" applyFont="1" applyBorder="1" applyAlignment="1" applyProtection="1">
      <alignment horizontal="center" vertical="center" wrapText="1"/>
      <protection locked="0"/>
    </xf>
    <xf numFmtId="0" fontId="80" fillId="0" borderId="230" xfId="0" applyFont="1" applyBorder="1" applyAlignment="1">
      <alignment horizontal="left" vertical="center" wrapText="1"/>
    </xf>
    <xf numFmtId="0" fontId="80" fillId="0" borderId="241" xfId="0" applyFont="1" applyBorder="1" applyAlignment="1">
      <alignment horizontal="left" vertical="center" wrapText="1"/>
    </xf>
    <xf numFmtId="0" fontId="80" fillId="0" borderId="231" xfId="0" applyFont="1" applyBorder="1" applyAlignment="1">
      <alignment horizontal="left" vertical="center" wrapText="1"/>
    </xf>
    <xf numFmtId="0" fontId="80" fillId="0" borderId="232" xfId="0" applyFont="1" applyBorder="1" applyAlignment="1">
      <alignment horizontal="left" vertical="center" wrapText="1"/>
    </xf>
    <xf numFmtId="0" fontId="5" fillId="57" borderId="239" xfId="96" applyFont="1" applyFill="1" applyBorder="1" applyAlignment="1">
      <alignment horizontal="center" vertical="center" wrapText="1"/>
    </xf>
    <xf numFmtId="0" fontId="5" fillId="57" borderId="240" xfId="96" applyFont="1" applyFill="1" applyBorder="1" applyAlignment="1">
      <alignment horizontal="center" vertical="center" wrapText="1"/>
    </xf>
    <xf numFmtId="0" fontId="0" fillId="0" borderId="112" xfId="0" applyBorder="1" applyAlignment="1">
      <alignment horizontal="left" vertical="center"/>
    </xf>
    <xf numFmtId="0" fontId="0" fillId="0" borderId="114" xfId="0" applyBorder="1" applyAlignment="1">
      <alignment horizontal="left" vertical="center"/>
    </xf>
    <xf numFmtId="0" fontId="2" fillId="0" borderId="27" xfId="0" applyFont="1" applyBorder="1" applyAlignment="1">
      <alignment horizontal="center" vertical="center"/>
    </xf>
    <xf numFmtId="0" fontId="2" fillId="0" borderId="23" xfId="0" applyFont="1" applyBorder="1" applyAlignment="1">
      <alignment horizontal="center" vertical="center"/>
    </xf>
    <xf numFmtId="0" fontId="2" fillId="0" borderId="26" xfId="0" applyFont="1" applyBorder="1" applyAlignment="1">
      <alignment horizontal="center" vertical="center"/>
    </xf>
    <xf numFmtId="0" fontId="2" fillId="42" borderId="230" xfId="0" applyFont="1" applyFill="1" applyBorder="1" applyAlignment="1">
      <alignment horizontal="center"/>
    </xf>
    <xf numFmtId="0" fontId="2" fillId="42" borderId="231" xfId="0" applyFont="1" applyFill="1" applyBorder="1" applyAlignment="1">
      <alignment horizontal="center"/>
    </xf>
    <xf numFmtId="0" fontId="2" fillId="42" borderId="232" xfId="0" applyFont="1" applyFill="1" applyBorder="1" applyAlignment="1">
      <alignment horizontal="center"/>
    </xf>
    <xf numFmtId="0" fontId="2" fillId="30" borderId="27" xfId="0" applyFont="1" applyFill="1" applyBorder="1" applyAlignment="1">
      <alignment horizontal="center"/>
    </xf>
    <xf numFmtId="0" fontId="2" fillId="30" borderId="23" xfId="0" applyFont="1" applyFill="1" applyBorder="1" applyAlignment="1">
      <alignment horizontal="center"/>
    </xf>
    <xf numFmtId="0" fontId="2" fillId="30" borderId="26" xfId="0" applyFont="1" applyFill="1" applyBorder="1" applyAlignment="1">
      <alignment horizontal="center"/>
    </xf>
    <xf numFmtId="0" fontId="33" fillId="0" borderId="38" xfId="1" applyFont="1" applyBorder="1" applyAlignment="1">
      <alignment horizontal="center" vertical="center" wrapText="1"/>
    </xf>
    <xf numFmtId="0" fontId="5" fillId="0" borderId="27" xfId="38" applyFont="1" applyBorder="1" applyAlignment="1" applyProtection="1">
      <alignment horizontal="center" wrapText="1"/>
      <protection locked="0"/>
    </xf>
    <xf numFmtId="0" fontId="5" fillId="0" borderId="26" xfId="38" applyFont="1" applyBorder="1" applyAlignment="1" applyProtection="1">
      <alignment horizontal="center" wrapText="1"/>
      <protection locked="0"/>
    </xf>
    <xf numFmtId="164" fontId="5" fillId="42" borderId="87" xfId="38" applyNumberFormat="1" applyFont="1" applyFill="1" applyBorder="1" applyAlignment="1">
      <alignment horizontal="center" vertical="top" wrapText="1"/>
    </xf>
    <xf numFmtId="164" fontId="5" fillId="42" borderId="88" xfId="38" applyNumberFormat="1" applyFont="1" applyFill="1" applyBorder="1" applyAlignment="1">
      <alignment horizontal="center" vertical="top" wrapText="1"/>
    </xf>
    <xf numFmtId="0" fontId="39" fillId="24" borderId="105" xfId="94" applyFont="1" applyFill="1" applyBorder="1" applyAlignment="1">
      <alignment horizontal="left"/>
    </xf>
    <xf numFmtId="0" fontId="39" fillId="24" borderId="103" xfId="94" applyFont="1" applyFill="1" applyBorder="1" applyAlignment="1">
      <alignment horizontal="left"/>
    </xf>
    <xf numFmtId="0" fontId="39" fillId="24" borderId="106" xfId="94" applyFont="1" applyFill="1" applyBorder="1" applyAlignment="1">
      <alignment horizontal="left"/>
    </xf>
    <xf numFmtId="0" fontId="5" fillId="24" borderId="0" xfId="94" applyFont="1" applyFill="1" applyAlignment="1">
      <alignment horizontal="left"/>
    </xf>
    <xf numFmtId="0" fontId="5" fillId="40" borderId="105" xfId="94" applyFont="1" applyFill="1" applyBorder="1" applyAlignment="1">
      <alignment horizontal="left" vertical="center"/>
    </xf>
    <xf numFmtId="0" fontId="5" fillId="40" borderId="103" xfId="94" applyFont="1" applyFill="1" applyBorder="1" applyAlignment="1">
      <alignment horizontal="left" vertical="center"/>
    </xf>
    <xf numFmtId="0" fontId="5" fillId="40" borderId="106" xfId="94" applyFont="1" applyFill="1" applyBorder="1" applyAlignment="1">
      <alignment horizontal="left" vertical="center"/>
    </xf>
    <xf numFmtId="0" fontId="0" fillId="0" borderId="105" xfId="0" applyBorder="1" applyAlignment="1">
      <alignment horizontal="center"/>
    </xf>
    <xf numFmtId="0" fontId="0" fillId="0" borderId="106" xfId="0" applyBorder="1" applyAlignment="1">
      <alignment horizontal="center"/>
    </xf>
    <xf numFmtId="0" fontId="0" fillId="0" borderId="123" xfId="0" applyBorder="1" applyAlignment="1">
      <alignment horizontal="center"/>
    </xf>
    <xf numFmtId="0" fontId="0" fillId="0" borderId="104" xfId="0" applyBorder="1" applyAlignment="1">
      <alignment horizontal="center"/>
    </xf>
    <xf numFmtId="0" fontId="0" fillId="0" borderId="124" xfId="0" applyBorder="1" applyAlignment="1">
      <alignment horizontal="center"/>
    </xf>
    <xf numFmtId="0" fontId="0" fillId="0" borderId="166" xfId="0" applyBorder="1" applyAlignment="1">
      <alignment horizontal="center"/>
    </xf>
    <xf numFmtId="0" fontId="0" fillId="0" borderId="0" xfId="0" applyAlignment="1">
      <alignment horizontal="center"/>
    </xf>
    <xf numFmtId="0" fontId="0" fillId="0" borderId="167" xfId="0" applyBorder="1" applyAlignment="1">
      <alignment horizontal="center"/>
    </xf>
    <xf numFmtId="0" fontId="0" fillId="0" borderId="125" xfId="0" applyBorder="1" applyAlignment="1">
      <alignment horizontal="center"/>
    </xf>
    <xf numFmtId="0" fontId="0" fillId="0" borderId="126" xfId="0" applyBorder="1" applyAlignment="1">
      <alignment horizontal="center"/>
    </xf>
    <xf numFmtId="0" fontId="0" fillId="0" borderId="127" xfId="0" applyBorder="1" applyAlignment="1">
      <alignment horizontal="center"/>
    </xf>
    <xf numFmtId="0" fontId="5" fillId="29" borderId="44" xfId="94" applyFont="1" applyFill="1" applyBorder="1" applyAlignment="1">
      <alignment horizontal="left"/>
    </xf>
    <xf numFmtId="165" fontId="3" fillId="24" borderId="105" xfId="94" applyNumberFormat="1" applyFill="1" applyBorder="1" applyAlignment="1" applyProtection="1">
      <alignment horizontal="center" vertical="center"/>
      <protection locked="0"/>
    </xf>
    <xf numFmtId="165" fontId="3" fillId="24" borderId="106" xfId="94" applyNumberFormat="1" applyFill="1" applyBorder="1" applyAlignment="1" applyProtection="1">
      <alignment horizontal="center" vertical="center"/>
      <protection locked="0"/>
    </xf>
    <xf numFmtId="0" fontId="2" fillId="31" borderId="30" xfId="0" applyFont="1" applyFill="1" applyBorder="1" applyAlignment="1">
      <alignment horizontal="center"/>
    </xf>
    <xf numFmtId="0" fontId="2" fillId="31" borderId="83" xfId="0" applyFont="1" applyFill="1" applyBorder="1" applyAlignment="1">
      <alignment horizontal="center"/>
    </xf>
    <xf numFmtId="0" fontId="2" fillId="31" borderId="0" xfId="0" applyFont="1" applyFill="1" applyAlignment="1">
      <alignment horizontal="center"/>
    </xf>
    <xf numFmtId="0" fontId="2" fillId="0" borderId="0" xfId="0" applyFont="1" applyAlignment="1">
      <alignment horizontal="center"/>
    </xf>
    <xf numFmtId="0" fontId="2" fillId="30" borderId="27" xfId="0" applyFont="1" applyFill="1" applyBorder="1" applyAlignment="1">
      <alignment horizontal="center" wrapText="1"/>
    </xf>
    <xf numFmtId="0" fontId="2" fillId="30" borderId="23" xfId="0" applyFont="1" applyFill="1" applyBorder="1" applyAlignment="1">
      <alignment horizontal="center" wrapText="1"/>
    </xf>
    <xf numFmtId="0" fontId="2" fillId="30" borderId="26" xfId="0" applyFont="1" applyFill="1" applyBorder="1" applyAlignment="1">
      <alignment horizontal="center" wrapText="1"/>
    </xf>
    <xf numFmtId="0" fontId="2" fillId="31" borderId="27" xfId="0" applyFont="1" applyFill="1" applyBorder="1" applyAlignment="1">
      <alignment horizontal="center"/>
    </xf>
    <xf numFmtId="0" fontId="2" fillId="31" borderId="23" xfId="0" applyFont="1" applyFill="1" applyBorder="1" applyAlignment="1">
      <alignment horizontal="center"/>
    </xf>
    <xf numFmtId="0" fontId="2" fillId="31" borderId="26" xfId="0" applyFont="1" applyFill="1" applyBorder="1" applyAlignment="1">
      <alignment horizontal="center"/>
    </xf>
    <xf numFmtId="0" fontId="48" fillId="0" borderId="105" xfId="0" applyFont="1" applyBorder="1" applyAlignment="1" applyProtection="1">
      <alignment horizontal="left" vertical="top" wrapText="1"/>
      <protection locked="0"/>
    </xf>
    <xf numFmtId="0" fontId="48" fillId="0" borderId="106" xfId="0" applyFont="1" applyBorder="1" applyAlignment="1" applyProtection="1">
      <alignment horizontal="left" vertical="top" wrapText="1"/>
      <protection locked="0"/>
    </xf>
    <xf numFmtId="0" fontId="48" fillId="0" borderId="113" xfId="0" applyFont="1" applyBorder="1" applyAlignment="1" applyProtection="1">
      <alignment horizontal="left" vertical="top" wrapText="1"/>
      <protection locked="0"/>
    </xf>
    <xf numFmtId="0" fontId="48" fillId="0" borderId="111" xfId="0" applyFont="1" applyBorder="1" applyAlignment="1" applyProtection="1">
      <alignment horizontal="left" vertical="top" wrapText="1"/>
      <protection locked="0"/>
    </xf>
    <xf numFmtId="0" fontId="48" fillId="0" borderId="108" xfId="0" applyFont="1" applyBorder="1" applyAlignment="1" applyProtection="1">
      <alignment horizontal="left" vertical="top" wrapText="1"/>
      <protection locked="0"/>
    </xf>
    <xf numFmtId="0" fontId="46" fillId="27" borderId="105" xfId="0" applyFont="1" applyFill="1" applyBorder="1" applyAlignment="1" applyProtection="1">
      <alignment horizontal="left"/>
      <protection locked="0"/>
    </xf>
    <xf numFmtId="0" fontId="46" fillId="27" borderId="106" xfId="0" applyFont="1" applyFill="1" applyBorder="1" applyAlignment="1" applyProtection="1">
      <alignment horizontal="left"/>
      <protection locked="0"/>
    </xf>
    <xf numFmtId="0" fontId="48" fillId="0" borderId="105" xfId="0" applyFont="1" applyBorder="1" applyAlignment="1" applyProtection="1">
      <alignment horizontal="center" vertical="top" wrapText="1"/>
      <protection locked="0"/>
    </xf>
    <xf numFmtId="0" fontId="48" fillId="0" borderId="108" xfId="0" applyFont="1" applyBorder="1" applyAlignment="1" applyProtection="1">
      <alignment horizontal="center" vertical="top" wrapText="1"/>
      <protection locked="0"/>
    </xf>
    <xf numFmtId="0" fontId="0" fillId="24" borderId="89" xfId="0" applyFill="1" applyBorder="1" applyAlignment="1" applyProtection="1">
      <alignment horizontal="center"/>
      <protection locked="0"/>
    </xf>
    <xf numFmtId="0" fontId="5" fillId="29" borderId="89" xfId="0" applyFont="1" applyFill="1" applyBorder="1" applyAlignment="1" applyProtection="1">
      <alignment horizontal="center"/>
      <protection locked="0"/>
    </xf>
    <xf numFmtId="0" fontId="48" fillId="0" borderId="89" xfId="0" applyFont="1" applyBorder="1" applyAlignment="1" applyProtection="1">
      <alignment horizontal="left" vertical="top" wrapText="1"/>
      <protection locked="0"/>
    </xf>
    <xf numFmtId="0" fontId="49" fillId="0" borderId="89" xfId="0" applyFont="1" applyBorder="1" applyAlignment="1" applyProtection="1">
      <alignment horizontal="left" vertical="top" wrapText="1"/>
      <protection locked="0"/>
    </xf>
    <xf numFmtId="0" fontId="48" fillId="24" borderId="141" xfId="0" applyFont="1" applyFill="1" applyBorder="1" applyAlignment="1">
      <alignment horizontal="left" vertical="top" wrapText="1"/>
    </xf>
    <xf numFmtId="0" fontId="40" fillId="24" borderId="141" xfId="0" applyFont="1" applyFill="1" applyBorder="1" applyAlignment="1">
      <alignment horizontal="left" vertical="top" wrapText="1"/>
    </xf>
    <xf numFmtId="0" fontId="41" fillId="24" borderId="129" xfId="0" applyFont="1" applyFill="1" applyBorder="1" applyAlignment="1">
      <alignment horizontal="left" vertical="top" wrapText="1"/>
    </xf>
    <xf numFmtId="0" fontId="3" fillId="24" borderId="105" xfId="0" applyFont="1" applyFill="1" applyBorder="1" applyAlignment="1" applyProtection="1">
      <alignment horizontal="left" vertical="top"/>
      <protection locked="0"/>
    </xf>
    <xf numFmtId="0" fontId="3" fillId="24" borderId="106" xfId="0" applyFont="1" applyFill="1" applyBorder="1" applyAlignment="1" applyProtection="1">
      <alignment horizontal="left" vertical="top"/>
      <protection locked="0"/>
    </xf>
    <xf numFmtId="0" fontId="45" fillId="24" borderId="105" xfId="0" applyFont="1" applyFill="1" applyBorder="1" applyAlignment="1" applyProtection="1">
      <alignment horizontal="center"/>
      <protection locked="0"/>
    </xf>
    <xf numFmtId="0" fontId="45" fillId="24" borderId="106" xfId="0" applyFont="1" applyFill="1" applyBorder="1" applyAlignment="1" applyProtection="1">
      <alignment horizontal="center"/>
      <protection locked="0"/>
    </xf>
    <xf numFmtId="11" fontId="3" fillId="24" borderId="123" xfId="0" applyNumberFormat="1" applyFont="1" applyFill="1" applyBorder="1" applyAlignment="1" applyProtection="1">
      <alignment vertical="top" wrapText="1"/>
      <protection locked="0"/>
    </xf>
    <xf numFmtId="11" fontId="3" fillId="24" borderId="104" xfId="0" applyNumberFormat="1" applyFont="1" applyFill="1" applyBorder="1" applyAlignment="1" applyProtection="1">
      <alignment vertical="top" wrapText="1"/>
      <protection locked="0"/>
    </xf>
    <xf numFmtId="11" fontId="3" fillId="24" borderId="124" xfId="0" applyNumberFormat="1" applyFont="1" applyFill="1" applyBorder="1" applyAlignment="1" applyProtection="1">
      <alignment vertical="top" wrapText="1"/>
      <protection locked="0"/>
    </xf>
    <xf numFmtId="11" fontId="3" fillId="24" borderId="125" xfId="0" applyNumberFormat="1" applyFont="1" applyFill="1" applyBorder="1" applyAlignment="1" applyProtection="1">
      <alignment vertical="top" wrapText="1"/>
      <protection locked="0"/>
    </xf>
    <xf numFmtId="11" fontId="3" fillId="24" borderId="126" xfId="0" applyNumberFormat="1" applyFont="1" applyFill="1" applyBorder="1" applyAlignment="1" applyProtection="1">
      <alignment vertical="top" wrapText="1"/>
      <protection locked="0"/>
    </xf>
    <xf numFmtId="11" fontId="3" fillId="24" borderId="127" xfId="0" applyNumberFormat="1" applyFont="1" applyFill="1" applyBorder="1" applyAlignment="1" applyProtection="1">
      <alignment vertical="top" wrapText="1"/>
      <protection locked="0"/>
    </xf>
    <xf numFmtId="0" fontId="5" fillId="39" borderId="27" xfId="0" applyFont="1" applyFill="1" applyBorder="1" applyAlignment="1" applyProtection="1">
      <alignment horizontal="left" vertical="center"/>
      <protection locked="0"/>
    </xf>
    <xf numFmtId="0" fontId="0" fillId="39" borderId="23" xfId="0" applyFill="1" applyBorder="1" applyAlignment="1" applyProtection="1">
      <alignment horizontal="left" vertical="center"/>
      <protection locked="0"/>
    </xf>
    <xf numFmtId="0" fontId="0" fillId="39" borderId="26" xfId="0" applyFill="1" applyBorder="1" applyAlignment="1" applyProtection="1">
      <alignment horizontal="left" vertical="center"/>
      <protection locked="0"/>
    </xf>
    <xf numFmtId="0" fontId="46" fillId="27" borderId="108" xfId="0" applyFont="1" applyFill="1" applyBorder="1" applyAlignment="1" applyProtection="1">
      <alignment horizontal="left"/>
      <protection locked="0"/>
    </xf>
    <xf numFmtId="0" fontId="3" fillId="24" borderId="105" xfId="94" applyFill="1" applyBorder="1" applyAlignment="1" applyProtection="1">
      <protection locked="0"/>
    </xf>
    <xf numFmtId="0" fontId="3" fillId="24" borderId="106" xfId="94" applyFill="1" applyBorder="1" applyAlignment="1" applyProtection="1">
      <protection locked="0"/>
    </xf>
  </cellXfs>
  <cellStyles count="104">
    <cellStyle name="20% - Accent1 2" xfId="47" xr:uid="{00000000-0005-0000-0000-000000000000}"/>
    <cellStyle name="20% - Accent1 3" xfId="2" xr:uid="{00000000-0005-0000-0000-000001000000}"/>
    <cellStyle name="20% - Accent2 2" xfId="48" xr:uid="{00000000-0005-0000-0000-000002000000}"/>
    <cellStyle name="20% - Accent2 3" xfId="3" xr:uid="{00000000-0005-0000-0000-000003000000}"/>
    <cellStyle name="20% - Accent3 2" xfId="49" xr:uid="{00000000-0005-0000-0000-000004000000}"/>
    <cellStyle name="20% - Accent3 3" xfId="4" xr:uid="{00000000-0005-0000-0000-000005000000}"/>
    <cellStyle name="20% - Accent4 2" xfId="50" xr:uid="{00000000-0005-0000-0000-000006000000}"/>
    <cellStyle name="20% - Accent4 3" xfId="5" xr:uid="{00000000-0005-0000-0000-000007000000}"/>
    <cellStyle name="20% - Accent5 2" xfId="51" xr:uid="{00000000-0005-0000-0000-000008000000}"/>
    <cellStyle name="20% - Accent5 3" xfId="6" xr:uid="{00000000-0005-0000-0000-000009000000}"/>
    <cellStyle name="20% - Accent6 2" xfId="52" xr:uid="{00000000-0005-0000-0000-00000A000000}"/>
    <cellStyle name="20% - Accent6 3" xfId="7" xr:uid="{00000000-0005-0000-0000-00000B000000}"/>
    <cellStyle name="40% - Accent1 2" xfId="53" xr:uid="{00000000-0005-0000-0000-00000C000000}"/>
    <cellStyle name="40% - Accent1 3" xfId="8" xr:uid="{00000000-0005-0000-0000-00000D000000}"/>
    <cellStyle name="40% - Accent2 2" xfId="54" xr:uid="{00000000-0005-0000-0000-00000E000000}"/>
    <cellStyle name="40% - Accent2 3" xfId="9" xr:uid="{00000000-0005-0000-0000-00000F000000}"/>
    <cellStyle name="40% - Accent3 2" xfId="55" xr:uid="{00000000-0005-0000-0000-000010000000}"/>
    <cellStyle name="40% - Accent3 3" xfId="10" xr:uid="{00000000-0005-0000-0000-000011000000}"/>
    <cellStyle name="40% - Accent4 2" xfId="56" xr:uid="{00000000-0005-0000-0000-000012000000}"/>
    <cellStyle name="40% - Accent4 3" xfId="11" xr:uid="{00000000-0005-0000-0000-000013000000}"/>
    <cellStyle name="40% - Accent5 2" xfId="57" xr:uid="{00000000-0005-0000-0000-000014000000}"/>
    <cellStyle name="40% - Accent5 3" xfId="12" xr:uid="{00000000-0005-0000-0000-000015000000}"/>
    <cellStyle name="40% - Accent6 2" xfId="58" xr:uid="{00000000-0005-0000-0000-000016000000}"/>
    <cellStyle name="40% - Accent6 3" xfId="13" xr:uid="{00000000-0005-0000-0000-000017000000}"/>
    <cellStyle name="60% - Accent1 2" xfId="59" xr:uid="{00000000-0005-0000-0000-000018000000}"/>
    <cellStyle name="60% - Accent1 3" xfId="14" xr:uid="{00000000-0005-0000-0000-000019000000}"/>
    <cellStyle name="60% - Accent2 2" xfId="60" xr:uid="{00000000-0005-0000-0000-00001A000000}"/>
    <cellStyle name="60% - Accent2 3" xfId="15" xr:uid="{00000000-0005-0000-0000-00001B000000}"/>
    <cellStyle name="60% - Accent3 2" xfId="61" xr:uid="{00000000-0005-0000-0000-00001C000000}"/>
    <cellStyle name="60% - Accent3 3" xfId="16" xr:uid="{00000000-0005-0000-0000-00001D000000}"/>
    <cellStyle name="60% - Accent4 2" xfId="62" xr:uid="{00000000-0005-0000-0000-00001E000000}"/>
    <cellStyle name="60% - Accent4 3" xfId="17" xr:uid="{00000000-0005-0000-0000-00001F000000}"/>
    <cellStyle name="60% - Accent5 2" xfId="63" xr:uid="{00000000-0005-0000-0000-000020000000}"/>
    <cellStyle name="60% - Accent5 3" xfId="18" xr:uid="{00000000-0005-0000-0000-000021000000}"/>
    <cellStyle name="60% - Accent6 2" xfId="64" xr:uid="{00000000-0005-0000-0000-000022000000}"/>
    <cellStyle name="60% - Accent6 3" xfId="19" xr:uid="{00000000-0005-0000-0000-000023000000}"/>
    <cellStyle name="Accent1 2" xfId="65" xr:uid="{00000000-0005-0000-0000-000024000000}"/>
    <cellStyle name="Accent1 3" xfId="20" xr:uid="{00000000-0005-0000-0000-000025000000}"/>
    <cellStyle name="Accent2 2" xfId="66" xr:uid="{00000000-0005-0000-0000-000026000000}"/>
    <cellStyle name="Accent2 3" xfId="21" xr:uid="{00000000-0005-0000-0000-000027000000}"/>
    <cellStyle name="Accent3 2" xfId="67" xr:uid="{00000000-0005-0000-0000-000028000000}"/>
    <cellStyle name="Accent3 3" xfId="22" xr:uid="{00000000-0005-0000-0000-000029000000}"/>
    <cellStyle name="Accent4 2" xfId="68" xr:uid="{00000000-0005-0000-0000-00002A000000}"/>
    <cellStyle name="Accent4 3" xfId="23" xr:uid="{00000000-0005-0000-0000-00002B000000}"/>
    <cellStyle name="Accent5 2" xfId="69" xr:uid="{00000000-0005-0000-0000-00002C000000}"/>
    <cellStyle name="Accent5 3" xfId="24" xr:uid="{00000000-0005-0000-0000-00002D000000}"/>
    <cellStyle name="Accent6 2" xfId="70" xr:uid="{00000000-0005-0000-0000-00002E000000}"/>
    <cellStyle name="Accent6 3" xfId="25" xr:uid="{00000000-0005-0000-0000-00002F000000}"/>
    <cellStyle name="Bad 2" xfId="71" xr:uid="{00000000-0005-0000-0000-000030000000}"/>
    <cellStyle name="Bad 3" xfId="26" xr:uid="{00000000-0005-0000-0000-000031000000}"/>
    <cellStyle name="Calculation 2" xfId="72" xr:uid="{00000000-0005-0000-0000-000032000000}"/>
    <cellStyle name="Calculation 3" xfId="27" xr:uid="{00000000-0005-0000-0000-000033000000}"/>
    <cellStyle name="Check Cell 2" xfId="73" xr:uid="{00000000-0005-0000-0000-000034000000}"/>
    <cellStyle name="Check Cell 3" xfId="28" xr:uid="{00000000-0005-0000-0000-000035000000}"/>
    <cellStyle name="Explanatory Text 2" xfId="74" xr:uid="{00000000-0005-0000-0000-000036000000}"/>
    <cellStyle name="Explanatory Text 3" xfId="29" xr:uid="{00000000-0005-0000-0000-000037000000}"/>
    <cellStyle name="Good 2" xfId="75" xr:uid="{00000000-0005-0000-0000-000038000000}"/>
    <cellStyle name="Good 3" xfId="30" xr:uid="{00000000-0005-0000-0000-000039000000}"/>
    <cellStyle name="Heading 1 2" xfId="76" xr:uid="{00000000-0005-0000-0000-00003A000000}"/>
    <cellStyle name="Heading 1 3" xfId="31" xr:uid="{00000000-0005-0000-0000-00003B000000}"/>
    <cellStyle name="Heading 2 2" xfId="77" xr:uid="{00000000-0005-0000-0000-00003C000000}"/>
    <cellStyle name="Heading 2 3" xfId="32" xr:uid="{00000000-0005-0000-0000-00003D000000}"/>
    <cellStyle name="Heading 3 2" xfId="78" xr:uid="{00000000-0005-0000-0000-00003E000000}"/>
    <cellStyle name="Heading 3 3" xfId="33" xr:uid="{00000000-0005-0000-0000-00003F000000}"/>
    <cellStyle name="Heading 4 2" xfId="79" xr:uid="{00000000-0005-0000-0000-000040000000}"/>
    <cellStyle name="Heading 4 3" xfId="34" xr:uid="{00000000-0005-0000-0000-000041000000}"/>
    <cellStyle name="Hyperlink" xfId="102" builtinId="8"/>
    <cellStyle name="Hyperlink 2" xfId="100" xr:uid="{00000000-0005-0000-0000-000043000000}"/>
    <cellStyle name="Hyperlink 3" xfId="103" xr:uid="{00000000-0005-0000-0000-000044000000}"/>
    <cellStyle name="Input 2" xfId="80" xr:uid="{00000000-0005-0000-0000-000045000000}"/>
    <cellStyle name="Input 3" xfId="35" xr:uid="{00000000-0005-0000-0000-000046000000}"/>
    <cellStyle name="Linked Cell 2" xfId="81" xr:uid="{00000000-0005-0000-0000-000047000000}"/>
    <cellStyle name="Linked Cell 3" xfId="36" xr:uid="{00000000-0005-0000-0000-000048000000}"/>
    <cellStyle name="Neutral 2" xfId="82" xr:uid="{00000000-0005-0000-0000-000049000000}"/>
    <cellStyle name="Neutral 3" xfId="37" xr:uid="{00000000-0005-0000-0000-00004A000000}"/>
    <cellStyle name="Normal" xfId="0" builtinId="0"/>
    <cellStyle name="Normal 2" xfId="44" xr:uid="{00000000-0005-0000-0000-00004C000000}"/>
    <cellStyle name="Normal 2 2" xfId="88" xr:uid="{00000000-0005-0000-0000-00004D000000}"/>
    <cellStyle name="Normal 2 2 2" xfId="96" xr:uid="{00000000-0005-0000-0000-00004E000000}"/>
    <cellStyle name="Normal 2 3" xfId="93" xr:uid="{00000000-0005-0000-0000-00004F000000}"/>
    <cellStyle name="Normal 3" xfId="46" xr:uid="{00000000-0005-0000-0000-000050000000}"/>
    <cellStyle name="Normal 3 2" xfId="94" xr:uid="{00000000-0005-0000-0000-000051000000}"/>
    <cellStyle name="Normal 4" xfId="45" xr:uid="{00000000-0005-0000-0000-000052000000}"/>
    <cellStyle name="Normal 4 2" xfId="97" xr:uid="{00000000-0005-0000-0000-000053000000}"/>
    <cellStyle name="Normal 5" xfId="1" xr:uid="{00000000-0005-0000-0000-000054000000}"/>
    <cellStyle name="Normal 5 2" xfId="98" xr:uid="{00000000-0005-0000-0000-000055000000}"/>
    <cellStyle name="Normal 6" xfId="89" xr:uid="{00000000-0005-0000-0000-000056000000}"/>
    <cellStyle name="Normal 7" xfId="90" xr:uid="{00000000-0005-0000-0000-000057000000}"/>
    <cellStyle name="Normal 7 2" xfId="101" xr:uid="{00000000-0005-0000-0000-000058000000}"/>
    <cellStyle name="Normal_SHEET" xfId="38" xr:uid="{00000000-0005-0000-0000-000059000000}"/>
    <cellStyle name="Normal_SHEET 2" xfId="91" xr:uid="{00000000-0005-0000-0000-00005A000000}"/>
    <cellStyle name="Note 2" xfId="83" xr:uid="{00000000-0005-0000-0000-00005B000000}"/>
    <cellStyle name="Note 2 2" xfId="95" xr:uid="{00000000-0005-0000-0000-00005C000000}"/>
    <cellStyle name="Note 3" xfId="39" xr:uid="{00000000-0005-0000-0000-00005D000000}"/>
    <cellStyle name="Note 3 2" xfId="99" xr:uid="{00000000-0005-0000-0000-00005E000000}"/>
    <cellStyle name="Note 4" xfId="92" xr:uid="{00000000-0005-0000-0000-00005F000000}"/>
    <cellStyle name="Output 2" xfId="84" xr:uid="{00000000-0005-0000-0000-000060000000}"/>
    <cellStyle name="Output 3" xfId="40" xr:uid="{00000000-0005-0000-0000-000061000000}"/>
    <cellStyle name="Title 2" xfId="85" xr:uid="{00000000-0005-0000-0000-000062000000}"/>
    <cellStyle name="Title 3" xfId="41" xr:uid="{00000000-0005-0000-0000-000063000000}"/>
    <cellStyle name="Total 2" xfId="86" xr:uid="{00000000-0005-0000-0000-000064000000}"/>
    <cellStyle name="Total 3" xfId="42" xr:uid="{00000000-0005-0000-0000-000065000000}"/>
    <cellStyle name="Warning Text 2" xfId="87" xr:uid="{00000000-0005-0000-0000-000066000000}"/>
    <cellStyle name="Warning Text 3" xfId="43" xr:uid="{00000000-0005-0000-0000-000067000000}"/>
  </cellStyles>
  <dxfs count="29">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lor theme="0"/>
      </font>
    </dxf>
    <dxf>
      <fill>
        <patternFill>
          <bgColor rgb="FF00B050"/>
        </patternFill>
      </fill>
    </dxf>
    <dxf>
      <fill>
        <patternFill>
          <bgColor rgb="FF00B050"/>
        </patternFill>
      </fill>
    </dxf>
    <dxf>
      <font>
        <color theme="0"/>
      </font>
    </dxf>
    <dxf>
      <fill>
        <patternFill>
          <bgColor rgb="FF00B050"/>
        </patternFill>
      </fill>
    </dxf>
    <dxf>
      <fill>
        <patternFill>
          <bgColor rgb="FF00B050"/>
        </patternFill>
      </fill>
    </dxf>
    <dxf>
      <fill>
        <patternFill>
          <bgColor rgb="FF00B050"/>
        </patternFill>
      </fill>
    </dxf>
    <dxf>
      <font>
        <color theme="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color theme="0"/>
      </font>
    </dxf>
    <dxf>
      <fill>
        <patternFill>
          <bgColor rgb="FF00B050"/>
        </patternFill>
      </fill>
    </dxf>
    <dxf>
      <fill>
        <patternFill>
          <bgColor rgb="FF00B050"/>
        </patternFill>
      </fill>
    </dxf>
    <dxf>
      <fill>
        <patternFill>
          <bgColor rgb="FF00B050"/>
        </patternFill>
      </fill>
    </dxf>
    <dxf>
      <font>
        <color theme="0"/>
      </font>
    </dxf>
    <dxf>
      <fill>
        <patternFill>
          <bgColor rgb="FF00B050"/>
        </patternFill>
      </fill>
    </dxf>
    <dxf>
      <fill>
        <patternFill>
          <bgColor rgb="FF00B050"/>
        </patternFill>
      </fill>
    </dxf>
    <dxf>
      <font>
        <color theme="0"/>
      </font>
    </dxf>
    <dxf>
      <fill>
        <patternFill>
          <bgColor rgb="FF00B050"/>
        </patternFill>
      </fill>
    </dxf>
  </dxfs>
  <tableStyles count="0" defaultTableStyle="TableStyleMedium2" defaultPivotStyle="PivotStyleLight16"/>
  <colors>
    <mruColors>
      <color rgb="FF0000FF"/>
      <color rgb="FFFFFF99"/>
      <color rgb="FF00FF00"/>
      <color rgb="FFFF9966"/>
      <color rgb="FF66FFFF"/>
      <color rgb="FF99FF99"/>
      <color rgb="FF009900"/>
      <color rgb="FFFF33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4.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7.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3.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externalLink" Target="externalLinks/externalLink6.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0.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openxmlformats.org/officeDocument/2006/relationships/externalLink" Target="externalLinks/externalLink9.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5.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8.xml"/><Relationship Id="rId27" Type="http://schemas.openxmlformats.org/officeDocument/2006/relationships/sharedStrings" Target="sharedStrings.xml"/><Relationship Id="rId30"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Profit Center'!A1"/><Relationship Id="rId7" Type="http://schemas.openxmlformats.org/officeDocument/2006/relationships/image" Target="cid:image001.png@01D5F300.1B02DE20" TargetMode="External"/><Relationship Id="rId2" Type="http://schemas.openxmlformats.org/officeDocument/2006/relationships/hyperlink" Target="#'Hierarchy '!A1"/><Relationship Id="rId1" Type="http://schemas.openxmlformats.org/officeDocument/2006/relationships/hyperlink" Target="#'Cost Center '!A1"/><Relationship Id="rId6" Type="http://schemas.openxmlformats.org/officeDocument/2006/relationships/image" Target="../media/image1.png"/><Relationship Id="rId11" Type="http://schemas.openxmlformats.org/officeDocument/2006/relationships/image" Target="../media/image3.png"/><Relationship Id="rId5" Type="http://schemas.openxmlformats.org/officeDocument/2006/relationships/hyperlink" Target="#'GL Accounts'!A1"/><Relationship Id="rId10" Type="http://schemas.openxmlformats.org/officeDocument/2006/relationships/hyperlink" Target="#'Emails '!A1"/><Relationship Id="rId4" Type="http://schemas.openxmlformats.org/officeDocument/2006/relationships/hyperlink" Target="#'Activity Rates'!A1"/><Relationship Id="rId9" Type="http://schemas.openxmlformats.org/officeDocument/2006/relationships/hyperlink" Target="#'Activity Type'!A1"/></Relationships>
</file>

<file path=xl/drawings/_rels/drawing2.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5.xml.rels><?xml version="1.0" encoding="UTF-8" standalone="yes"?>
<Relationships xmlns="http://schemas.openxmlformats.org/package/2006/relationships"><Relationship Id="rId1" Type="http://schemas.openxmlformats.org/officeDocument/2006/relationships/hyperlink" Target="#'Table of Contents'!A1"/></Relationships>
</file>

<file path=xl/drawings/_rels/drawing6.xml.rels><?xml version="1.0" encoding="UTF-8" standalone="yes"?>
<Relationships xmlns="http://schemas.openxmlformats.org/package/2006/relationships"><Relationship Id="rId2" Type="http://schemas.openxmlformats.org/officeDocument/2006/relationships/hyperlink" Target="#'Table of Contents'!A1"/><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2" Type="http://schemas.openxmlformats.org/officeDocument/2006/relationships/hyperlink" Target="#'Table of Contents'!A1"/><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hyperlink" Target="#'Table of Contents'!A1"/></Relationships>
</file>

<file path=xl/drawings/drawing1.xml><?xml version="1.0" encoding="utf-8"?>
<xdr:wsDr xmlns:xdr="http://schemas.openxmlformats.org/drawingml/2006/spreadsheetDrawing" xmlns:a="http://schemas.openxmlformats.org/drawingml/2006/main">
  <xdr:twoCellAnchor>
    <xdr:from>
      <xdr:col>4</xdr:col>
      <xdr:colOff>83820</xdr:colOff>
      <xdr:row>10</xdr:row>
      <xdr:rowOff>152401</xdr:rowOff>
    </xdr:from>
    <xdr:to>
      <xdr:col>7</xdr:col>
      <xdr:colOff>541020</xdr:colOff>
      <xdr:row>15</xdr:row>
      <xdr:rowOff>7621</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00000000-0008-0000-0000-000005000000}"/>
            </a:ext>
          </a:extLst>
        </xdr:cNvPr>
        <xdr:cNvSpPr/>
      </xdr:nvSpPr>
      <xdr:spPr>
        <a:xfrm>
          <a:off x="2522220" y="1981201"/>
          <a:ext cx="2286000" cy="769620"/>
        </a:xfrm>
        <a:prstGeom prst="rect">
          <a:avLst/>
        </a:prstGeom>
        <a:solidFill>
          <a:srgbClr val="FFFF99"/>
        </a:solidFill>
        <a:ln w="25400" cap="flat" cmpd="sng" algn="ctr">
          <a:solidFill>
            <a:sysClr val="windowText" lastClr="000000"/>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ysClr val="windowText" lastClr="000000"/>
              </a:solidFill>
              <a:effectLst/>
              <a:uLnTx/>
              <a:uFillTx/>
              <a:latin typeface="Calibri"/>
              <a:ea typeface="+mn-ea"/>
              <a:cs typeface="+mn-cs"/>
            </a:rPr>
            <a:t>Cost Centers</a:t>
          </a:r>
        </a:p>
      </xdr:txBody>
    </xdr:sp>
    <xdr:clientData/>
  </xdr:twoCellAnchor>
  <xdr:twoCellAnchor>
    <xdr:from>
      <xdr:col>11</xdr:col>
      <xdr:colOff>525780</xdr:colOff>
      <xdr:row>15</xdr:row>
      <xdr:rowOff>60960</xdr:rowOff>
    </xdr:from>
    <xdr:to>
      <xdr:col>15</xdr:col>
      <xdr:colOff>373380</xdr:colOff>
      <xdr:row>19</xdr:row>
      <xdr:rowOff>53339</xdr:rowOff>
    </xdr:to>
    <xdr:sp macro="" textlink="">
      <xdr:nvSpPr>
        <xdr:cNvPr id="8" name="Rectangle 7">
          <a:hlinkClick xmlns:r="http://schemas.openxmlformats.org/officeDocument/2006/relationships" r:id="rId2"/>
          <a:extLst>
            <a:ext uri="{FF2B5EF4-FFF2-40B4-BE49-F238E27FC236}">
              <a16:creationId xmlns:a16="http://schemas.microsoft.com/office/drawing/2014/main" id="{00000000-0008-0000-0000-000008000000}"/>
            </a:ext>
          </a:extLst>
        </xdr:cNvPr>
        <xdr:cNvSpPr/>
      </xdr:nvSpPr>
      <xdr:spPr>
        <a:xfrm>
          <a:off x="7231380" y="2804160"/>
          <a:ext cx="2286000" cy="723899"/>
        </a:xfrm>
        <a:prstGeom prst="rect">
          <a:avLst/>
        </a:prstGeom>
        <a:solidFill>
          <a:schemeClr val="accent2">
            <a:lumMod val="60000"/>
            <a:lumOff val="40000"/>
          </a:schemeClr>
        </a:solidFill>
        <a:ln w="25400" cap="flat" cmpd="sng" algn="ctr">
          <a:solidFill>
            <a:sysClr val="windowText" lastClr="000000"/>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ysClr val="windowText" lastClr="000000"/>
              </a:solidFill>
              <a:effectLst/>
              <a:uLnTx/>
              <a:uFillTx/>
              <a:latin typeface="Calibri"/>
              <a:ea typeface="+mn-ea"/>
              <a:cs typeface="+mn-cs"/>
            </a:rPr>
            <a:t>Hierarchy Changes </a:t>
          </a:r>
        </a:p>
      </xdr:txBody>
    </xdr:sp>
    <xdr:clientData/>
  </xdr:twoCellAnchor>
  <xdr:twoCellAnchor>
    <xdr:from>
      <xdr:col>11</xdr:col>
      <xdr:colOff>518160</xdr:colOff>
      <xdr:row>10</xdr:row>
      <xdr:rowOff>152400</xdr:rowOff>
    </xdr:from>
    <xdr:to>
      <xdr:col>15</xdr:col>
      <xdr:colOff>365760</xdr:colOff>
      <xdr:row>15</xdr:row>
      <xdr:rowOff>7619</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00000000-0008-0000-0000-000009000000}"/>
            </a:ext>
          </a:extLst>
        </xdr:cNvPr>
        <xdr:cNvSpPr/>
      </xdr:nvSpPr>
      <xdr:spPr>
        <a:xfrm>
          <a:off x="7223760" y="1981200"/>
          <a:ext cx="2286000" cy="769619"/>
        </a:xfrm>
        <a:prstGeom prst="rect">
          <a:avLst/>
        </a:prstGeom>
        <a:solidFill>
          <a:srgbClr val="00FFFF"/>
        </a:solidFill>
        <a:ln w="25400" cap="flat" cmpd="sng" algn="ctr">
          <a:solidFill>
            <a:sysClr val="windowText" lastClr="000000"/>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ysClr val="windowText" lastClr="000000"/>
              </a:solidFill>
              <a:effectLst/>
              <a:uLnTx/>
              <a:uFillTx/>
              <a:latin typeface="Calibri"/>
              <a:ea typeface="+mn-ea"/>
              <a:cs typeface="+mn-cs"/>
            </a:rPr>
            <a:t>Profit Centers</a:t>
          </a:r>
        </a:p>
      </xdr:txBody>
    </xdr:sp>
    <xdr:clientData/>
  </xdr:twoCellAnchor>
  <xdr:twoCellAnchor>
    <xdr:from>
      <xdr:col>7</xdr:col>
      <xdr:colOff>601980</xdr:colOff>
      <xdr:row>15</xdr:row>
      <xdr:rowOff>68580</xdr:rowOff>
    </xdr:from>
    <xdr:to>
      <xdr:col>11</xdr:col>
      <xdr:colOff>449580</xdr:colOff>
      <xdr:row>19</xdr:row>
      <xdr:rowOff>60959</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0000000-0008-0000-0000-00000A000000}"/>
            </a:ext>
          </a:extLst>
        </xdr:cNvPr>
        <xdr:cNvSpPr/>
      </xdr:nvSpPr>
      <xdr:spPr>
        <a:xfrm>
          <a:off x="4869180" y="2811780"/>
          <a:ext cx="2286000" cy="723899"/>
        </a:xfrm>
        <a:prstGeom prst="rect">
          <a:avLst/>
        </a:prstGeom>
        <a:solidFill>
          <a:srgbClr val="FF9966"/>
        </a:solidFill>
        <a:ln w="25400" cap="flat" cmpd="sng" algn="ctr">
          <a:solidFill>
            <a:sysClr val="windowText" lastClr="000000"/>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ysClr val="windowText" lastClr="000000"/>
              </a:solidFill>
              <a:effectLst/>
              <a:uLnTx/>
              <a:uFillTx/>
              <a:latin typeface="Calibri"/>
              <a:ea typeface="+mn-ea"/>
              <a:cs typeface="+mn-cs"/>
            </a:rPr>
            <a:t>Activity Rates </a:t>
          </a:r>
        </a:p>
      </xdr:txBody>
    </xdr:sp>
    <xdr:clientData/>
  </xdr:twoCellAnchor>
  <xdr:twoCellAnchor>
    <xdr:from>
      <xdr:col>7</xdr:col>
      <xdr:colOff>601980</xdr:colOff>
      <xdr:row>10</xdr:row>
      <xdr:rowOff>144780</xdr:rowOff>
    </xdr:from>
    <xdr:to>
      <xdr:col>11</xdr:col>
      <xdr:colOff>449580</xdr:colOff>
      <xdr:row>15</xdr:row>
      <xdr:rowOff>15240</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00000000-0008-0000-0000-00000B000000}"/>
            </a:ext>
          </a:extLst>
        </xdr:cNvPr>
        <xdr:cNvSpPr/>
      </xdr:nvSpPr>
      <xdr:spPr>
        <a:xfrm>
          <a:off x="4869180" y="1973580"/>
          <a:ext cx="2286000" cy="784860"/>
        </a:xfrm>
        <a:prstGeom prst="rect">
          <a:avLst/>
        </a:prstGeom>
        <a:solidFill>
          <a:srgbClr val="99FF99"/>
        </a:solidFill>
        <a:ln w="25400" cap="flat" cmpd="sng" algn="ctr">
          <a:solidFill>
            <a:sysClr val="windowText" lastClr="000000"/>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ysClr val="windowText" lastClr="000000"/>
              </a:solidFill>
              <a:effectLst/>
              <a:uLnTx/>
              <a:uFillTx/>
              <a:latin typeface="Calibri"/>
              <a:ea typeface="+mn-ea"/>
              <a:cs typeface="+mn-cs"/>
            </a:rPr>
            <a:t>General Ledger Accounts (GL)</a:t>
          </a:r>
        </a:p>
      </xdr:txBody>
    </xdr:sp>
    <xdr:clientData/>
  </xdr:twoCellAnchor>
  <xdr:twoCellAnchor>
    <xdr:from>
      <xdr:col>16</xdr:col>
      <xdr:colOff>38100</xdr:colOff>
      <xdr:row>9</xdr:row>
      <xdr:rowOff>91440</xdr:rowOff>
    </xdr:from>
    <xdr:to>
      <xdr:col>22</xdr:col>
      <xdr:colOff>91440</xdr:colOff>
      <xdr:row>20</xdr:row>
      <xdr:rowOff>99060</xdr:rowOff>
    </xdr:to>
    <xdr:sp macro="" textlink="">
      <xdr:nvSpPr>
        <xdr:cNvPr id="7" name="Rectangle 6">
          <a:extLst>
            <a:ext uri="{FF2B5EF4-FFF2-40B4-BE49-F238E27FC236}">
              <a16:creationId xmlns:a16="http://schemas.microsoft.com/office/drawing/2014/main" id="{00000000-0008-0000-0000-000007000000}"/>
            </a:ext>
          </a:extLst>
        </xdr:cNvPr>
        <xdr:cNvSpPr/>
      </xdr:nvSpPr>
      <xdr:spPr>
        <a:xfrm>
          <a:off x="10126980" y="1737360"/>
          <a:ext cx="3710940" cy="2019300"/>
        </a:xfrm>
        <a:prstGeom prst="rect">
          <a:avLst/>
        </a:prstGeom>
        <a:solidFill>
          <a:srgbClr val="4BACC6"/>
        </a:solidFill>
        <a:ln w="38100" cap="flat" cmpd="sng" algn="ctr">
          <a:solidFill>
            <a:sysClr val="window" lastClr="FFFFFF"/>
          </a:solidFill>
          <a:prstDash val="solid"/>
        </a:ln>
        <a:effectLst>
          <a:outerShdw blurRad="40000" dist="20000" dir="5400000" rotWithShape="0">
            <a:srgbClr val="000000">
              <a:alpha val="38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ysClr val="window" lastClr="FFFFFF"/>
              </a:solidFill>
              <a:effectLst/>
              <a:uLnTx/>
              <a:uFillTx/>
              <a:latin typeface="Calibri"/>
              <a:ea typeface="+mn-ea"/>
              <a:cs typeface="+mn-cs"/>
            </a:rPr>
            <a:t>MDCR Version 9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CA" sz="1100" b="1" i="0" u="none" strike="noStrike" kern="0" cap="none" spc="0" normalizeH="0" baseline="0" noProof="0">
            <a:ln>
              <a:noFill/>
            </a:ln>
            <a:solidFill>
              <a:sysClr val="window" lastClr="FFFFFF"/>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chemeClr val="bg1"/>
              </a:solidFill>
              <a:effectLst/>
              <a:uLnTx/>
              <a:uFillTx/>
              <a:latin typeface="Calibri"/>
              <a:ea typeface="+mn-ea"/>
              <a:cs typeface="+mn-cs"/>
            </a:rPr>
            <a:t>Please save MDCR form to your desktop. Have macro's enable on your excel file or computer</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800" b="1" i="0" u="none" strike="noStrike" kern="0" cap="none" spc="0" normalizeH="0" baseline="0" noProof="0">
              <a:ln>
                <a:noFill/>
              </a:ln>
              <a:solidFill>
                <a:srgbClr val="FFFF00"/>
              </a:solidFill>
              <a:effectLst/>
              <a:uLnTx/>
              <a:uFillTx/>
              <a:latin typeface="Calibri"/>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CA" sz="1100" b="1" i="0" u="none" strike="noStrike" kern="0" cap="none" spc="0" normalizeH="0" baseline="0" noProof="0">
            <a:ln>
              <a:noFill/>
            </a:ln>
            <a:solidFill>
              <a:sysClr val="window" lastClr="FFFFFF"/>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ysClr val="window" lastClr="FFFFFF"/>
              </a:solidFill>
              <a:effectLst/>
              <a:uLnTx/>
              <a:uFillTx/>
              <a:latin typeface="Calibri"/>
              <a:ea typeface="+mn-ea"/>
              <a:cs typeface="+mn-cs"/>
            </a:rPr>
            <a:t>Please select your request type.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CA" sz="1100" b="1" i="0" u="none" strike="noStrike" kern="0" cap="none" spc="0" normalizeH="0" baseline="0" noProof="0">
            <a:ln>
              <a:noFill/>
            </a:ln>
            <a:solidFill>
              <a:sysClr val="window" lastClr="FFFFFF"/>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ysClr val="window" lastClr="FFFFFF"/>
              </a:solidFill>
              <a:effectLst/>
              <a:uLnTx/>
              <a:uFillTx/>
              <a:latin typeface="Calibri"/>
              <a:ea typeface="+mn-ea"/>
              <a:cs typeface="+mn-cs"/>
            </a:rPr>
            <a:t>Any help with the MDCR please contact: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CA" sz="1100" b="0" i="0" u="none" strike="noStrike" kern="0" cap="none" spc="0" normalizeH="0" baseline="0" noProof="0">
            <a:ln>
              <a:noFill/>
            </a:ln>
            <a:solidFill>
              <a:sysClr val="window" lastClr="FFFFFF"/>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ysClr val="window" lastClr="FFFFFF"/>
              </a:solidFill>
              <a:effectLst/>
              <a:uLnTx/>
              <a:uFillTx/>
              <a:latin typeface="Calibri"/>
              <a:ea typeface="+mn-ea"/>
              <a:cs typeface="+mn-cs"/>
            </a:rPr>
            <a:t>Finance_governance@suncor.com</a:t>
          </a:r>
        </a:p>
      </xdr:txBody>
    </xdr:sp>
    <xdr:clientData/>
  </xdr:twoCellAnchor>
  <xdr:twoCellAnchor>
    <xdr:from>
      <xdr:col>0</xdr:col>
      <xdr:colOff>30480</xdr:colOff>
      <xdr:row>0</xdr:row>
      <xdr:rowOff>22860</xdr:rowOff>
    </xdr:from>
    <xdr:to>
      <xdr:col>2</xdr:col>
      <xdr:colOff>361263</xdr:colOff>
      <xdr:row>4</xdr:row>
      <xdr:rowOff>7620</xdr:rowOff>
    </xdr:to>
    <xdr:pic>
      <xdr:nvPicPr>
        <xdr:cNvPr id="13" name="Picture 2" descr="cid:image003.png@01D38624.2C9C45E0">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6" r:link="rId7" cstate="print">
          <a:extLst>
            <a:ext uri="{28A0092B-C50C-407E-A947-70E740481C1C}">
              <a14:useLocalDpi xmlns:a14="http://schemas.microsoft.com/office/drawing/2010/main" val="0"/>
            </a:ext>
          </a:extLst>
        </a:blip>
        <a:srcRect/>
        <a:stretch>
          <a:fillRect/>
        </a:stretch>
      </xdr:blipFill>
      <xdr:spPr bwMode="auto">
        <a:xfrm>
          <a:off x="30480" y="22860"/>
          <a:ext cx="1549983" cy="716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22860</xdr:colOff>
      <xdr:row>4</xdr:row>
      <xdr:rowOff>99060</xdr:rowOff>
    </xdr:from>
    <xdr:to>
      <xdr:col>8</xdr:col>
      <xdr:colOff>480565</xdr:colOff>
      <xdr:row>6</xdr:row>
      <xdr:rowOff>22860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8"/>
        <a:stretch>
          <a:fillRect/>
        </a:stretch>
      </xdr:blipFill>
      <xdr:spPr>
        <a:xfrm>
          <a:off x="22860" y="830580"/>
          <a:ext cx="5662165" cy="289560"/>
        </a:xfrm>
        <a:prstGeom prst="rect">
          <a:avLst/>
        </a:prstGeom>
      </xdr:spPr>
    </xdr:pic>
    <xdr:clientData/>
  </xdr:twoCellAnchor>
  <xdr:twoCellAnchor>
    <xdr:from>
      <xdr:col>4</xdr:col>
      <xdr:colOff>76200</xdr:colOff>
      <xdr:row>15</xdr:row>
      <xdr:rowOff>76200</xdr:rowOff>
    </xdr:from>
    <xdr:to>
      <xdr:col>7</xdr:col>
      <xdr:colOff>533400</xdr:colOff>
      <xdr:row>19</xdr:row>
      <xdr:rowOff>68579</xdr:rowOff>
    </xdr:to>
    <xdr:sp macro="" textlink="">
      <xdr:nvSpPr>
        <xdr:cNvPr id="16" name="Rectangle 15">
          <a:hlinkClick xmlns:r="http://schemas.openxmlformats.org/officeDocument/2006/relationships" r:id="rId9"/>
          <a:extLst>
            <a:ext uri="{FF2B5EF4-FFF2-40B4-BE49-F238E27FC236}">
              <a16:creationId xmlns:a16="http://schemas.microsoft.com/office/drawing/2014/main" id="{00000000-0008-0000-0000-000010000000}"/>
            </a:ext>
          </a:extLst>
        </xdr:cNvPr>
        <xdr:cNvSpPr/>
      </xdr:nvSpPr>
      <xdr:spPr>
        <a:xfrm>
          <a:off x="2514600" y="2819400"/>
          <a:ext cx="2286000" cy="723899"/>
        </a:xfrm>
        <a:prstGeom prst="rect">
          <a:avLst/>
        </a:prstGeom>
        <a:solidFill>
          <a:schemeClr val="bg2">
            <a:lumMod val="90000"/>
          </a:schemeClr>
        </a:solidFill>
        <a:ln w="25400" cap="flat" cmpd="sng" algn="ctr">
          <a:solidFill>
            <a:sysClr val="windowText" lastClr="000000"/>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100" b="1" i="0" u="none" strike="noStrike" kern="0" cap="none" spc="0" normalizeH="0" baseline="0" noProof="0">
              <a:ln>
                <a:noFill/>
              </a:ln>
              <a:solidFill>
                <a:sysClr val="windowText" lastClr="000000"/>
              </a:solidFill>
              <a:effectLst/>
              <a:uLnTx/>
              <a:uFillTx/>
              <a:latin typeface="Calibri"/>
              <a:ea typeface="+mn-ea"/>
              <a:cs typeface="+mn-cs"/>
            </a:rPr>
            <a:t>Activity Types </a:t>
          </a:r>
        </a:p>
      </xdr:txBody>
    </xdr:sp>
    <xdr:clientData/>
  </xdr:twoCellAnchor>
  <xdr:twoCellAnchor>
    <xdr:from>
      <xdr:col>17</xdr:col>
      <xdr:colOff>541020</xdr:colOff>
      <xdr:row>7</xdr:row>
      <xdr:rowOff>38100</xdr:rowOff>
    </xdr:from>
    <xdr:to>
      <xdr:col>20</xdr:col>
      <xdr:colOff>236220</xdr:colOff>
      <xdr:row>9</xdr:row>
      <xdr:rowOff>15240</xdr:rowOff>
    </xdr:to>
    <xdr:sp macro="" textlink="">
      <xdr:nvSpPr>
        <xdr:cNvPr id="2" name="Rectangle 1">
          <a:hlinkClick xmlns:r="http://schemas.openxmlformats.org/officeDocument/2006/relationships" r:id="rId10"/>
          <a:extLst>
            <a:ext uri="{FF2B5EF4-FFF2-40B4-BE49-F238E27FC236}">
              <a16:creationId xmlns:a16="http://schemas.microsoft.com/office/drawing/2014/main" id="{00000000-0008-0000-0000-000002000000}"/>
            </a:ext>
          </a:extLst>
        </xdr:cNvPr>
        <xdr:cNvSpPr/>
      </xdr:nvSpPr>
      <xdr:spPr>
        <a:xfrm>
          <a:off x="10904220" y="1318260"/>
          <a:ext cx="1524000" cy="342900"/>
        </a:xfrm>
        <a:prstGeom prst="rect">
          <a:avLst/>
        </a:prstGeom>
        <a:solidFill>
          <a:schemeClr val="accent4">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CA" sz="1600">
              <a:solidFill>
                <a:schemeClr val="tx1"/>
              </a:solidFill>
            </a:rPr>
            <a:t>Emails</a:t>
          </a:r>
          <a:r>
            <a:rPr lang="en-CA" sz="1100" baseline="0"/>
            <a:t> </a:t>
          </a:r>
          <a:endParaRPr lang="en-CA" sz="1100"/>
        </a:p>
      </xdr:txBody>
    </xdr:sp>
    <xdr:clientData/>
  </xdr:twoCellAnchor>
  <xdr:twoCellAnchor editAs="oneCell">
    <xdr:from>
      <xdr:col>16</xdr:col>
      <xdr:colOff>99061</xdr:colOff>
      <xdr:row>13</xdr:row>
      <xdr:rowOff>137160</xdr:rowOff>
    </xdr:from>
    <xdr:to>
      <xdr:col>20</xdr:col>
      <xdr:colOff>533401</xdr:colOff>
      <xdr:row>15</xdr:row>
      <xdr:rowOff>129572</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1"/>
        <a:stretch>
          <a:fillRect/>
        </a:stretch>
      </xdr:blipFill>
      <xdr:spPr>
        <a:xfrm>
          <a:off x="10180321" y="2522220"/>
          <a:ext cx="2872740" cy="3657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1035050</xdr:colOff>
          <xdr:row>0</xdr:row>
          <xdr:rowOff>139700</xdr:rowOff>
        </xdr:from>
        <xdr:to>
          <xdr:col>3</xdr:col>
          <xdr:colOff>266700</xdr:colOff>
          <xdr:row>0</xdr:row>
          <xdr:rowOff>603250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MDCR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1022350</xdr:colOff>
          <xdr:row>3</xdr:row>
          <xdr:rowOff>0</xdr:rowOff>
        </xdr:from>
        <xdr:to>
          <xdr:col>7</xdr:col>
          <xdr:colOff>1708150</xdr:colOff>
          <xdr:row>3</xdr:row>
          <xdr:rowOff>0</xdr:rowOff>
        </xdr:to>
        <xdr:sp macro="" textlink="">
          <xdr:nvSpPr>
            <xdr:cNvPr id="2072" name="Button 24" hidden="1">
              <a:extLst>
                <a:ext uri="{63B3BB69-23CF-44E3-9099-C40C66FF867C}">
                  <a14:compatExt spid="_x0000_s2072"/>
                </a:ext>
                <a:ext uri="{FF2B5EF4-FFF2-40B4-BE49-F238E27FC236}">
                  <a16:creationId xmlns:a16="http://schemas.microsoft.com/office/drawing/2014/main" id="{00000000-0008-0000-0100-000018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MDCR</a:t>
              </a:r>
            </a:p>
          </xdr:txBody>
        </xdr:sp>
        <xdr:clientData fPrintsWithSheet="0"/>
      </xdr:twoCellAnchor>
    </mc:Choice>
    <mc:Fallback/>
  </mc:AlternateContent>
  <xdr:twoCellAnchor>
    <xdr:from>
      <xdr:col>0</xdr:col>
      <xdr:colOff>161925</xdr:colOff>
      <xdr:row>0</xdr:row>
      <xdr:rowOff>95250</xdr:rowOff>
    </xdr:from>
    <xdr:to>
      <xdr:col>1</xdr:col>
      <xdr:colOff>561975</xdr:colOff>
      <xdr:row>0</xdr:row>
      <xdr:rowOff>695325</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100-000003000000}"/>
            </a:ext>
          </a:extLst>
        </xdr:cNvPr>
        <xdr:cNvSpPr/>
      </xdr:nvSpPr>
      <xdr:spPr>
        <a:xfrm>
          <a:off x="161925" y="95250"/>
          <a:ext cx="1514475" cy="600075"/>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CA" sz="1400" b="1"/>
            <a:t>Table</a:t>
          </a:r>
          <a:r>
            <a:rPr lang="en-CA" sz="1400" b="1" baseline="0"/>
            <a:t> of Contents </a:t>
          </a:r>
          <a:endParaRPr lang="en-CA" sz="1400" b="1"/>
        </a:p>
      </xdr:txBody>
    </xdr:sp>
    <xdr:clientData/>
  </xdr:twoCellAnchor>
  <xdr:twoCellAnchor>
    <xdr:from>
      <xdr:col>8</xdr:col>
      <xdr:colOff>85725</xdr:colOff>
      <xdr:row>0</xdr:row>
      <xdr:rowOff>571500</xdr:rowOff>
    </xdr:from>
    <xdr:to>
      <xdr:col>10</xdr:col>
      <xdr:colOff>962025</xdr:colOff>
      <xdr:row>3</xdr:row>
      <xdr:rowOff>104776</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11963400" y="571500"/>
          <a:ext cx="3562350" cy="923926"/>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r>
            <a:rPr lang="en-CA" sz="1400" b="1"/>
            <a:t>STEP</a:t>
          </a:r>
          <a:r>
            <a:rPr lang="en-CA" sz="1400" b="1" baseline="0"/>
            <a:t> 1:</a:t>
          </a:r>
        </a:p>
        <a:p>
          <a:pPr algn="l"/>
          <a:r>
            <a:rPr lang="en-CA" sz="1400" b="0" baseline="0"/>
            <a:t>Please fill out the 5 columns to drop down the next row of Cells </a:t>
          </a:r>
          <a:endParaRPr lang="en-CA" sz="1400" b="0"/>
        </a:p>
      </xdr:txBody>
    </xdr:sp>
    <xdr:clientData/>
  </xdr:twoCellAnchor>
  <xdr:twoCellAnchor>
    <xdr:from>
      <xdr:col>8</xdr:col>
      <xdr:colOff>85725</xdr:colOff>
      <xdr:row>3</xdr:row>
      <xdr:rowOff>304800</xdr:rowOff>
    </xdr:from>
    <xdr:to>
      <xdr:col>10</xdr:col>
      <xdr:colOff>910590</xdr:colOff>
      <xdr:row>10</xdr:row>
      <xdr:rowOff>76200</xdr:rowOff>
    </xdr:to>
    <xdr:sp macro="" textlink="">
      <xdr:nvSpPr>
        <xdr:cNvPr id="8" name="Rectangle 7">
          <a:extLst>
            <a:ext uri="{FF2B5EF4-FFF2-40B4-BE49-F238E27FC236}">
              <a16:creationId xmlns:a16="http://schemas.microsoft.com/office/drawing/2014/main" id="{00000000-0008-0000-0100-000008000000}"/>
            </a:ext>
          </a:extLst>
        </xdr:cNvPr>
        <xdr:cNvSpPr/>
      </xdr:nvSpPr>
      <xdr:spPr>
        <a:xfrm>
          <a:off x="11963400" y="1695450"/>
          <a:ext cx="3510915" cy="1257300"/>
        </a:xfrm>
        <a:prstGeom prst="rect">
          <a:avLst/>
        </a:prstGeom>
        <a:solidFill>
          <a:srgbClr val="FFFF00"/>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r>
            <a:rPr lang="en-CA" sz="1400" b="1" baseline="0"/>
            <a:t>Step 2:</a:t>
          </a:r>
        </a:p>
        <a:p>
          <a:pPr algn="l"/>
          <a:r>
            <a:rPr lang="en-CA" sz="1400" baseline="0"/>
            <a:t>Please select Company code</a:t>
          </a:r>
        </a:p>
        <a:p>
          <a:pPr algn="l"/>
          <a:endParaRPr lang="en-CA" sz="1400" baseline="0"/>
        </a:p>
        <a:p>
          <a:pPr algn="l"/>
          <a:r>
            <a:rPr lang="en-CA" sz="1400" b="1" baseline="0"/>
            <a:t>Step 3:</a:t>
          </a:r>
          <a:r>
            <a:rPr lang="en-CA" sz="1100" b="0" i="0" u="none" strike="noStrike">
              <a:solidFill>
                <a:schemeClr val="dk1"/>
              </a:solidFill>
              <a:effectLst/>
              <a:latin typeface="+mn-lt"/>
              <a:ea typeface="+mn-ea"/>
              <a:cs typeface="+mn-cs"/>
            </a:rPr>
            <a:t> </a:t>
          </a:r>
          <a:r>
            <a:rPr lang="en-CA" sz="1400"/>
            <a:t> </a:t>
          </a:r>
        </a:p>
        <a:p>
          <a:pPr algn="l"/>
          <a:r>
            <a:rPr lang="en-CA" sz="1400" baseline="0"/>
            <a:t>Click Generate MDCR to create the form.</a:t>
          </a:r>
        </a:p>
        <a:p>
          <a:pPr algn="l"/>
          <a:endParaRPr lang="en-CA" sz="1100" baseline="0"/>
        </a:p>
        <a:p>
          <a:pPr algn="l"/>
          <a:r>
            <a:rPr lang="en-CA" sz="1100" baseline="0"/>
            <a:t> </a:t>
          </a:r>
          <a:endParaRPr lang="en-CA" sz="1100"/>
        </a:p>
      </xdr:txBody>
    </xdr:sp>
    <xdr:clientData/>
  </xdr:twoCellAnchor>
  <mc:AlternateContent xmlns:mc="http://schemas.openxmlformats.org/markup-compatibility/2006">
    <mc:Choice xmlns:a14="http://schemas.microsoft.com/office/drawing/2010/main" Requires="a14">
      <xdr:twoCellAnchor>
        <xdr:from>
          <xdr:col>6</xdr:col>
          <xdr:colOff>1530350</xdr:colOff>
          <xdr:row>0</xdr:row>
          <xdr:rowOff>101600</xdr:rowOff>
        </xdr:from>
        <xdr:to>
          <xdr:col>7</xdr:col>
          <xdr:colOff>1600200</xdr:colOff>
          <xdr:row>0</xdr:row>
          <xdr:rowOff>685800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MDCR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3</xdr:col>
      <xdr:colOff>28575</xdr:colOff>
      <xdr:row>16</xdr:row>
      <xdr:rowOff>0</xdr:rowOff>
    </xdr:from>
    <xdr:to>
      <xdr:col>6</xdr:col>
      <xdr:colOff>809625</xdr:colOff>
      <xdr:row>17</xdr:row>
      <xdr:rowOff>123825</xdr:rowOff>
    </xdr:to>
    <xdr:sp macro="" textlink="">
      <xdr:nvSpPr>
        <xdr:cNvPr id="46" name="Text Box 110">
          <a:extLst>
            <a:ext uri="{FF2B5EF4-FFF2-40B4-BE49-F238E27FC236}">
              <a16:creationId xmlns:a16="http://schemas.microsoft.com/office/drawing/2014/main" id="{00000000-0008-0000-0200-00002E000000}"/>
            </a:ext>
          </a:extLst>
        </xdr:cNvPr>
        <xdr:cNvSpPr txBox="1">
          <a:spLocks noChangeArrowheads="1"/>
        </xdr:cNvSpPr>
      </xdr:nvSpPr>
      <xdr:spPr bwMode="auto">
        <a:xfrm>
          <a:off x="4006215" y="4381500"/>
          <a:ext cx="3341370" cy="291465"/>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18288" rIns="0" bIns="0" anchor="t" upright="1"/>
        <a:lstStyle/>
        <a:p>
          <a:pPr algn="l" rtl="0">
            <a:defRPr sz="1000"/>
          </a:pPr>
          <a:r>
            <a:rPr lang="en-US" sz="850" b="1" i="0" u="none" strike="noStrike" baseline="0">
              <a:solidFill>
                <a:srgbClr val="000000"/>
              </a:solidFill>
              <a:latin typeface="Tahoma"/>
              <a:cs typeface="Tahoma"/>
            </a:rPr>
            <a:t>no data</a:t>
          </a:r>
          <a:r>
            <a:rPr lang="en-US" sz="850" b="0" i="0" u="none" strike="noStrike" baseline="0">
              <a:solidFill>
                <a:srgbClr val="000000"/>
              </a:solidFill>
              <a:latin typeface="Tahoma"/>
              <a:cs typeface="Tahoma"/>
            </a:rPr>
            <a:t> = no objects in report   </a:t>
          </a:r>
          <a:r>
            <a:rPr lang="en-US" sz="850" b="1" i="0" u="none" strike="noStrike" baseline="0">
              <a:solidFill>
                <a:srgbClr val="000000"/>
              </a:solidFill>
              <a:latin typeface="Tahoma"/>
              <a:cs typeface="Tahoma"/>
            </a:rPr>
            <a:t>  √ </a:t>
          </a:r>
          <a:r>
            <a:rPr lang="en-US" sz="850" b="0" i="0" u="none" strike="noStrike" baseline="0">
              <a:solidFill>
                <a:srgbClr val="000000"/>
              </a:solidFill>
              <a:latin typeface="Tahoma"/>
              <a:cs typeface="Tahoma"/>
            </a:rPr>
            <a:t>= cost centre reassignment    </a:t>
          </a:r>
        </a:p>
        <a:p>
          <a:pPr algn="l" rtl="0">
            <a:defRPr sz="1000"/>
          </a:pPr>
          <a:r>
            <a:rPr lang="en-US" sz="850" b="0" i="0" u="none" strike="noStrike" baseline="0">
              <a:solidFill>
                <a:srgbClr val="000000"/>
              </a:solidFill>
              <a:latin typeface="Tahoma"/>
              <a:cs typeface="Tahoma"/>
            </a:rPr>
            <a:t>                                                               or object closed</a:t>
          </a:r>
          <a:endParaRPr lang="en-US" sz="900" b="0" i="0" u="none" strike="noStrike" baseline="0">
            <a:solidFill>
              <a:srgbClr val="000000"/>
            </a:solidFill>
            <a:latin typeface="Tahoma"/>
            <a:cs typeface="Tahoma"/>
          </a:endParaRPr>
        </a:p>
        <a:p>
          <a:pPr algn="l" rtl="0">
            <a:defRPr sz="1000"/>
          </a:pPr>
          <a:r>
            <a:rPr lang="en-US" sz="900" b="0" i="0" u="none" strike="noStrike" baseline="0">
              <a:solidFill>
                <a:srgbClr val="000000"/>
              </a:solidFill>
              <a:latin typeface="Tahoma"/>
              <a:cs typeface="Tahoma"/>
            </a:rPr>
            <a:t>                                                       are closed</a:t>
          </a:r>
          <a:endParaRPr lang="en-US"/>
        </a:p>
      </xdr:txBody>
    </xdr:sp>
    <xdr:clientData/>
  </xdr:twoCellAnchor>
  <xdr:twoCellAnchor>
    <xdr:from>
      <xdr:col>3</xdr:col>
      <xdr:colOff>480060</xdr:colOff>
      <xdr:row>6</xdr:row>
      <xdr:rowOff>89535</xdr:rowOff>
    </xdr:from>
    <xdr:to>
      <xdr:col>3</xdr:col>
      <xdr:colOff>661035</xdr:colOff>
      <xdr:row>6</xdr:row>
      <xdr:rowOff>177165</xdr:rowOff>
    </xdr:to>
    <xdr:cxnSp macro="">
      <xdr:nvCxnSpPr>
        <xdr:cNvPr id="62" name="AutoShape 136">
          <a:extLst>
            <a:ext uri="{FF2B5EF4-FFF2-40B4-BE49-F238E27FC236}">
              <a16:creationId xmlns:a16="http://schemas.microsoft.com/office/drawing/2014/main" id="{00000000-0008-0000-0200-00003E000000}"/>
            </a:ext>
          </a:extLst>
        </xdr:cNvPr>
        <xdr:cNvCxnSpPr>
          <a:cxnSpLocks noChangeShapeType="1"/>
        </xdr:cNvCxnSpPr>
      </xdr:nvCxnSpPr>
      <xdr:spPr bwMode="auto">
        <a:xfrm rot="10800000" flipV="1">
          <a:off x="4457700" y="2215515"/>
          <a:ext cx="180975" cy="87630"/>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93345</xdr:colOff>
      <xdr:row>6</xdr:row>
      <xdr:rowOff>89535</xdr:rowOff>
    </xdr:from>
    <xdr:to>
      <xdr:col>6</xdr:col>
      <xdr:colOff>302895</xdr:colOff>
      <xdr:row>6</xdr:row>
      <xdr:rowOff>171450</xdr:rowOff>
    </xdr:to>
    <xdr:cxnSp macro="">
      <xdr:nvCxnSpPr>
        <xdr:cNvPr id="63" name="AutoShape 138">
          <a:extLst>
            <a:ext uri="{FF2B5EF4-FFF2-40B4-BE49-F238E27FC236}">
              <a16:creationId xmlns:a16="http://schemas.microsoft.com/office/drawing/2014/main" id="{00000000-0008-0000-0200-00003F000000}"/>
            </a:ext>
          </a:extLst>
        </xdr:cNvPr>
        <xdr:cNvCxnSpPr>
          <a:cxnSpLocks noChangeShapeType="1"/>
        </xdr:cNvCxnSpPr>
      </xdr:nvCxnSpPr>
      <xdr:spPr bwMode="auto">
        <a:xfrm>
          <a:off x="6631305" y="2215515"/>
          <a:ext cx="209550" cy="81915"/>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3</xdr:col>
      <xdr:colOff>274320</xdr:colOff>
      <xdr:row>8</xdr:row>
      <xdr:rowOff>87630</xdr:rowOff>
    </xdr:from>
    <xdr:to>
      <xdr:col>3</xdr:col>
      <xdr:colOff>455295</xdr:colOff>
      <xdr:row>8</xdr:row>
      <xdr:rowOff>192405</xdr:rowOff>
    </xdr:to>
    <xdr:cxnSp macro="">
      <xdr:nvCxnSpPr>
        <xdr:cNvPr id="64" name="AutoShape 143">
          <a:extLst>
            <a:ext uri="{FF2B5EF4-FFF2-40B4-BE49-F238E27FC236}">
              <a16:creationId xmlns:a16="http://schemas.microsoft.com/office/drawing/2014/main" id="{00000000-0008-0000-0200-000040000000}"/>
            </a:ext>
          </a:extLst>
        </xdr:cNvPr>
        <xdr:cNvCxnSpPr>
          <a:cxnSpLocks noChangeShapeType="1"/>
        </xdr:cNvCxnSpPr>
      </xdr:nvCxnSpPr>
      <xdr:spPr bwMode="auto">
        <a:xfrm rot="10800000" flipV="1">
          <a:off x="4251960" y="2586990"/>
          <a:ext cx="180975" cy="104775"/>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xdr:from>
      <xdr:col>6</xdr:col>
      <xdr:colOff>321945</xdr:colOff>
      <xdr:row>8</xdr:row>
      <xdr:rowOff>78105</xdr:rowOff>
    </xdr:from>
    <xdr:to>
      <xdr:col>6</xdr:col>
      <xdr:colOff>512445</xdr:colOff>
      <xdr:row>8</xdr:row>
      <xdr:rowOff>186690</xdr:rowOff>
    </xdr:to>
    <xdr:cxnSp macro="">
      <xdr:nvCxnSpPr>
        <xdr:cNvPr id="65" name="AutoShape 144">
          <a:extLst>
            <a:ext uri="{FF2B5EF4-FFF2-40B4-BE49-F238E27FC236}">
              <a16:creationId xmlns:a16="http://schemas.microsoft.com/office/drawing/2014/main" id="{00000000-0008-0000-0200-000041000000}"/>
            </a:ext>
          </a:extLst>
        </xdr:cNvPr>
        <xdr:cNvCxnSpPr>
          <a:cxnSpLocks noChangeShapeType="1"/>
        </xdr:cNvCxnSpPr>
      </xdr:nvCxnSpPr>
      <xdr:spPr bwMode="auto">
        <a:xfrm>
          <a:off x="6859905" y="2577465"/>
          <a:ext cx="190500" cy="108585"/>
        </a:xfrm>
        <a:prstGeom prst="bentConnector2">
          <a:avLst/>
        </a:prstGeom>
        <a:noFill/>
        <a:ln w="9525">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twoCellAnchor>
  <xdr:twoCellAnchor editAs="oneCell">
    <xdr:from>
      <xdr:col>0</xdr:col>
      <xdr:colOff>47625</xdr:colOff>
      <xdr:row>0</xdr:row>
      <xdr:rowOff>19050</xdr:rowOff>
    </xdr:from>
    <xdr:to>
      <xdr:col>0</xdr:col>
      <xdr:colOff>47625</xdr:colOff>
      <xdr:row>2</xdr:row>
      <xdr:rowOff>180975</xdr:rowOff>
    </xdr:to>
    <xdr:pic>
      <xdr:nvPicPr>
        <xdr:cNvPr id="67" name="Picture 147" descr="nfusehead">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19050"/>
          <a:ext cx="1920240" cy="86296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1348740</xdr:colOff>
      <xdr:row>8</xdr:row>
      <xdr:rowOff>205739</xdr:rowOff>
    </xdr:from>
    <xdr:to>
      <xdr:col>7</xdr:col>
      <xdr:colOff>30480</xdr:colOff>
      <xdr:row>10</xdr:row>
      <xdr:rowOff>30480</xdr:rowOff>
    </xdr:to>
    <xdr:sp macro="" textlink="">
      <xdr:nvSpPr>
        <xdr:cNvPr id="88" name="Rectangle 87">
          <a:extLst>
            <a:ext uri="{FF2B5EF4-FFF2-40B4-BE49-F238E27FC236}">
              <a16:creationId xmlns:a16="http://schemas.microsoft.com/office/drawing/2014/main" id="{00000000-0008-0000-0200-000058000000}"/>
            </a:ext>
          </a:extLst>
        </xdr:cNvPr>
        <xdr:cNvSpPr/>
      </xdr:nvSpPr>
      <xdr:spPr>
        <a:xfrm>
          <a:off x="3924300" y="2705099"/>
          <a:ext cx="3375660" cy="205741"/>
        </a:xfrm>
        <a:prstGeom prst="rect">
          <a:avLst/>
        </a:prstGeom>
        <a:noFill/>
        <a:ln w="3492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CA" sz="1100"/>
        </a:p>
      </xdr:txBody>
    </xdr:sp>
    <xdr:clientData/>
  </xdr:twoCellAnchor>
  <xdr:twoCellAnchor>
    <xdr:from>
      <xdr:col>6</xdr:col>
      <xdr:colOff>809625</xdr:colOff>
      <xdr:row>8</xdr:row>
      <xdr:rowOff>76201</xdr:rowOff>
    </xdr:from>
    <xdr:to>
      <xdr:col>7</xdr:col>
      <xdr:colOff>247650</xdr:colOff>
      <xdr:row>8</xdr:row>
      <xdr:rowOff>180975</xdr:rowOff>
    </xdr:to>
    <xdr:cxnSp macro="">
      <xdr:nvCxnSpPr>
        <xdr:cNvPr id="89" name="Straight Arrow Connector 88">
          <a:extLst>
            <a:ext uri="{FF2B5EF4-FFF2-40B4-BE49-F238E27FC236}">
              <a16:creationId xmlns:a16="http://schemas.microsoft.com/office/drawing/2014/main" id="{00000000-0008-0000-0200-000059000000}"/>
            </a:ext>
          </a:extLst>
        </xdr:cNvPr>
        <xdr:cNvCxnSpPr/>
      </xdr:nvCxnSpPr>
      <xdr:spPr>
        <a:xfrm flipV="1">
          <a:off x="7347585" y="2575561"/>
          <a:ext cx="291465" cy="104774"/>
        </a:xfrm>
        <a:prstGeom prst="straightConnector1">
          <a:avLst/>
        </a:prstGeom>
        <a:ln w="25400">
          <a:solidFill>
            <a:srgbClr val="FF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255269</xdr:colOff>
      <xdr:row>5</xdr:row>
      <xdr:rowOff>281941</xdr:rowOff>
    </xdr:from>
    <xdr:to>
      <xdr:col>7</xdr:col>
      <xdr:colOff>2543174</xdr:colOff>
      <xdr:row>8</xdr:row>
      <xdr:rowOff>190500</xdr:rowOff>
    </xdr:to>
    <xdr:sp macro="" textlink="">
      <xdr:nvSpPr>
        <xdr:cNvPr id="90" name="TextBox 89">
          <a:extLst>
            <a:ext uri="{FF2B5EF4-FFF2-40B4-BE49-F238E27FC236}">
              <a16:creationId xmlns:a16="http://schemas.microsoft.com/office/drawing/2014/main" id="{00000000-0008-0000-0200-00005A000000}"/>
            </a:ext>
          </a:extLst>
        </xdr:cNvPr>
        <xdr:cNvSpPr txBox="1"/>
      </xdr:nvSpPr>
      <xdr:spPr>
        <a:xfrm>
          <a:off x="7646669" y="1889761"/>
          <a:ext cx="2287905" cy="800099"/>
        </a:xfrm>
        <a:prstGeom prst="rect">
          <a:avLst/>
        </a:prstGeom>
        <a:noFill/>
        <a:ln w="34925" cmpd="sng">
          <a:solidFill>
            <a:srgbClr val="FF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300" b="1">
              <a:solidFill>
                <a:srgbClr val="FF0000"/>
              </a:solidFill>
            </a:rPr>
            <a:t>This is now MANDATORY.</a:t>
          </a:r>
        </a:p>
        <a:p>
          <a:r>
            <a:rPr lang="en-CA" sz="1000" b="0" i="1">
              <a:solidFill>
                <a:srgbClr val="FF0000"/>
              </a:solidFill>
            </a:rPr>
            <a:t>(P</a:t>
          </a:r>
          <a:r>
            <a:rPr lang="en-CA" sz="1000" b="0" i="1" baseline="0">
              <a:solidFill>
                <a:srgbClr val="FF0000"/>
              </a:solidFill>
            </a:rPr>
            <a:t>lease provide alternate cost centre for future costs to be directed to , otherwise provide Rationale)</a:t>
          </a:r>
          <a:endParaRPr lang="en-CA" sz="1000" b="0" i="1">
            <a:solidFill>
              <a:srgbClr val="FF0000"/>
            </a:solidFill>
          </a:endParaRPr>
        </a:p>
      </xdr:txBody>
    </xdr:sp>
    <xdr:clientData/>
  </xdr:twoCellAnchor>
  <xdr:twoCellAnchor>
    <xdr:from>
      <xdr:col>7</xdr:col>
      <xdr:colOff>281940</xdr:colOff>
      <xdr:row>15</xdr:row>
      <xdr:rowOff>7620</xdr:rowOff>
    </xdr:from>
    <xdr:to>
      <xdr:col>8</xdr:col>
      <xdr:colOff>0</xdr:colOff>
      <xdr:row>18</xdr:row>
      <xdr:rowOff>28575</xdr:rowOff>
    </xdr:to>
    <xdr:sp macro="" textlink="">
      <xdr:nvSpPr>
        <xdr:cNvPr id="99" name="TextBox 98">
          <a:extLst>
            <a:ext uri="{FF2B5EF4-FFF2-40B4-BE49-F238E27FC236}">
              <a16:creationId xmlns:a16="http://schemas.microsoft.com/office/drawing/2014/main" id="{00000000-0008-0000-0200-000063000000}"/>
            </a:ext>
          </a:extLst>
        </xdr:cNvPr>
        <xdr:cNvSpPr txBox="1"/>
      </xdr:nvSpPr>
      <xdr:spPr>
        <a:xfrm>
          <a:off x="7673340" y="4328160"/>
          <a:ext cx="2575560" cy="531495"/>
        </a:xfrm>
        <a:prstGeom prst="rect">
          <a:avLst/>
        </a:prstGeom>
        <a:noFill/>
        <a:ln w="34925" cmpd="sng">
          <a:solidFill>
            <a:srgbClr val="7030A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900" b="1">
              <a:solidFill>
                <a:srgbClr val="7030A0"/>
              </a:solidFill>
            </a:rPr>
            <a:t>Please</a:t>
          </a:r>
          <a:r>
            <a:rPr lang="en-CA" sz="900" b="1" baseline="0">
              <a:solidFill>
                <a:srgbClr val="7030A0"/>
              </a:solidFill>
            </a:rPr>
            <a:t> provide comments for all checks completed below. Put evidence to back up these checks in the separate tab, if applicable.</a:t>
          </a:r>
          <a:endParaRPr lang="en-CA" sz="900" b="1">
            <a:solidFill>
              <a:srgbClr val="7030A0"/>
            </a:solidFill>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6350</xdr:colOff>
          <xdr:row>0</xdr:row>
          <xdr:rowOff>254000</xdr:rowOff>
        </xdr:from>
        <xdr:to>
          <xdr:col>3</xdr:col>
          <xdr:colOff>273050</xdr:colOff>
          <xdr:row>0</xdr:row>
          <xdr:rowOff>787400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5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 Clear MDCR</a:t>
              </a:r>
            </a:p>
          </xdr:txBody>
        </xdr:sp>
        <xdr:clientData fPrintsWithSheet="0"/>
      </xdr:twoCellAnchor>
    </mc:Choice>
    <mc:Fallback/>
  </mc:AlternateContent>
  <xdr:twoCellAnchor>
    <xdr:from>
      <xdr:col>0</xdr:col>
      <xdr:colOff>161925</xdr:colOff>
      <xdr:row>0</xdr:row>
      <xdr:rowOff>95250</xdr:rowOff>
    </xdr:from>
    <xdr:to>
      <xdr:col>1</xdr:col>
      <xdr:colOff>561975</xdr:colOff>
      <xdr:row>0</xdr:row>
      <xdr:rowOff>640080</xdr:rowOff>
    </xdr:to>
    <xdr:sp macro="" textlink="">
      <xdr:nvSpPr>
        <xdr:cNvPr id="6" name="Rectangle 5">
          <a:hlinkClick xmlns:r="http://schemas.openxmlformats.org/officeDocument/2006/relationships" r:id="rId1"/>
          <a:extLst>
            <a:ext uri="{FF2B5EF4-FFF2-40B4-BE49-F238E27FC236}">
              <a16:creationId xmlns:a16="http://schemas.microsoft.com/office/drawing/2014/main" id="{00000000-0008-0000-0500-000006000000}"/>
            </a:ext>
          </a:extLst>
        </xdr:cNvPr>
        <xdr:cNvSpPr/>
      </xdr:nvSpPr>
      <xdr:spPr>
        <a:xfrm>
          <a:off x="161925" y="95250"/>
          <a:ext cx="1360170" cy="54483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CA" sz="1400" b="1"/>
            <a:t>Table</a:t>
          </a:r>
          <a:r>
            <a:rPr lang="en-CA" sz="1400" b="1" baseline="0"/>
            <a:t> of Contents </a:t>
          </a:r>
          <a:endParaRPr lang="en-CA" sz="1400" b="1"/>
        </a:p>
      </xdr:txBody>
    </xdr:sp>
    <xdr:clientData/>
  </xdr:twoCellAnchor>
  <mc:AlternateContent xmlns:mc="http://schemas.openxmlformats.org/markup-compatibility/2006">
    <mc:Choice xmlns:a14="http://schemas.microsoft.com/office/drawing/2010/main" Requires="a14">
      <xdr:twoCellAnchor>
        <xdr:from>
          <xdr:col>6</xdr:col>
          <xdr:colOff>1530350</xdr:colOff>
          <xdr:row>0</xdr:row>
          <xdr:rowOff>101600</xdr:rowOff>
        </xdr:from>
        <xdr:to>
          <xdr:col>8</xdr:col>
          <xdr:colOff>6350</xdr:colOff>
          <xdr:row>1</xdr:row>
          <xdr:rowOff>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5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MDCR</a:t>
              </a:r>
            </a:p>
          </xdr:txBody>
        </xdr:sp>
        <xdr:clientData fPrintsWithSheet="0"/>
      </xdr:twoCellAnchor>
    </mc:Choice>
    <mc:Fallback/>
  </mc:AlternateContent>
  <xdr:twoCellAnchor>
    <xdr:from>
      <xdr:col>8</xdr:col>
      <xdr:colOff>0</xdr:colOff>
      <xdr:row>0</xdr:row>
      <xdr:rowOff>361950</xdr:rowOff>
    </xdr:from>
    <xdr:to>
      <xdr:col>10</xdr:col>
      <xdr:colOff>1085850</xdr:colOff>
      <xdr:row>12</xdr:row>
      <xdr:rowOff>19050</xdr:rowOff>
    </xdr:to>
    <xdr:sp macro="" textlink="">
      <xdr:nvSpPr>
        <xdr:cNvPr id="10" name="Rectangle 9">
          <a:extLst>
            <a:ext uri="{FF2B5EF4-FFF2-40B4-BE49-F238E27FC236}">
              <a16:creationId xmlns:a16="http://schemas.microsoft.com/office/drawing/2014/main" id="{00000000-0008-0000-0500-00000A000000}"/>
            </a:ext>
          </a:extLst>
        </xdr:cNvPr>
        <xdr:cNvSpPr/>
      </xdr:nvSpPr>
      <xdr:spPr>
        <a:xfrm>
          <a:off x="11906250" y="361950"/>
          <a:ext cx="3867150" cy="2743200"/>
        </a:xfrm>
        <a:prstGeom prst="rect">
          <a:avLst/>
        </a:prstGeom>
        <a:solidFill>
          <a:schemeClr val="accent5">
            <a:lumMod val="20000"/>
            <a:lumOff val="80000"/>
          </a:schemeClr>
        </a:soli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CA" sz="1400" b="1" i="0" u="none" strike="noStrike" kern="0" cap="none" spc="0" normalizeH="0" baseline="0" noProof="0">
              <a:ln>
                <a:noFill/>
              </a:ln>
              <a:solidFill>
                <a:sysClr val="windowText" lastClr="000000"/>
              </a:solidFill>
              <a:effectLst/>
              <a:uLnTx/>
              <a:uFillTx/>
              <a:latin typeface="Calibri"/>
              <a:ea typeface="+mn-ea"/>
              <a:cs typeface="+mn-cs"/>
            </a:rPr>
            <a:t>STEP 1:</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400" b="0" i="0" u="none" strike="noStrike" kern="0" cap="none" spc="0" normalizeH="0" baseline="0" noProof="0">
              <a:ln>
                <a:noFill/>
              </a:ln>
              <a:solidFill>
                <a:sysClr val="windowText" lastClr="000000"/>
              </a:solidFill>
              <a:effectLst/>
              <a:uLnTx/>
              <a:uFillTx/>
              <a:latin typeface="Calibri"/>
              <a:ea typeface="+mn-ea"/>
              <a:cs typeface="+mn-cs"/>
            </a:rPr>
            <a:t>Please fill out the 5 columns to drop down the next row of Cells </a:t>
          </a:r>
        </a:p>
      </xdr:txBody>
    </xdr:sp>
    <xdr:clientData/>
  </xdr:twoCellAnchor>
  <xdr:twoCellAnchor>
    <xdr:from>
      <xdr:col>7</xdr:col>
      <xdr:colOff>1533525</xdr:colOff>
      <xdr:row>3</xdr:row>
      <xdr:rowOff>190499</xdr:rowOff>
    </xdr:from>
    <xdr:to>
      <xdr:col>10</xdr:col>
      <xdr:colOff>1066800</xdr:colOff>
      <xdr:row>12</xdr:row>
      <xdr:rowOff>0</xdr:rowOff>
    </xdr:to>
    <xdr:sp macro="" textlink="">
      <xdr:nvSpPr>
        <xdr:cNvPr id="11" name="Rectangle 10">
          <a:extLst>
            <a:ext uri="{FF2B5EF4-FFF2-40B4-BE49-F238E27FC236}">
              <a16:creationId xmlns:a16="http://schemas.microsoft.com/office/drawing/2014/main" id="{00000000-0008-0000-0500-00000B000000}"/>
            </a:ext>
          </a:extLst>
        </xdr:cNvPr>
        <xdr:cNvSpPr/>
      </xdr:nvSpPr>
      <xdr:spPr>
        <a:xfrm>
          <a:off x="11896725" y="1523999"/>
          <a:ext cx="3857625" cy="1562101"/>
        </a:xfrm>
        <a:prstGeom prst="rect">
          <a:avLst/>
        </a:prstGeom>
        <a:solidFill>
          <a:schemeClr val="accent5">
            <a:lumMod val="20000"/>
            <a:lumOff val="80000"/>
          </a:schemeClr>
        </a:solid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r>
            <a:rPr lang="en-CA" sz="1400" b="1" baseline="0"/>
            <a:t>Step 2:</a:t>
          </a:r>
        </a:p>
        <a:p>
          <a:pPr algn="l"/>
          <a:r>
            <a:rPr lang="en-CA" sz="1400" baseline="0"/>
            <a:t>Please select Company code and Summary or Consolidated</a:t>
          </a:r>
        </a:p>
        <a:p>
          <a:pPr algn="l"/>
          <a:endParaRPr lang="en-CA" sz="1400" baseline="0"/>
        </a:p>
        <a:p>
          <a:pPr algn="l"/>
          <a:r>
            <a:rPr lang="en-CA" sz="1400" b="1" baseline="0"/>
            <a:t>Step 3:</a:t>
          </a:r>
          <a:r>
            <a:rPr lang="en-CA" sz="1100" b="0" i="0" u="none" strike="noStrike">
              <a:solidFill>
                <a:schemeClr val="dk1"/>
              </a:solidFill>
              <a:effectLst/>
              <a:latin typeface="+mn-lt"/>
              <a:ea typeface="+mn-ea"/>
              <a:cs typeface="+mn-cs"/>
            </a:rPr>
            <a:t> </a:t>
          </a:r>
          <a:r>
            <a:rPr lang="en-CA" sz="1400"/>
            <a:t> </a:t>
          </a:r>
        </a:p>
        <a:p>
          <a:pPr algn="l"/>
          <a:r>
            <a:rPr lang="en-CA" sz="1400" baseline="0"/>
            <a:t>Click Generate MDCR to create the form.</a:t>
          </a:r>
        </a:p>
        <a:p>
          <a:pPr algn="l"/>
          <a:endParaRPr lang="en-CA" sz="1100" baseline="0"/>
        </a:p>
        <a:p>
          <a:pPr algn="l"/>
          <a:r>
            <a:rPr lang="en-CA" sz="1100" baseline="0"/>
            <a:t> </a:t>
          </a:r>
          <a:endParaRPr lang="en-CA" sz="1100"/>
        </a:p>
      </xdr:txBody>
    </xdr:sp>
    <xdr:clientData/>
  </xdr:twoCellAnchor>
  <mc:AlternateContent xmlns:mc="http://schemas.openxmlformats.org/markup-compatibility/2006">
    <mc:Choice xmlns:a14="http://schemas.microsoft.com/office/drawing/2010/main" Requires="a14">
      <xdr:twoCellAnchor>
        <xdr:from>
          <xdr:col>6</xdr:col>
          <xdr:colOff>1358900</xdr:colOff>
          <xdr:row>0</xdr:row>
          <xdr:rowOff>184150</xdr:rowOff>
        </xdr:from>
        <xdr:to>
          <xdr:col>7</xdr:col>
          <xdr:colOff>1447800</xdr:colOff>
          <xdr:row>0</xdr:row>
          <xdr:rowOff>762000</xdr:rowOff>
        </xdr:to>
        <xdr:sp macro="" textlink="">
          <xdr:nvSpPr>
            <xdr:cNvPr id="3080" name="Button 8" hidden="1">
              <a:extLst>
                <a:ext uri="{63B3BB69-23CF-44E3-9099-C40C66FF867C}">
                  <a14:compatExt spid="_x0000_s3080"/>
                </a:ext>
                <a:ext uri="{FF2B5EF4-FFF2-40B4-BE49-F238E27FC236}">
                  <a16:creationId xmlns:a16="http://schemas.microsoft.com/office/drawing/2014/main" id="{00000000-0008-0000-0500-00000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MDCR </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161925</xdr:colOff>
      <xdr:row>0</xdr:row>
      <xdr:rowOff>95250</xdr:rowOff>
    </xdr:from>
    <xdr:to>
      <xdr:col>1</xdr:col>
      <xdr:colOff>866775</xdr:colOff>
      <xdr:row>1</xdr:row>
      <xdr:rowOff>0</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00000000-0008-0000-0800-000003000000}"/>
            </a:ext>
          </a:extLst>
        </xdr:cNvPr>
        <xdr:cNvSpPr/>
      </xdr:nvSpPr>
      <xdr:spPr>
        <a:xfrm>
          <a:off x="161925" y="95250"/>
          <a:ext cx="1552575" cy="685800"/>
        </a:xfrm>
        <a:prstGeom prst="rect">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ctr"/>
        <a:lstStyle/>
        <a:p>
          <a:pPr algn="ctr"/>
          <a:r>
            <a:rPr lang="en-CA" sz="1400" b="1"/>
            <a:t>Table</a:t>
          </a:r>
          <a:r>
            <a:rPr lang="en-CA" sz="1400" b="1" baseline="0"/>
            <a:t> of Contents </a:t>
          </a:r>
          <a:endParaRPr lang="en-CA" sz="1400" b="1"/>
        </a:p>
      </xdr:txBody>
    </xdr:sp>
    <xdr:clientData/>
  </xdr:twoCellAnchor>
  <mc:AlternateContent xmlns:mc="http://schemas.openxmlformats.org/markup-compatibility/2006">
    <mc:Choice xmlns:a14="http://schemas.microsoft.com/office/drawing/2010/main" Requires="a14">
      <xdr:twoCellAnchor>
        <xdr:from>
          <xdr:col>6</xdr:col>
          <xdr:colOff>1530350</xdr:colOff>
          <xdr:row>0</xdr:row>
          <xdr:rowOff>101600</xdr:rowOff>
        </xdr:from>
        <xdr:to>
          <xdr:col>8</xdr:col>
          <xdr:colOff>6350</xdr:colOff>
          <xdr:row>0</xdr:row>
          <xdr:rowOff>685800</xdr:rowOff>
        </xdr:to>
        <xdr:sp macro="" textlink="">
          <xdr:nvSpPr>
            <xdr:cNvPr id="16387" name="Button 3" hidden="1">
              <a:extLst>
                <a:ext uri="{63B3BB69-23CF-44E3-9099-C40C66FF867C}">
                  <a14:compatExt spid="_x0000_s16387"/>
                </a:ext>
                <a:ext uri="{FF2B5EF4-FFF2-40B4-BE49-F238E27FC236}">
                  <a16:creationId xmlns:a16="http://schemas.microsoft.com/office/drawing/2014/main" id="{00000000-0008-0000-0800-000003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MDCR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1136650</xdr:colOff>
          <xdr:row>0</xdr:row>
          <xdr:rowOff>184150</xdr:rowOff>
        </xdr:from>
        <xdr:to>
          <xdr:col>7</xdr:col>
          <xdr:colOff>1149350</xdr:colOff>
          <xdr:row>0</xdr:row>
          <xdr:rowOff>831850</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800-000006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Generate MDCR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63500</xdr:colOff>
          <xdr:row>0</xdr:row>
          <xdr:rowOff>196850</xdr:rowOff>
        </xdr:from>
        <xdr:to>
          <xdr:col>2</xdr:col>
          <xdr:colOff>2006600</xdr:colOff>
          <xdr:row>0</xdr:row>
          <xdr:rowOff>749300</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800-000007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ea typeface="Calibri"/>
                  <a:cs typeface="Calibri"/>
                </a:rPr>
                <a:t>Clear MDCR</a:t>
              </a:r>
            </a:p>
          </xdr:txBody>
        </xdr:sp>
        <xdr:clientData fPrintsWithSheet="0"/>
      </xdr:twoCellAnchor>
    </mc:Choice>
    <mc:Fallback/>
  </mc:AlternateContent>
  <xdr:twoCellAnchor>
    <xdr:from>
      <xdr:col>8</xdr:col>
      <xdr:colOff>76200</xdr:colOff>
      <xdr:row>0</xdr:row>
      <xdr:rowOff>447675</xdr:rowOff>
    </xdr:from>
    <xdr:to>
      <xdr:col>12</xdr:col>
      <xdr:colOff>257175</xdr:colOff>
      <xdr:row>2</xdr:row>
      <xdr:rowOff>180976</xdr:rowOff>
    </xdr:to>
    <xdr:sp macro="" textlink="">
      <xdr:nvSpPr>
        <xdr:cNvPr id="7" name="Rectangle 6">
          <a:extLst>
            <a:ext uri="{FF2B5EF4-FFF2-40B4-BE49-F238E27FC236}">
              <a16:creationId xmlns:a16="http://schemas.microsoft.com/office/drawing/2014/main" id="{00000000-0008-0000-0800-000007000000}"/>
            </a:ext>
          </a:extLst>
        </xdr:cNvPr>
        <xdr:cNvSpPr/>
      </xdr:nvSpPr>
      <xdr:spPr>
        <a:xfrm>
          <a:off x="14135100" y="447675"/>
          <a:ext cx="3562350" cy="923926"/>
        </a:xfrm>
        <a:prstGeom prst="rect">
          <a:avLst/>
        </a:prstGeom>
        <a:solidFill>
          <a:schemeClr val="bg2">
            <a:lumMod val="90000"/>
          </a:schemeClr>
        </a:soli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CA" sz="1400" b="1" i="0" u="none" strike="noStrike" kern="0" cap="none" spc="0" normalizeH="0" baseline="0" noProof="0">
              <a:ln>
                <a:noFill/>
              </a:ln>
              <a:solidFill>
                <a:sysClr val="windowText" lastClr="000000"/>
              </a:solidFill>
              <a:effectLst/>
              <a:uLnTx/>
              <a:uFillTx/>
              <a:latin typeface="Calibri"/>
              <a:ea typeface="+mn-ea"/>
              <a:cs typeface="+mn-cs"/>
            </a:rPr>
            <a:t>STEP 1:</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400" b="0" i="0" u="none" strike="noStrike" kern="0" cap="none" spc="0" normalizeH="0" baseline="0" noProof="0">
              <a:ln>
                <a:noFill/>
              </a:ln>
              <a:solidFill>
                <a:sysClr val="windowText" lastClr="000000"/>
              </a:solidFill>
              <a:effectLst/>
              <a:uLnTx/>
              <a:uFillTx/>
              <a:latin typeface="Calibri"/>
              <a:ea typeface="+mn-ea"/>
              <a:cs typeface="+mn-cs"/>
            </a:rPr>
            <a:t>Please fill out the 5 columns to drop down the next row of Cells </a:t>
          </a:r>
        </a:p>
      </xdr:txBody>
    </xdr:sp>
    <xdr:clientData/>
  </xdr:twoCellAnchor>
  <xdr:twoCellAnchor>
    <xdr:from>
      <xdr:col>8</xdr:col>
      <xdr:colOff>95250</xdr:colOff>
      <xdr:row>3</xdr:row>
      <xdr:rowOff>28575</xdr:rowOff>
    </xdr:from>
    <xdr:to>
      <xdr:col>12</xdr:col>
      <xdr:colOff>224790</xdr:colOff>
      <xdr:row>9</xdr:row>
      <xdr:rowOff>171450</xdr:rowOff>
    </xdr:to>
    <xdr:sp macro="" textlink="">
      <xdr:nvSpPr>
        <xdr:cNvPr id="9" name="Rectangle 8">
          <a:extLst>
            <a:ext uri="{FF2B5EF4-FFF2-40B4-BE49-F238E27FC236}">
              <a16:creationId xmlns:a16="http://schemas.microsoft.com/office/drawing/2014/main" id="{00000000-0008-0000-0800-000009000000}"/>
            </a:ext>
          </a:extLst>
        </xdr:cNvPr>
        <xdr:cNvSpPr/>
      </xdr:nvSpPr>
      <xdr:spPr>
        <a:xfrm>
          <a:off x="14154150" y="1504950"/>
          <a:ext cx="3510915" cy="1343025"/>
        </a:xfrm>
        <a:prstGeom prst="rect">
          <a:avLst/>
        </a:prstGeom>
        <a:solidFill>
          <a:schemeClr val="bg2">
            <a:lumMod val="90000"/>
          </a:schemeClr>
        </a:solidFill>
        <a:ln w="9525" cap="flat" cmpd="sng" algn="ctr">
          <a:solidFill>
            <a:srgbClr val="9BBB59">
              <a:shade val="95000"/>
              <a:satMod val="105000"/>
            </a:srgbClr>
          </a:solidFill>
          <a:prstDash val="solid"/>
        </a:ln>
        <a:effectLst>
          <a:outerShdw blurRad="40000" dist="20000" dir="5400000" rotWithShape="0">
            <a:srgbClr val="000000">
              <a:alpha val="38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CA" sz="1400" b="1" i="0" u="none" strike="noStrike" kern="0" cap="none" spc="0" normalizeH="0" baseline="0" noProof="0">
              <a:ln>
                <a:noFill/>
              </a:ln>
              <a:solidFill>
                <a:sysClr val="windowText" lastClr="000000"/>
              </a:solidFill>
              <a:effectLst/>
              <a:uLnTx/>
              <a:uFillTx/>
              <a:latin typeface="Calibri"/>
              <a:ea typeface="+mn-ea"/>
              <a:cs typeface="+mn-cs"/>
            </a:rPr>
            <a:t>Step 2:</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400" b="0" i="0" u="none" strike="noStrike" kern="0" cap="none" spc="0" normalizeH="0" baseline="0" noProof="0">
              <a:ln>
                <a:noFill/>
              </a:ln>
              <a:solidFill>
                <a:sysClr val="windowText" lastClr="000000"/>
              </a:solidFill>
              <a:effectLst/>
              <a:uLnTx/>
              <a:uFillTx/>
              <a:latin typeface="Calibri"/>
              <a:ea typeface="+mn-ea"/>
              <a:cs typeface="+mn-cs"/>
            </a:rPr>
            <a:t>Please select Company code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CA" sz="14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400" b="1" i="0" u="none" strike="noStrike" kern="0" cap="none" spc="0" normalizeH="0" baseline="0" noProof="0">
              <a:ln>
                <a:noFill/>
              </a:ln>
              <a:solidFill>
                <a:sysClr val="windowText" lastClr="000000"/>
              </a:solidFill>
              <a:effectLst/>
              <a:uLnTx/>
              <a:uFillTx/>
              <a:latin typeface="Calibri"/>
              <a:ea typeface="+mn-ea"/>
              <a:cs typeface="+mn-cs"/>
            </a:rPr>
            <a:t>Step 3:</a:t>
          </a:r>
          <a:r>
            <a:rPr kumimoji="0" lang="en-CA" sz="1100" b="0" i="0" u="none" strike="noStrike" kern="0" cap="none" spc="0" normalizeH="0" baseline="0" noProof="0">
              <a:ln>
                <a:noFill/>
              </a:ln>
              <a:solidFill>
                <a:sysClr val="windowText" lastClr="000000"/>
              </a:solidFill>
              <a:effectLst/>
              <a:uLnTx/>
              <a:uFillTx/>
              <a:latin typeface="Calibri"/>
              <a:ea typeface="+mn-ea"/>
              <a:cs typeface="+mn-cs"/>
            </a:rPr>
            <a:t> </a:t>
          </a:r>
          <a:r>
            <a:rPr kumimoji="0" lang="en-CA" sz="1400" b="0" i="0" u="none" strike="noStrike" kern="0" cap="none" spc="0" normalizeH="0" baseline="0" noProof="0">
              <a:ln>
                <a:noFill/>
              </a:ln>
              <a:solidFill>
                <a:sysClr val="windowText" lastClr="000000"/>
              </a:solidFill>
              <a:effectLst/>
              <a:uLnTx/>
              <a:uFillTx/>
              <a:latin typeface="Calibri"/>
              <a:ea typeface="+mn-ea"/>
              <a:cs typeface="+mn-cs"/>
            </a:rPr>
            <a:t>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400" b="0" i="0" u="none" strike="noStrike" kern="0" cap="none" spc="0" normalizeH="0" baseline="0" noProof="0">
              <a:ln>
                <a:noFill/>
              </a:ln>
              <a:solidFill>
                <a:sysClr val="windowText" lastClr="000000"/>
              </a:solidFill>
              <a:effectLst/>
              <a:uLnTx/>
              <a:uFillTx/>
              <a:latin typeface="Calibri"/>
              <a:ea typeface="+mn-ea"/>
              <a:cs typeface="+mn-cs"/>
            </a:rPr>
            <a:t>Click Generate MDCR to create the form.</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CA" sz="1100" b="0" i="0" u="none" strike="noStrike" kern="0" cap="none" spc="0" normalizeH="0" baseline="0" noProof="0">
            <a:ln>
              <a:noFill/>
            </a:ln>
            <a:solidFill>
              <a:sysClr val="windowText" lastClr="000000"/>
            </a:solidFill>
            <a:effectLst/>
            <a:uLnTx/>
            <a:uFillTx/>
            <a:latin typeface="Calibri"/>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CA" sz="1100" b="0" i="0" u="none" strike="noStrike" kern="0" cap="none" spc="0" normalizeH="0" baseline="0" noProof="0">
              <a:ln>
                <a:noFill/>
              </a:ln>
              <a:solidFill>
                <a:sysClr val="windowText" lastClr="000000"/>
              </a:solidFill>
              <a:effectLst/>
              <a:uLnTx/>
              <a:uFillTx/>
              <a:latin typeface="Calibri"/>
              <a:ea typeface="+mn-ea"/>
              <a:cs typeface="+mn-cs"/>
            </a:rPr>
            <a:t> </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472440</xdr:colOff>
      <xdr:row>0</xdr:row>
      <xdr:rowOff>0</xdr:rowOff>
    </xdr:from>
    <xdr:to>
      <xdr:col>3</xdr:col>
      <xdr:colOff>624840</xdr:colOff>
      <xdr:row>4</xdr:row>
      <xdr:rowOff>171450</xdr:rowOff>
    </xdr:to>
    <xdr:pic>
      <xdr:nvPicPr>
        <xdr:cNvPr id="2" name="Picture 101" descr="nfusehead">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912620" y="0"/>
          <a:ext cx="2209800" cy="9029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22860</xdr:colOff>
      <xdr:row>0</xdr:row>
      <xdr:rowOff>99060</xdr:rowOff>
    </xdr:from>
    <xdr:to>
      <xdr:col>8</xdr:col>
      <xdr:colOff>5715</xdr:colOff>
      <xdr:row>3</xdr:row>
      <xdr:rowOff>150495</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00000000-0008-0000-0900-000004000000}"/>
            </a:ext>
          </a:extLst>
        </xdr:cNvPr>
        <xdr:cNvSpPr/>
      </xdr:nvSpPr>
      <xdr:spPr>
        <a:xfrm>
          <a:off x="5029200" y="99060"/>
          <a:ext cx="1514475" cy="600075"/>
        </a:xfrm>
        <a:prstGeom prst="rect">
          <a:avLst/>
        </a:prstGeom>
        <a:solidFill>
          <a:sysClr val="windowText" lastClr="000000"/>
        </a:solidFill>
        <a:ln w="25400" cap="flat" cmpd="sng" algn="ctr">
          <a:solidFill>
            <a:sysClr val="windowText" lastClr="000000">
              <a:shade val="50000"/>
            </a:sysClr>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400" b="1" i="0" u="none" strike="noStrike" kern="0" cap="none" spc="0" normalizeH="0" baseline="0" noProof="0">
              <a:ln>
                <a:noFill/>
              </a:ln>
              <a:solidFill>
                <a:sysClr val="window" lastClr="FFFFFF"/>
              </a:solidFill>
              <a:effectLst/>
              <a:uLnTx/>
              <a:uFillTx/>
              <a:latin typeface="Calibri"/>
              <a:ea typeface="+mn-ea"/>
              <a:cs typeface="+mn-cs"/>
            </a:rPr>
            <a:t>Table of Contents </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91440</xdr:colOff>
      <xdr:row>0</xdr:row>
      <xdr:rowOff>53340</xdr:rowOff>
    </xdr:from>
    <xdr:to>
      <xdr:col>1</xdr:col>
      <xdr:colOff>2019300</xdr:colOff>
      <xdr:row>5</xdr:row>
      <xdr:rowOff>110490</xdr:rowOff>
    </xdr:to>
    <xdr:pic>
      <xdr:nvPicPr>
        <xdr:cNvPr id="2" name="Picture 101" descr="nfusehead">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440" y="53340"/>
          <a:ext cx="2026920"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2065020</xdr:colOff>
      <xdr:row>0</xdr:row>
      <xdr:rowOff>91440</xdr:rowOff>
    </xdr:from>
    <xdr:to>
      <xdr:col>6</xdr:col>
      <xdr:colOff>3579495</xdr:colOff>
      <xdr:row>3</xdr:row>
      <xdr:rowOff>142875</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0B00-000006000000}"/>
            </a:ext>
          </a:extLst>
        </xdr:cNvPr>
        <xdr:cNvSpPr/>
      </xdr:nvSpPr>
      <xdr:spPr>
        <a:xfrm>
          <a:off x="8328660" y="91440"/>
          <a:ext cx="1514475" cy="600075"/>
        </a:xfrm>
        <a:prstGeom prst="rect">
          <a:avLst/>
        </a:prstGeom>
        <a:solidFill>
          <a:sysClr val="windowText" lastClr="000000"/>
        </a:solidFill>
        <a:ln w="25400" cap="flat" cmpd="sng" algn="ctr">
          <a:solidFill>
            <a:sysClr val="windowText" lastClr="000000">
              <a:shade val="50000"/>
            </a:sysClr>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400" b="1" i="0" u="none" strike="noStrike" kern="0" cap="none" spc="0" normalizeH="0" baseline="0" noProof="0">
              <a:ln>
                <a:noFill/>
              </a:ln>
              <a:solidFill>
                <a:sysClr val="window" lastClr="FFFFFF"/>
              </a:solidFill>
              <a:effectLst/>
              <a:uLnTx/>
              <a:uFillTx/>
              <a:latin typeface="Calibri"/>
              <a:ea typeface="+mn-ea"/>
              <a:cs typeface="+mn-cs"/>
            </a:rPr>
            <a:t>Table of Contents </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53340</xdr:rowOff>
    </xdr:from>
    <xdr:to>
      <xdr:col>2</xdr:col>
      <xdr:colOff>333375</xdr:colOff>
      <xdr:row>3</xdr:row>
      <xdr:rowOff>104775</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C00-000004000000}"/>
            </a:ext>
          </a:extLst>
        </xdr:cNvPr>
        <xdr:cNvSpPr/>
      </xdr:nvSpPr>
      <xdr:spPr>
        <a:xfrm>
          <a:off x="38100" y="53340"/>
          <a:ext cx="1514475" cy="600075"/>
        </a:xfrm>
        <a:prstGeom prst="rect">
          <a:avLst/>
        </a:prstGeom>
        <a:solidFill>
          <a:sysClr val="windowText" lastClr="000000"/>
        </a:solidFill>
        <a:ln w="25400" cap="flat" cmpd="sng" algn="ctr">
          <a:solidFill>
            <a:sysClr val="windowText" lastClr="000000">
              <a:shade val="50000"/>
            </a:sysClr>
          </a:solidFill>
          <a:prstDash val="solid"/>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CA" sz="1400" b="1" i="0" u="none" strike="noStrike" kern="0" cap="none" spc="0" normalizeH="0" baseline="0" noProof="0">
              <a:ln>
                <a:noFill/>
              </a:ln>
              <a:solidFill>
                <a:sysClr val="window" lastClr="FFFFFF"/>
              </a:solidFill>
              <a:effectLst/>
              <a:uLnTx/>
              <a:uFillTx/>
              <a:latin typeface="Calibri"/>
              <a:ea typeface="+mn-ea"/>
              <a:cs typeface="+mn-cs"/>
            </a:rPr>
            <a:t>Table of Contents </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vzhai\AppData\Local\Box\Box%20Edit\Documents\FjY7mWupQUWu2N+B_SSeCg==\S4%20Model%20Company%20Code%20Active%20ECC%20and%20S4%20GL.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sfrey\AppData\Local\Microsoft\Windows\Temporary%20Internet%20Files\Content.Outlook\VZDDX0GI\MDCR%20Form\2015%20FOP%20Hierarchy%20Group%20Maintenance%20Form.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acifs30\ca_transformation\Deliverable%20Tracking\OTC%20Status%20Report%20Current.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vzhai\AppData\Local\Box\Box%20Edit\Documents\2VNVy4sLe0CZuBlhuqlhHQ==\GL%20Master%20Data.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vzhai\AppData\Local\Box\Box%20Edit\Documents\jx__v7glp0+KhFHKhLF+8Q==\GL%20Master%20Data.xlsb"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I829226\Documents\HEC\IBM_PRC_MMDDYY.xlsm" TargetMode="External"/></Relationships>
</file>

<file path=xl/externalLinks/_rels/externalLink7.xml.rels><?xml version="1.0" encoding="UTF-8" standalone="yes"?>
<Relationships xmlns="http://schemas.openxmlformats.org/package/2006/relationships"><Relationship Id="rId1" Type="http://schemas.microsoft.com/office/2006/relationships/xlExternalLinkPath/xlPathMissing" Target="Tem_Project%20Issues%20Register%20(2).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PathMissing" Target="EVDOracle_LocalAnalysis_PathwaysSamples_Mar22_BCS%20Comments.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patrick.j.heath\Documents\Suncor\Integration%20Conceptual%20Design\Data%20Workshop\MD%20Solution%20Integration%20-%20Survey%20Results%2020120213_1845.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patrick.j.heath\AppData\Local\Microsoft\Windows\Temporary%20Internet%20Files\Content.Outlook\M0GQ7QZJ\Requirements_Tracability_Matrix_-_MMS__v1.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4 GL Model Company List"/>
      <sheetName val="Fixed Asset &amp; ARO CoCd List"/>
      <sheetName val="S4 Mapped &amp; Not Mapped"/>
      <sheetName val="S4Mapped&amp;NotMapped Summary"/>
      <sheetName val="ECC &amp; S4 Model CoCd GL"/>
      <sheetName val="S4Validation - X-ref&amp;MasterFile"/>
      <sheetName val="S4 Conversion Acct"/>
      <sheetName val="S4 Mapped GL Transition File"/>
      <sheetName val="S4 Mapped GL Consolidated"/>
      <sheetName val="S4 Not Mapped with ECC"/>
      <sheetName val="Upstream1000"/>
      <sheetName val="Active GL 1000"/>
      <sheetName val="DownstreamRF1060"/>
      <sheetName val="Active GL 1060"/>
      <sheetName val="Midstream1020"/>
      <sheetName val="Active GL 1020"/>
      <sheetName val="Functional1050"/>
      <sheetName val="Active GL 1050"/>
      <sheetName val="JV1525"/>
      <sheetName val="Active GL 1525"/>
      <sheetName val="USFERC2030"/>
      <sheetName val="Active GL 2030"/>
      <sheetName val="FinHolding1255"/>
      <sheetName val="Active GL 125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ierarchy-Group MDCR Form"/>
      <sheetName val="Drop Down Selections"/>
      <sheetName val="Future Hierarchy Structure"/>
      <sheetName val="Email Confirmation"/>
    </sheetNames>
    <sheetDataSet>
      <sheetData sheetId="0"/>
      <sheetData sheetId="1">
        <row r="22">
          <cell r="B22">
            <v>0</v>
          </cell>
        </row>
        <row r="23">
          <cell r="B23" t="str">
            <v>ECC6</v>
          </cell>
        </row>
        <row r="24">
          <cell r="B24" t="str">
            <v>BCS</v>
          </cell>
        </row>
      </sheetData>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Configuration"/>
      <sheetName val="Deliverables R1"/>
      <sheetName val="Deliverables R2"/>
      <sheetName val="Deliverables R3"/>
      <sheetName val="DR3 Old"/>
      <sheetName val="Pivot Deliverable"/>
      <sheetName val="OTC Status Report -- Current"/>
      <sheetName val="OTC Status Report Mar 4 WK 18"/>
      <sheetName val="OTC Status Report Feb 25 WK 17"/>
      <sheetName val="OTC Status Report Feb 16 WK16"/>
      <sheetName val="OTC Status Report Feb 11 WK15"/>
      <sheetName val="OTC Status Report Feb 4 WK14"/>
      <sheetName val="OTC Status Report Jan-21 WK 13"/>
      <sheetName val="OTC Status Report Jan-14 WK.12"/>
      <sheetName val="OTC Status Report Jan-14 WK.11"/>
      <sheetName val="OD R1"/>
      <sheetName val="OD R2"/>
      <sheetName val="OD R3"/>
      <sheetName val="SO R1"/>
      <sheetName val="SO R2"/>
      <sheetName val="SO R3"/>
      <sheetName val="Deliverables Reference"/>
      <sheetName val="Deliverable"/>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User Instructions"/>
      <sheetName val="Doc Control Info"/>
      <sheetName val="Key Values"/>
      <sheetName val="DoNotUse Account Name"/>
      <sheetName val="DoNotUse Account keywords"/>
      <sheetName val="Key Values 1"/>
      <sheetName val="DNU - Blocked GLs"/>
      <sheetName val="Hierarchy - 0201"/>
      <sheetName val="GL Hierarchy - 0115"/>
      <sheetName val="Hierarchy - 0221"/>
      <sheetName val="Hierarchy - 0226"/>
      <sheetName val="Hierarchy - 0408"/>
      <sheetName val="Hierarchy - 0415"/>
      <sheetName val="General Data - Chart of Account"/>
      <sheetName val="Hierarchy - 0205"/>
      <sheetName val="FSV Reference Table"/>
      <sheetName val="Hierarchy - 0211"/>
      <sheetName val="Company code data"/>
      <sheetName val="Treasury GL Mapping"/>
      <sheetName val="Doc Split Range"/>
      <sheetName val="GL X-Ref Mapping"/>
      <sheetName val="ECC GL COA List (SKA1)"/>
      <sheetName val="CSKA"/>
      <sheetName val="BCS Only"/>
      <sheetName val="OLD - GL Hierarchy"/>
      <sheetName val="OLD - GL Hierarchy 2"/>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User Instructions"/>
      <sheetName val="Doc Control Info"/>
      <sheetName val="Key Values"/>
      <sheetName val="DNU - Blocked GLs"/>
      <sheetName val="Hierarchy - 0503"/>
      <sheetName val="Hierarchy - 0415"/>
      <sheetName val="General Data - Chart of Account"/>
      <sheetName val="FSV Reference Table"/>
      <sheetName val="Company code data"/>
      <sheetName val="Doc Split Range"/>
      <sheetName val="X-Ref Mapping (for Mock 1)"/>
      <sheetName val="X-Ref Mapping Validation"/>
      <sheetName val="ECC GL COA List (SKA1)"/>
      <sheetName val="CSKA"/>
      <sheetName val="BCS Only"/>
      <sheetName val="S4 GL Model Company "/>
      <sheetName val="ECC Flat Node and GL"/>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elcome"/>
      <sheetName val="General Info"/>
      <sheetName val="Contacts"/>
      <sheetName val="SAP Configuration"/>
      <sheetName val="Partner Configuration"/>
      <sheetName val="Mapping View"/>
      <sheetName val="Landscape - As-Is"/>
      <sheetName val="Interfaces"/>
      <sheetName val="Landscape - To Be"/>
      <sheetName val="PricingTemplate"/>
      <sheetName val="PartnerTableConfig"/>
      <sheetName val="HandoverHelper"/>
      <sheetName val="PartnerTableHOInfo"/>
      <sheetName val="Value"/>
      <sheetName val="Handover"/>
      <sheetName val="Migration"/>
      <sheetName val="Task Tracking"/>
      <sheetName val="Milestone Plan"/>
      <sheetName val="Architecture Diagram"/>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Doc Control Info"/>
      <sheetName val="Instructions"/>
      <sheetName val="Project Issues Register"/>
      <sheetName val="Stats Report"/>
      <sheetName val="Data Mgmt"/>
      <sheetName val="Lists"/>
      <sheetName val="Localization Countries"/>
      <sheetName val="Cell Selections"/>
      <sheetName val="Status"/>
      <sheetName val="Summary"/>
      <sheetName val="Sheet1"/>
      <sheetName val="PickList"/>
      <sheetName val="Ref"/>
      <sheetName val="Values"/>
      <sheetName val="Sheet2"/>
      <sheetName val="DQ Rules Library"/>
      <sheetName val="Vendor"/>
      <sheetName val="Plant"/>
      <sheetName val="Planning &amp; Execution Group"/>
      <sheetName val="Shipping Point"/>
      <sheetName val="Warehouse"/>
      <sheetName val="Admin Unit"/>
      <sheetName val="Legal Regulation"/>
      <sheetName val="Purchasing Org"/>
      <sheetName val="Division"/>
      <sheetName val="Auth Grp"/>
      <sheetName val="Company Code"/>
      <sheetName val="Manuf Plants"/>
      <sheetName val="Profit Center Hierarchy"/>
      <sheetName val="Index"/>
      <sheetName val="Initial Screen"/>
      <sheetName val="Hide"/>
      <sheetName val="Tem_Project Issues Register (2)"/>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VDOracle_Pathways"/>
      <sheetName val="EVDOracle_Task Tems &amp; Samp"/>
      <sheetName val="EVDOracle_TaskLocalNames"/>
      <sheetName val="EVDOracle_LocalRoles"/>
      <sheetName val="EVDOracle_TaskLocalTextInputs"/>
      <sheetName val="EVDOracle_Tasks_4Loading"/>
      <sheetName val="EVDOracle_Task Sams_Loading"/>
      <sheetName val="EVDOracle_Task Tems_Loading"/>
      <sheetName val="EVDOracle_Mod Sams_Loading"/>
      <sheetName val="EVDOracle_LocalRoles_Loading"/>
      <sheetName val="EVDOracle_GlobalModDels"/>
      <sheetName val="Sheet1"/>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nage Data"/>
      <sheetName val="Pivot"/>
      <sheetName val="Conditions"/>
      <sheetName val="Ranking"/>
    </sheetNames>
    <sheetDataSet>
      <sheetData sheetId="0"/>
      <sheetData sheetId="1"/>
      <sheetData sheetId="2"/>
      <sheetData sheetId="3"/>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
      <sheetName val="Pivot Table - Orphans"/>
      <sheetName val="RTM - MMS"/>
      <sheetName val="RTM - Lifecycle Tracking"/>
      <sheetName val="Criticality Guidelines"/>
      <sheetName val="BPML Version 17"/>
      <sheetName val="Orphan1"/>
      <sheetName val="Orphan2"/>
      <sheetName val="Open Decisions"/>
      <sheetName val="RTM - MMS (2)"/>
      <sheetName val="L4 In Scope and Author"/>
      <sheetName val="Pending Fit Gap"/>
      <sheetName val="Work Sessions Reqm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livelink/ecmlivelinkprd/llisapi.dll?func=ll&amp;objId=725901874&amp;objAction=Open&amp;nexturl=%2Fecmlivelinkprd%2Fllisapi%2Edll%3Ffunc%3Dll%26objid%3D725887816%26objAction%3Dbrowse%26sort%3Dnam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hyperlink" Target="https://ecms.network.lan/otcs/cs.exe/Overview/28183240" TargetMode="External"/><Relationship Id="rId2" Type="http://schemas.openxmlformats.org/officeDocument/2006/relationships/hyperlink" Target="http://ecmprd.network.lan/ecmlivelinkprd/livelink.exe?func=ll&amp;objId=281750818&amp;objAction=download&amp;viewType=1" TargetMode="External"/><Relationship Id="rId1" Type="http://schemas.openxmlformats.org/officeDocument/2006/relationships/hyperlink" Target="http://thecore.network.lan/en/depts/Finance/Pages/MasterData.aspx" TargetMode="External"/><Relationship Id="rId6" Type="http://schemas.openxmlformats.org/officeDocument/2006/relationships/comments" Target="../comments1.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R102"/>
  <sheetViews>
    <sheetView zoomScale="85" zoomScaleNormal="85" workbookViewId="0">
      <selection activeCell="I24" sqref="I24"/>
    </sheetView>
  </sheetViews>
  <sheetFormatPr defaultRowHeight="14.45"/>
  <cols>
    <col min="1" max="1" width="8.85546875" customWidth="1"/>
    <col min="4" max="4" width="13.5703125" customWidth="1"/>
  </cols>
  <sheetData>
    <row r="1" spans="1:44">
      <c r="A1" s="84"/>
      <c r="B1" s="84"/>
      <c r="C1" s="84"/>
      <c r="D1" s="84"/>
      <c r="E1" s="84"/>
      <c r="F1" s="84"/>
      <c r="G1" s="84"/>
      <c r="H1" s="84"/>
      <c r="I1" s="84"/>
      <c r="J1" s="84"/>
      <c r="K1" s="84"/>
      <c r="L1" s="84"/>
      <c r="M1" s="84"/>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row>
    <row r="2" spans="1:44">
      <c r="A2" s="84"/>
      <c r="B2" s="84"/>
      <c r="C2" s="84"/>
      <c r="D2" s="84"/>
      <c r="E2" s="84"/>
      <c r="F2" s="84"/>
      <c r="G2" s="84"/>
      <c r="H2" s="84"/>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row>
    <row r="3" spans="1:44">
      <c r="A3" s="84"/>
      <c r="B3" s="84"/>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row>
    <row r="4" spans="1:44">
      <c r="A4" s="84"/>
      <c r="B4" s="84"/>
      <c r="C4" s="84"/>
      <c r="D4" s="84"/>
      <c r="E4" s="84"/>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row>
    <row r="5" spans="1:44">
      <c r="A5" s="84"/>
      <c r="B5" s="84"/>
      <c r="C5" s="84"/>
      <c r="D5" s="84"/>
      <c r="E5" s="84"/>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row>
    <row r="6" spans="1:44">
      <c r="A6" s="84"/>
      <c r="B6" s="84"/>
      <c r="C6" s="84"/>
      <c r="D6" s="84"/>
      <c r="E6" s="8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row>
    <row r="7" spans="1:44">
      <c r="A7" s="84"/>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row>
    <row r="8" spans="1:44">
      <c r="A8" s="84"/>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c r="AM8" s="84"/>
      <c r="AN8" s="84"/>
      <c r="AO8" s="84"/>
      <c r="AP8" s="84"/>
      <c r="AQ8" s="84"/>
      <c r="AR8" s="84"/>
    </row>
    <row r="9" spans="1:44">
      <c r="A9" s="84"/>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c r="AM9" s="84"/>
      <c r="AN9" s="84"/>
      <c r="AO9" s="84"/>
      <c r="AP9" s="84"/>
      <c r="AQ9" s="84"/>
      <c r="AR9" s="84"/>
    </row>
    <row r="10" spans="1:44">
      <c r="A10" s="84"/>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row>
    <row r="11" spans="1:44">
      <c r="A11" s="84"/>
      <c r="B11" s="361"/>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row>
    <row r="12" spans="1:44" ht="15" thickBot="1">
      <c r="A12" s="84"/>
      <c r="B12" s="84"/>
      <c r="C12" s="76"/>
      <c r="D12" s="76"/>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row>
    <row r="13" spans="1:44">
      <c r="A13" s="84"/>
      <c r="B13" s="92"/>
      <c r="C13" s="369" t="s">
        <v>0</v>
      </c>
      <c r="D13" s="370"/>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row>
    <row r="14" spans="1:44">
      <c r="A14" s="84"/>
      <c r="B14" s="92"/>
      <c r="C14" s="371" t="s">
        <v>1</v>
      </c>
      <c r="D14" s="372"/>
      <c r="E14" s="84"/>
      <c r="F14" s="84"/>
      <c r="G14" s="84"/>
      <c r="H14" s="84"/>
      <c r="I14" s="84"/>
      <c r="J14" s="84"/>
      <c r="K14" s="84"/>
      <c r="L14" s="84"/>
      <c r="M14" s="84"/>
      <c r="N14" s="84"/>
      <c r="O14" s="84"/>
      <c r="P14" s="84"/>
      <c r="Q14" s="84"/>
      <c r="R14" s="84"/>
      <c r="S14" s="84"/>
      <c r="T14" s="84"/>
      <c r="U14" s="84"/>
      <c r="V14" s="84"/>
      <c r="W14" s="84"/>
      <c r="X14" s="84"/>
      <c r="Y14" s="84"/>
      <c r="Z14" s="84"/>
      <c r="AA14" s="84"/>
      <c r="AB14" s="84"/>
      <c r="AC14" s="84"/>
      <c r="AD14" s="84"/>
      <c r="AE14" s="84"/>
      <c r="AF14" s="84"/>
      <c r="AG14" s="84"/>
      <c r="AH14" s="84"/>
      <c r="AI14" s="84"/>
      <c r="AJ14" s="84"/>
      <c r="AK14" s="84"/>
      <c r="AL14" s="84"/>
      <c r="AM14" s="84"/>
      <c r="AN14" s="84"/>
      <c r="AO14" s="84"/>
      <c r="AP14" s="84"/>
      <c r="AQ14" s="84"/>
      <c r="AR14" s="84"/>
    </row>
    <row r="15" spans="1:44" ht="15" thickBot="1">
      <c r="A15" s="84"/>
      <c r="B15" s="92"/>
      <c r="C15" s="373"/>
      <c r="D15" s="374"/>
      <c r="E15" s="84"/>
      <c r="F15" s="84"/>
      <c r="G15" s="84"/>
      <c r="H15" s="84"/>
      <c r="I15" s="84"/>
      <c r="J15" s="84"/>
      <c r="K15" s="84"/>
      <c r="L15" s="84"/>
      <c r="M15" s="84"/>
      <c r="N15" s="84"/>
      <c r="O15" s="84"/>
      <c r="P15" s="84"/>
      <c r="Q15" s="84"/>
      <c r="R15" s="84"/>
      <c r="S15" s="84"/>
      <c r="T15" s="84"/>
      <c r="U15" s="84"/>
      <c r="V15" s="84"/>
      <c r="W15" s="84"/>
      <c r="X15" s="84"/>
      <c r="Y15" s="84"/>
      <c r="Z15" s="84"/>
      <c r="AA15" s="84"/>
      <c r="AB15" s="84"/>
      <c r="AC15" s="84"/>
      <c r="AD15" s="84"/>
      <c r="AE15" s="84"/>
      <c r="AF15" s="84"/>
      <c r="AG15" s="84"/>
      <c r="AH15" s="84"/>
      <c r="AI15" s="84"/>
      <c r="AJ15" s="84"/>
      <c r="AK15" s="84"/>
      <c r="AL15" s="84"/>
      <c r="AM15" s="84"/>
      <c r="AN15" s="84"/>
      <c r="AO15" s="84"/>
      <c r="AP15" s="84"/>
      <c r="AQ15" s="84"/>
      <c r="AR15" s="84"/>
    </row>
    <row r="16" spans="1:44">
      <c r="A16" s="84"/>
      <c r="B16" s="361"/>
      <c r="C16" s="93"/>
      <c r="D16" s="93"/>
      <c r="E16" s="84"/>
      <c r="F16" s="84"/>
      <c r="G16" s="84"/>
      <c r="H16" s="84"/>
      <c r="I16" s="84"/>
      <c r="J16" s="84"/>
      <c r="K16" s="84"/>
      <c r="L16" s="84"/>
      <c r="M16" s="84"/>
      <c r="N16" s="84"/>
      <c r="O16" s="84"/>
      <c r="P16" s="84"/>
      <c r="Q16" s="84"/>
      <c r="R16" s="84"/>
      <c r="S16" s="84"/>
      <c r="T16" s="84"/>
      <c r="U16" s="84"/>
      <c r="V16" s="84"/>
      <c r="W16" s="84"/>
      <c r="X16" s="84"/>
      <c r="Y16" s="84"/>
      <c r="Z16" s="84"/>
      <c r="AA16" s="84"/>
      <c r="AB16" s="84"/>
      <c r="AC16" s="84"/>
      <c r="AD16" s="84"/>
      <c r="AE16" s="84"/>
      <c r="AF16" s="84"/>
      <c r="AG16" s="84"/>
      <c r="AH16" s="84"/>
      <c r="AI16" s="84"/>
      <c r="AJ16" s="84"/>
      <c r="AK16" s="84"/>
      <c r="AL16" s="84"/>
      <c r="AM16" s="84"/>
      <c r="AN16" s="84"/>
      <c r="AO16" s="84"/>
      <c r="AP16" s="84"/>
      <c r="AQ16" s="84"/>
      <c r="AR16" s="84"/>
    </row>
    <row r="17" spans="1:44">
      <c r="A17" s="84"/>
      <c r="B17" s="84"/>
      <c r="C17" s="84"/>
      <c r="D17" s="84"/>
      <c r="E17" s="84"/>
      <c r="F17" s="84"/>
      <c r="G17" s="84"/>
      <c r="H17" s="84"/>
      <c r="I17" s="84"/>
      <c r="J17" s="84"/>
      <c r="K17" s="84"/>
      <c r="L17" s="84"/>
      <c r="M17" s="84"/>
      <c r="N17" s="84"/>
      <c r="O17" s="84"/>
      <c r="P17" s="84"/>
      <c r="Q17" s="84"/>
      <c r="R17" s="84"/>
      <c r="S17" s="84"/>
      <c r="T17" s="84"/>
      <c r="U17" s="84"/>
      <c r="V17" s="84"/>
      <c r="W17" s="84"/>
      <c r="X17" s="84"/>
      <c r="Y17" s="84"/>
      <c r="Z17" s="84"/>
      <c r="AA17" s="84"/>
      <c r="AB17" s="84"/>
      <c r="AC17" s="84"/>
      <c r="AD17" s="84"/>
      <c r="AE17" s="84"/>
      <c r="AF17" s="84"/>
      <c r="AG17" s="84"/>
      <c r="AH17" s="84"/>
      <c r="AI17" s="84"/>
      <c r="AJ17" s="84"/>
      <c r="AK17" s="84"/>
      <c r="AL17" s="84"/>
      <c r="AM17" s="84"/>
      <c r="AN17" s="84"/>
      <c r="AO17" s="84"/>
      <c r="AP17" s="84"/>
      <c r="AQ17" s="84"/>
      <c r="AR17" s="84"/>
    </row>
    <row r="18" spans="1:44">
      <c r="A18" s="84"/>
      <c r="B18" s="84"/>
      <c r="C18" s="84"/>
      <c r="D18" s="84"/>
      <c r="E18" s="84"/>
      <c r="F18" s="84"/>
      <c r="G18" s="84"/>
      <c r="H18" s="84"/>
      <c r="I18" s="84"/>
      <c r="J18" s="84"/>
      <c r="K18" s="84"/>
      <c r="L18" s="84"/>
      <c r="M18" s="84"/>
      <c r="N18" s="84"/>
      <c r="O18" s="84"/>
      <c r="P18" s="84"/>
      <c r="Q18" s="84"/>
      <c r="R18" s="84"/>
      <c r="S18" s="84"/>
      <c r="T18" s="84"/>
      <c r="U18" s="84"/>
      <c r="V18" s="84"/>
      <c r="W18" s="84"/>
      <c r="X18" s="84"/>
      <c r="Y18" s="84"/>
      <c r="Z18" s="84"/>
      <c r="AA18" s="84"/>
      <c r="AB18" s="84"/>
      <c r="AC18" s="84"/>
      <c r="AD18" s="84"/>
      <c r="AE18" s="84"/>
      <c r="AF18" s="84"/>
      <c r="AG18" s="84"/>
      <c r="AH18" s="84"/>
      <c r="AI18" s="84"/>
      <c r="AJ18" s="84"/>
      <c r="AK18" s="84"/>
      <c r="AL18" s="84"/>
      <c r="AM18" s="84"/>
      <c r="AN18" s="84"/>
      <c r="AO18" s="84"/>
      <c r="AP18" s="84"/>
      <c r="AQ18" s="84"/>
      <c r="AR18" s="84"/>
    </row>
    <row r="19" spans="1:44">
      <c r="A19" s="84"/>
      <c r="B19" s="84"/>
      <c r="C19" s="84"/>
      <c r="D19" s="84"/>
      <c r="E19" s="84"/>
      <c r="F19" s="84"/>
      <c r="G19" s="84"/>
      <c r="H19" s="84"/>
      <c r="I19" s="84"/>
      <c r="J19" s="84"/>
      <c r="K19" s="84"/>
      <c r="L19" s="84"/>
      <c r="M19" s="84"/>
      <c r="N19" s="84"/>
      <c r="O19" s="84"/>
      <c r="P19" s="84"/>
      <c r="Q19" s="84"/>
      <c r="R19" s="84"/>
      <c r="S19" s="84"/>
      <c r="T19" s="84"/>
      <c r="U19" s="84"/>
      <c r="V19" s="84"/>
      <c r="W19" s="84"/>
      <c r="X19" s="84"/>
      <c r="Y19" s="84"/>
      <c r="Z19" s="84"/>
      <c r="AA19" s="84"/>
      <c r="AB19" s="84"/>
      <c r="AC19" s="84"/>
      <c r="AD19" s="84"/>
      <c r="AE19" s="84"/>
      <c r="AF19" s="84"/>
      <c r="AG19" s="84"/>
      <c r="AH19" s="84"/>
      <c r="AI19" s="84"/>
      <c r="AJ19" s="84"/>
      <c r="AK19" s="84"/>
      <c r="AL19" s="84"/>
      <c r="AM19" s="84"/>
      <c r="AN19" s="84"/>
      <c r="AO19" s="84"/>
      <c r="AP19" s="84"/>
      <c r="AQ19" s="84"/>
      <c r="AR19" s="84"/>
    </row>
    <row r="20" spans="1:44">
      <c r="A20" s="84"/>
      <c r="B20" s="84"/>
      <c r="C20" s="84"/>
      <c r="D20" s="84"/>
      <c r="E20" s="84"/>
      <c r="F20" s="84"/>
      <c r="G20" s="84"/>
      <c r="H20" s="84"/>
      <c r="I20" s="84"/>
      <c r="J20" s="84"/>
      <c r="K20" s="84"/>
      <c r="L20" s="84"/>
      <c r="M20" s="84"/>
      <c r="N20" s="84"/>
      <c r="O20" s="84"/>
      <c r="P20" s="84"/>
      <c r="Q20" s="84"/>
      <c r="R20" s="84"/>
      <c r="S20" s="84"/>
      <c r="T20" s="84"/>
      <c r="U20" s="84"/>
      <c r="V20" s="84"/>
      <c r="W20" s="84"/>
      <c r="X20" s="84"/>
      <c r="Y20" s="84"/>
      <c r="Z20" s="84"/>
      <c r="AA20" s="84"/>
      <c r="AB20" s="84"/>
      <c r="AC20" s="84"/>
      <c r="AD20" s="84"/>
      <c r="AE20" s="84"/>
      <c r="AF20" s="84"/>
      <c r="AG20" s="84"/>
      <c r="AH20" s="84"/>
      <c r="AI20" s="84"/>
      <c r="AJ20" s="84"/>
      <c r="AK20" s="84"/>
      <c r="AL20" s="84"/>
      <c r="AM20" s="84"/>
      <c r="AN20" s="84"/>
      <c r="AO20" s="84"/>
      <c r="AP20" s="84"/>
      <c r="AQ20" s="84"/>
      <c r="AR20" s="84"/>
    </row>
    <row r="21" spans="1:44">
      <c r="A21" s="84"/>
      <c r="B21" s="84"/>
      <c r="C21" s="84"/>
      <c r="D21" s="84"/>
      <c r="E21" s="84"/>
      <c r="F21" s="84"/>
      <c r="G21" s="84"/>
      <c r="H21" s="84"/>
      <c r="I21" s="84"/>
      <c r="J21" s="84"/>
      <c r="K21" s="84"/>
      <c r="L21" s="84"/>
      <c r="M21" s="84"/>
      <c r="N21" s="84"/>
      <c r="O21" s="84"/>
      <c r="P21" s="84"/>
      <c r="Q21" s="84"/>
      <c r="R21" s="84"/>
      <c r="S21" s="84"/>
      <c r="T21" s="84"/>
      <c r="U21" s="84"/>
      <c r="V21" s="84"/>
      <c r="W21" s="84"/>
      <c r="X21" s="84"/>
      <c r="Y21" s="84"/>
      <c r="Z21" s="84"/>
      <c r="AA21" s="84"/>
      <c r="AB21" s="84"/>
      <c r="AC21" s="84"/>
      <c r="AD21" s="84"/>
      <c r="AE21" s="84"/>
      <c r="AF21" s="84"/>
      <c r="AG21" s="84"/>
      <c r="AH21" s="84"/>
      <c r="AI21" s="84"/>
      <c r="AJ21" s="84"/>
      <c r="AK21" s="84"/>
      <c r="AL21" s="84"/>
      <c r="AM21" s="84"/>
      <c r="AN21" s="84"/>
      <c r="AO21" s="84"/>
      <c r="AP21" s="84"/>
      <c r="AQ21" s="84"/>
      <c r="AR21" s="84"/>
    </row>
    <row r="22" spans="1:44">
      <c r="A22" s="84"/>
      <c r="B22" s="84"/>
      <c r="C22" s="84"/>
      <c r="D22" s="84"/>
      <c r="E22" s="84"/>
      <c r="F22" s="84"/>
      <c r="G22" s="84"/>
      <c r="H22" s="84"/>
      <c r="I22" s="84"/>
      <c r="J22" s="84"/>
      <c r="K22" s="84"/>
      <c r="L22" s="84"/>
      <c r="M22" s="84"/>
      <c r="N22" s="84"/>
      <c r="O22" s="84"/>
      <c r="P22" s="84"/>
      <c r="Q22" s="84"/>
      <c r="R22" s="84"/>
      <c r="S22" s="84"/>
      <c r="T22" s="84"/>
      <c r="U22" s="84"/>
      <c r="V22" s="84"/>
      <c r="W22" s="84"/>
      <c r="X22" s="84"/>
      <c r="Y22" s="84"/>
      <c r="Z22" s="84"/>
      <c r="AA22" s="84"/>
      <c r="AB22" s="84"/>
      <c r="AC22" s="84"/>
      <c r="AD22" s="84"/>
      <c r="AE22" s="84"/>
      <c r="AF22" s="84"/>
      <c r="AG22" s="84"/>
      <c r="AH22" s="84"/>
      <c r="AI22" s="84"/>
      <c r="AJ22" s="84"/>
      <c r="AK22" s="84"/>
      <c r="AL22" s="84"/>
      <c r="AM22" s="84"/>
      <c r="AN22" s="84"/>
      <c r="AO22" s="84"/>
      <c r="AP22" s="84"/>
      <c r="AQ22" s="84"/>
      <c r="AR22" s="84"/>
    </row>
    <row r="23" spans="1:44">
      <c r="A23" s="84"/>
      <c r="B23" s="84"/>
      <c r="C23" s="84"/>
      <c r="D23" s="84"/>
      <c r="E23" s="84"/>
      <c r="F23" s="84"/>
      <c r="G23" s="84"/>
      <c r="H23" s="84"/>
      <c r="I23" s="84"/>
      <c r="J23" s="84"/>
      <c r="K23" s="84"/>
      <c r="L23" s="84"/>
      <c r="M23" s="84"/>
      <c r="N23" s="84"/>
      <c r="O23" s="84"/>
      <c r="P23" s="84"/>
      <c r="Q23" s="84"/>
      <c r="R23" s="84"/>
      <c r="S23" s="84"/>
      <c r="T23" s="84"/>
      <c r="U23" s="84"/>
      <c r="V23" s="84"/>
      <c r="W23" s="84"/>
      <c r="X23" s="84"/>
      <c r="Y23" s="84"/>
      <c r="Z23" s="84"/>
      <c r="AA23" s="84"/>
      <c r="AB23" s="84"/>
      <c r="AC23" s="84"/>
      <c r="AD23" s="84"/>
      <c r="AE23" s="84"/>
      <c r="AF23" s="84"/>
      <c r="AG23" s="84"/>
      <c r="AH23" s="84"/>
      <c r="AI23" s="84"/>
      <c r="AJ23" s="84"/>
      <c r="AK23" s="84"/>
      <c r="AL23" s="84"/>
      <c r="AM23" s="84"/>
      <c r="AN23" s="84"/>
      <c r="AO23" s="84"/>
      <c r="AP23" s="84"/>
      <c r="AQ23" s="84"/>
      <c r="AR23" s="84"/>
    </row>
    <row r="24" spans="1:44" ht="15" thickBot="1">
      <c r="A24" s="76"/>
      <c r="B24" s="76"/>
      <c r="C24" s="76"/>
      <c r="D24" s="76"/>
      <c r="E24" s="84"/>
      <c r="F24" s="84"/>
      <c r="G24" s="84"/>
      <c r="H24" s="84"/>
      <c r="I24" s="84"/>
      <c r="J24" s="84"/>
      <c r="K24" s="84"/>
      <c r="L24" s="84"/>
      <c r="M24" s="84"/>
      <c r="N24" s="84"/>
      <c r="O24" s="84"/>
      <c r="P24" s="84"/>
      <c r="Q24" s="84"/>
      <c r="R24" s="84"/>
      <c r="S24" s="84"/>
      <c r="T24" s="84"/>
      <c r="U24" s="84"/>
      <c r="V24" s="84"/>
      <c r="W24" s="84"/>
      <c r="X24" s="84"/>
      <c r="Y24" s="84"/>
      <c r="Z24" s="84"/>
      <c r="AA24" s="84"/>
      <c r="AB24" s="84"/>
      <c r="AC24" s="84"/>
      <c r="AD24" s="84"/>
      <c r="AE24" s="84"/>
      <c r="AF24" s="84"/>
      <c r="AG24" s="84"/>
      <c r="AH24" s="84"/>
      <c r="AI24" s="84"/>
      <c r="AJ24" s="84"/>
      <c r="AK24" s="84"/>
      <c r="AL24" s="84"/>
      <c r="AM24" s="84"/>
      <c r="AN24" s="84"/>
      <c r="AO24" s="84"/>
      <c r="AP24" s="84"/>
      <c r="AQ24" s="84"/>
      <c r="AR24" s="84"/>
    </row>
    <row r="25" spans="1:44" ht="15" thickBot="1">
      <c r="A25" s="611" t="s">
        <v>2</v>
      </c>
      <c r="B25" s="612"/>
      <c r="C25" s="611" t="s">
        <v>3</v>
      </c>
      <c r="D25" s="612"/>
      <c r="E25" s="84"/>
      <c r="F25" s="84"/>
      <c r="G25" s="84"/>
      <c r="H25" s="84"/>
      <c r="I25" s="84"/>
      <c r="J25" s="84"/>
      <c r="K25" s="84"/>
      <c r="L25" s="84"/>
      <c r="M25" s="84"/>
      <c r="N25" s="84"/>
      <c r="O25" s="84"/>
      <c r="P25" s="84"/>
      <c r="Q25" s="84"/>
      <c r="R25" s="84"/>
      <c r="S25" s="84"/>
      <c r="T25" s="84"/>
      <c r="U25" s="84"/>
      <c r="V25" s="84"/>
      <c r="W25" s="84"/>
      <c r="X25" s="84"/>
      <c r="Y25" s="84"/>
      <c r="Z25" s="84"/>
      <c r="AA25" s="84"/>
      <c r="AB25" s="84"/>
      <c r="AC25" s="84"/>
      <c r="AD25" s="84"/>
      <c r="AE25" s="84"/>
      <c r="AF25" s="84"/>
      <c r="AG25" s="84"/>
      <c r="AH25" s="84"/>
      <c r="AI25" s="84"/>
      <c r="AJ25" s="84"/>
      <c r="AK25" s="84"/>
      <c r="AL25" s="84"/>
      <c r="AM25" s="84"/>
      <c r="AN25" s="84"/>
      <c r="AO25" s="84"/>
      <c r="AP25" s="84"/>
      <c r="AQ25" s="84"/>
      <c r="AR25" s="84"/>
    </row>
    <row r="26" spans="1:44" ht="15" thickBot="1">
      <c r="A26" s="609" t="s">
        <v>4</v>
      </c>
      <c r="B26" s="610"/>
      <c r="C26" s="607">
        <f>'Cost Center '!F3</f>
        <v>0</v>
      </c>
      <c r="D26" s="608"/>
      <c r="E26" s="84"/>
      <c r="F26" s="84"/>
      <c r="G26" s="84"/>
      <c r="H26" s="84"/>
      <c r="I26" s="84"/>
      <c r="J26" s="84"/>
      <c r="K26" s="84"/>
      <c r="L26" s="84"/>
      <c r="M26" s="84"/>
      <c r="N26" s="84"/>
      <c r="O26" s="84"/>
      <c r="P26" s="84"/>
      <c r="Q26" s="84"/>
      <c r="R26" s="84"/>
      <c r="S26" s="84"/>
      <c r="T26" s="84"/>
      <c r="U26" s="84"/>
      <c r="V26" s="84"/>
      <c r="W26" s="84"/>
      <c r="X26" s="84"/>
      <c r="Y26" s="84"/>
      <c r="Z26" s="84"/>
      <c r="AA26" s="84"/>
      <c r="AB26" s="84"/>
      <c r="AC26" s="84"/>
      <c r="AD26" s="84"/>
      <c r="AE26" s="84"/>
      <c r="AF26" s="84"/>
      <c r="AG26" s="84"/>
      <c r="AH26" s="84"/>
      <c r="AI26" s="84"/>
      <c r="AJ26" s="84"/>
      <c r="AK26" s="84"/>
      <c r="AL26" s="84"/>
      <c r="AM26" s="84"/>
      <c r="AN26" s="84"/>
      <c r="AO26" s="84"/>
      <c r="AP26" s="84"/>
      <c r="AQ26" s="84"/>
      <c r="AR26" s="84"/>
    </row>
    <row r="27" spans="1:44" ht="15" thickBot="1">
      <c r="A27" s="609" t="s">
        <v>5</v>
      </c>
      <c r="B27" s="610"/>
      <c r="C27" s="607" t="e">
        <f>#REF!</f>
        <v>#REF!</v>
      </c>
      <c r="D27" s="608"/>
      <c r="E27" s="84"/>
      <c r="F27" s="84"/>
      <c r="G27" s="84"/>
      <c r="H27" s="84"/>
      <c r="I27" s="84"/>
      <c r="J27" s="84"/>
      <c r="K27" s="84"/>
      <c r="L27" s="84"/>
      <c r="M27" s="84"/>
      <c r="N27" s="84"/>
      <c r="O27" s="84"/>
      <c r="P27" s="84"/>
      <c r="Q27" s="84"/>
      <c r="R27" s="84"/>
      <c r="S27" s="84"/>
      <c r="T27" s="84"/>
      <c r="U27" s="84"/>
      <c r="V27" s="84"/>
      <c r="W27" s="84"/>
      <c r="X27" s="84"/>
      <c r="Y27" s="84"/>
      <c r="Z27" s="84"/>
      <c r="AA27" s="84"/>
      <c r="AB27" s="84"/>
      <c r="AC27" s="84"/>
      <c r="AD27" s="84"/>
      <c r="AE27" s="84"/>
      <c r="AF27" s="84"/>
      <c r="AG27" s="84"/>
      <c r="AH27" s="84"/>
      <c r="AI27" s="84"/>
      <c r="AJ27" s="84"/>
      <c r="AK27" s="84"/>
      <c r="AL27" s="84"/>
      <c r="AM27" s="84"/>
      <c r="AN27" s="84"/>
      <c r="AO27" s="84"/>
      <c r="AP27" s="84"/>
      <c r="AQ27" s="84"/>
      <c r="AR27" s="84"/>
    </row>
    <row r="28" spans="1:44" ht="15" thickBot="1">
      <c r="A28" s="609" t="s">
        <v>6</v>
      </c>
      <c r="B28" s="610"/>
      <c r="C28" s="607">
        <f>'Profit Center'!F3</f>
        <v>0</v>
      </c>
      <c r="D28" s="608"/>
      <c r="E28" s="84"/>
      <c r="F28" s="84"/>
      <c r="G28" s="84"/>
      <c r="H28" s="84"/>
      <c r="I28" s="84"/>
      <c r="J28" s="84"/>
      <c r="K28" s="84"/>
      <c r="L28" s="84"/>
      <c r="M28" s="84"/>
      <c r="N28" s="84"/>
      <c r="O28" s="84"/>
      <c r="P28" s="84"/>
      <c r="Q28" s="84"/>
      <c r="R28" s="84"/>
      <c r="S28" s="84"/>
      <c r="T28" s="84"/>
      <c r="U28" s="84"/>
      <c r="V28" s="84"/>
      <c r="W28" s="84"/>
      <c r="X28" s="84"/>
      <c r="Y28" s="84"/>
      <c r="Z28" s="84"/>
      <c r="AA28" s="84"/>
      <c r="AB28" s="84"/>
      <c r="AC28" s="84"/>
      <c r="AD28" s="84"/>
      <c r="AE28" s="84"/>
      <c r="AF28" s="84"/>
      <c r="AG28" s="84"/>
      <c r="AH28" s="84"/>
      <c r="AI28" s="84"/>
      <c r="AJ28" s="84"/>
      <c r="AK28" s="84"/>
      <c r="AL28" s="84"/>
      <c r="AM28" s="84"/>
      <c r="AN28" s="84"/>
      <c r="AO28" s="84"/>
      <c r="AP28" s="84"/>
      <c r="AQ28" s="84"/>
      <c r="AR28" s="84"/>
    </row>
    <row r="29" spans="1:44" ht="15" thickBot="1">
      <c r="A29" s="609" t="s">
        <v>7</v>
      </c>
      <c r="B29" s="610"/>
      <c r="C29" s="607">
        <f>'Activity Type'!F3</f>
        <v>0</v>
      </c>
      <c r="D29" s="608"/>
      <c r="E29" s="84"/>
      <c r="F29" s="84"/>
      <c r="G29" s="84"/>
      <c r="H29" s="84"/>
      <c r="I29" s="84"/>
      <c r="J29" s="84"/>
      <c r="K29" s="84"/>
      <c r="L29" s="84"/>
      <c r="M29" s="84"/>
      <c r="N29" s="84"/>
      <c r="O29" s="84"/>
      <c r="P29" s="84"/>
      <c r="Q29" s="84"/>
      <c r="R29" s="84"/>
      <c r="S29" s="84"/>
      <c r="T29" s="84"/>
      <c r="U29" s="84"/>
      <c r="V29" s="84"/>
      <c r="W29" s="84"/>
      <c r="X29" s="84"/>
      <c r="Y29" s="84"/>
      <c r="Z29" s="84"/>
      <c r="AA29" s="84"/>
      <c r="AB29" s="84"/>
      <c r="AC29" s="84"/>
      <c r="AD29" s="84"/>
      <c r="AE29" s="84"/>
      <c r="AF29" s="84"/>
      <c r="AG29" s="84"/>
      <c r="AH29" s="84"/>
      <c r="AI29" s="84"/>
      <c r="AJ29" s="84"/>
      <c r="AK29" s="84"/>
      <c r="AL29" s="84"/>
      <c r="AM29" s="84"/>
      <c r="AN29" s="84"/>
      <c r="AO29" s="84"/>
      <c r="AP29" s="84"/>
      <c r="AQ29" s="84"/>
      <c r="AR29" s="84"/>
    </row>
    <row r="30" spans="1:44" ht="15" thickBot="1">
      <c r="A30" s="609" t="s">
        <v>8</v>
      </c>
      <c r="B30" s="610"/>
      <c r="C30" s="607">
        <f>'Activity Rates'!G11</f>
        <v>0</v>
      </c>
      <c r="D30" s="608"/>
      <c r="E30" s="84"/>
      <c r="F30" s="84"/>
      <c r="G30" s="84"/>
      <c r="H30" s="84"/>
      <c r="I30" s="84"/>
      <c r="J30" s="84"/>
      <c r="K30" s="84"/>
      <c r="L30" s="84"/>
      <c r="M30" s="84"/>
      <c r="N30" s="84"/>
      <c r="O30" s="84"/>
      <c r="P30" s="84"/>
      <c r="Q30" s="84"/>
      <c r="R30" s="84"/>
      <c r="S30" s="84"/>
      <c r="T30" s="84"/>
      <c r="U30" s="84"/>
      <c r="V30" s="84"/>
      <c r="W30" s="84"/>
      <c r="X30" s="84"/>
      <c r="Y30" s="84"/>
      <c r="Z30" s="84"/>
      <c r="AA30" s="84"/>
      <c r="AB30" s="84"/>
      <c r="AC30" s="84"/>
      <c r="AD30" s="84"/>
      <c r="AE30" s="84"/>
      <c r="AF30" s="84"/>
      <c r="AG30" s="84"/>
      <c r="AH30" s="84"/>
      <c r="AI30" s="84"/>
      <c r="AJ30" s="84"/>
      <c r="AK30" s="84"/>
      <c r="AL30" s="84"/>
      <c r="AM30" s="84"/>
      <c r="AN30" s="84"/>
      <c r="AO30" s="84"/>
      <c r="AP30" s="84"/>
      <c r="AQ30" s="84"/>
      <c r="AR30" s="84"/>
    </row>
    <row r="31" spans="1:44" ht="15" thickBot="1">
      <c r="A31" s="609" t="s">
        <v>9</v>
      </c>
      <c r="B31" s="610"/>
      <c r="C31" s="607">
        <f>'Hierarchy '!D13</f>
        <v>0</v>
      </c>
      <c r="D31" s="608"/>
      <c r="E31" s="84"/>
      <c r="F31" s="84"/>
      <c r="G31" s="84"/>
      <c r="H31" s="84"/>
      <c r="I31" s="84"/>
      <c r="J31" s="84"/>
      <c r="K31" s="84"/>
      <c r="L31" s="84"/>
      <c r="M31" s="84"/>
      <c r="N31" s="84"/>
      <c r="O31" s="84"/>
      <c r="P31" s="84"/>
      <c r="Q31" s="84"/>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row>
    <row r="32" spans="1:44">
      <c r="A32" s="93"/>
      <c r="B32" s="93"/>
      <c r="C32" s="93"/>
      <c r="D32" s="93"/>
      <c r="E32" s="84"/>
      <c r="F32" s="84"/>
      <c r="G32" s="84"/>
      <c r="H32" s="84"/>
      <c r="I32" s="84"/>
      <c r="J32" s="84"/>
      <c r="K32" s="84"/>
      <c r="L32" s="84"/>
      <c r="M32" s="84"/>
      <c r="N32" s="84"/>
      <c r="O32" s="84"/>
      <c r="P32" s="84"/>
      <c r="Q32" s="84"/>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row>
    <row r="33" spans="1:44">
      <c r="A33" s="84"/>
      <c r="B33" s="84"/>
      <c r="C33" s="84"/>
      <c r="D33" s="84"/>
      <c r="E33" s="84"/>
      <c r="F33" s="84"/>
      <c r="G33" s="84"/>
      <c r="H33" s="84"/>
      <c r="I33" s="84"/>
      <c r="J33" s="84"/>
      <c r="K33" s="84"/>
      <c r="L33" s="84"/>
      <c r="M33" s="84"/>
      <c r="N33" s="84"/>
      <c r="O33" s="84"/>
      <c r="P33" s="84"/>
      <c r="Q33" s="84"/>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row>
    <row r="34" spans="1:44">
      <c r="A34" s="84"/>
      <c r="B34" s="84"/>
      <c r="C34" s="84"/>
      <c r="D34" s="84"/>
      <c r="E34" s="84"/>
      <c r="F34" s="84"/>
      <c r="G34" s="84"/>
      <c r="H34" s="84"/>
      <c r="I34" s="84"/>
      <c r="J34" s="84"/>
      <c r="K34" s="84"/>
      <c r="L34" s="84"/>
      <c r="M34" s="84"/>
      <c r="N34" s="84"/>
      <c r="O34" s="84"/>
      <c r="P34" s="84"/>
      <c r="Q34" s="84"/>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row>
    <row r="35" spans="1:44">
      <c r="A35" s="84"/>
      <c r="B35" s="84"/>
      <c r="C35" s="84"/>
      <c r="D35" s="84"/>
      <c r="E35" s="84"/>
      <c r="F35" s="84"/>
      <c r="G35" s="84"/>
      <c r="H35" s="84"/>
      <c r="I35" s="84"/>
      <c r="J35" s="84"/>
      <c r="K35" s="84"/>
      <c r="L35" s="84"/>
      <c r="M35" s="84"/>
      <c r="N35" s="84"/>
      <c r="O35" s="84"/>
      <c r="P35" s="84"/>
      <c r="Q35" s="84"/>
      <c r="R35" s="84"/>
      <c r="S35" s="84"/>
      <c r="T35" s="84"/>
      <c r="U35" s="84"/>
      <c r="V35" s="84"/>
      <c r="W35" s="84"/>
      <c r="X35" s="84"/>
      <c r="Y35" s="84"/>
      <c r="Z35" s="84"/>
      <c r="AA35" s="84"/>
      <c r="AB35" s="84"/>
      <c r="AC35" s="84"/>
      <c r="AD35" s="84"/>
      <c r="AE35" s="84"/>
      <c r="AF35" s="84"/>
      <c r="AG35" s="84"/>
      <c r="AH35" s="84"/>
      <c r="AI35" s="84"/>
      <c r="AJ35" s="84"/>
      <c r="AK35" s="84"/>
      <c r="AL35" s="84"/>
      <c r="AM35" s="84"/>
      <c r="AN35" s="84"/>
      <c r="AO35" s="84"/>
      <c r="AP35" s="84"/>
      <c r="AQ35" s="84"/>
      <c r="AR35" s="84"/>
    </row>
    <row r="36" spans="1:44">
      <c r="A36" s="84"/>
      <c r="B36" s="84"/>
      <c r="C36" s="84"/>
      <c r="D36" s="84"/>
      <c r="E36" s="84"/>
      <c r="F36" s="84"/>
      <c r="G36" s="84"/>
      <c r="H36" s="84"/>
      <c r="I36" s="84"/>
      <c r="J36" s="84"/>
      <c r="K36" s="84"/>
      <c r="L36" s="84"/>
      <c r="M36" s="84"/>
      <c r="N36" s="84"/>
      <c r="O36" s="84"/>
      <c r="P36" s="84"/>
      <c r="Q36" s="84"/>
      <c r="R36" s="84"/>
      <c r="S36" s="84"/>
      <c r="T36" s="84"/>
      <c r="U36" s="84"/>
      <c r="V36" s="84"/>
      <c r="W36" s="84"/>
      <c r="X36" s="84"/>
      <c r="Y36" s="84"/>
      <c r="Z36" s="84"/>
      <c r="AA36" s="84"/>
      <c r="AB36" s="84"/>
      <c r="AC36" s="84"/>
      <c r="AD36" s="84"/>
      <c r="AE36" s="84"/>
      <c r="AF36" s="84"/>
      <c r="AG36" s="84"/>
      <c r="AH36" s="84"/>
      <c r="AI36" s="84"/>
      <c r="AJ36" s="84"/>
      <c r="AK36" s="84"/>
      <c r="AL36" s="84"/>
      <c r="AM36" s="84"/>
      <c r="AN36" s="84"/>
      <c r="AO36" s="84"/>
      <c r="AP36" s="84"/>
      <c r="AQ36" s="84"/>
      <c r="AR36" s="84"/>
    </row>
    <row r="37" spans="1:44">
      <c r="A37" s="84"/>
      <c r="B37" s="84"/>
      <c r="C37" s="84"/>
      <c r="D37" s="84"/>
      <c r="E37" s="84"/>
      <c r="F37" s="84"/>
      <c r="G37" s="84"/>
      <c r="H37" s="84"/>
      <c r="I37" s="84"/>
      <c r="J37" s="84"/>
      <c r="K37" s="84"/>
      <c r="L37" s="84"/>
      <c r="M37" s="84"/>
      <c r="N37" s="84"/>
      <c r="O37" s="84"/>
      <c r="P37" s="84"/>
      <c r="Q37" s="84"/>
      <c r="R37" s="84"/>
      <c r="S37" s="84"/>
      <c r="T37" s="84"/>
      <c r="U37" s="84"/>
      <c r="V37" s="84"/>
      <c r="W37" s="84"/>
      <c r="X37" s="84"/>
      <c r="Y37" s="84"/>
      <c r="Z37" s="84"/>
      <c r="AA37" s="84"/>
      <c r="AB37" s="84"/>
      <c r="AC37" s="84"/>
      <c r="AD37" s="84"/>
      <c r="AE37" s="84"/>
      <c r="AF37" s="84"/>
      <c r="AG37" s="84"/>
      <c r="AH37" s="84"/>
      <c r="AI37" s="84"/>
      <c r="AJ37" s="84"/>
      <c r="AK37" s="84"/>
      <c r="AL37" s="84"/>
      <c r="AM37" s="84"/>
      <c r="AN37" s="84"/>
      <c r="AO37" s="84"/>
      <c r="AP37" s="84"/>
      <c r="AQ37" s="84"/>
      <c r="AR37" s="84"/>
    </row>
    <row r="38" spans="1:44">
      <c r="A38" s="84"/>
      <c r="B38" s="84"/>
      <c r="C38" s="84"/>
      <c r="D38" s="84"/>
      <c r="E38" s="84"/>
      <c r="F38" s="84"/>
      <c r="G38" s="84"/>
      <c r="H38" s="84"/>
      <c r="I38" s="84"/>
      <c r="J38" s="84"/>
      <c r="K38" s="84"/>
      <c r="L38" s="84"/>
      <c r="M38" s="84"/>
      <c r="N38" s="84"/>
      <c r="O38" s="84"/>
      <c r="P38" s="84"/>
      <c r="Q38" s="84"/>
      <c r="R38" s="84"/>
      <c r="S38" s="84"/>
      <c r="T38" s="84"/>
      <c r="U38" s="84"/>
      <c r="V38" s="84"/>
      <c r="W38" s="84"/>
      <c r="X38" s="84"/>
      <c r="Y38" s="84"/>
      <c r="Z38" s="84"/>
      <c r="AA38" s="84"/>
      <c r="AB38" s="84"/>
      <c r="AC38" s="84"/>
      <c r="AD38" s="84"/>
      <c r="AE38" s="84"/>
      <c r="AF38" s="84"/>
      <c r="AG38" s="84"/>
      <c r="AH38" s="84"/>
      <c r="AI38" s="84"/>
      <c r="AJ38" s="84"/>
      <c r="AK38" s="84"/>
      <c r="AL38" s="84"/>
      <c r="AM38" s="84"/>
      <c r="AN38" s="84"/>
      <c r="AO38" s="84"/>
      <c r="AP38" s="84"/>
      <c r="AQ38" s="84"/>
      <c r="AR38" s="84"/>
    </row>
    <row r="39" spans="1:44">
      <c r="A39" s="84"/>
      <c r="B39" s="84"/>
      <c r="C39" s="84"/>
      <c r="D39" s="84"/>
      <c r="E39" s="84"/>
      <c r="F39" s="84"/>
      <c r="G39" s="84"/>
      <c r="H39" s="84"/>
      <c r="I39" s="84"/>
      <c r="J39" s="84"/>
      <c r="K39" s="84"/>
      <c r="L39" s="84"/>
      <c r="M39" s="84"/>
      <c r="N39" s="84"/>
      <c r="O39" s="84"/>
      <c r="P39" s="84"/>
      <c r="Q39" s="84"/>
      <c r="R39" s="84"/>
      <c r="S39" s="84"/>
      <c r="T39" s="84"/>
      <c r="U39" s="84"/>
      <c r="V39" s="84"/>
      <c r="W39" s="84"/>
      <c r="X39" s="84"/>
      <c r="Y39" s="84"/>
      <c r="Z39" s="84"/>
      <c r="AA39" s="84"/>
      <c r="AB39" s="84"/>
      <c r="AC39" s="84"/>
      <c r="AD39" s="84"/>
      <c r="AE39" s="84"/>
      <c r="AF39" s="84"/>
      <c r="AG39" s="84"/>
      <c r="AH39" s="84"/>
      <c r="AI39" s="84"/>
      <c r="AJ39" s="84"/>
      <c r="AK39" s="84"/>
      <c r="AL39" s="84"/>
      <c r="AM39" s="84"/>
      <c r="AN39" s="84"/>
      <c r="AO39" s="84"/>
      <c r="AP39" s="84"/>
      <c r="AQ39" s="84"/>
      <c r="AR39" s="84"/>
    </row>
    <row r="40" spans="1:44">
      <c r="A40" s="84"/>
      <c r="B40" s="84"/>
      <c r="C40" s="84"/>
      <c r="D40" s="84"/>
      <c r="E40" s="84"/>
      <c r="F40" s="84"/>
      <c r="G40" s="84"/>
      <c r="H40" s="84"/>
      <c r="I40" s="84"/>
      <c r="J40" s="84"/>
      <c r="K40" s="84"/>
      <c r="L40" s="84"/>
      <c r="M40" s="84"/>
      <c r="N40" s="84"/>
      <c r="O40" s="84"/>
      <c r="P40" s="84"/>
      <c r="Q40" s="84"/>
      <c r="R40" s="84"/>
      <c r="S40" s="84"/>
      <c r="T40" s="84"/>
      <c r="U40" s="84"/>
      <c r="V40" s="84"/>
      <c r="W40" s="84"/>
      <c r="X40" s="84"/>
      <c r="Y40" s="84"/>
      <c r="Z40" s="84"/>
      <c r="AA40" s="84"/>
      <c r="AB40" s="84"/>
      <c r="AC40" s="84"/>
      <c r="AD40" s="84"/>
      <c r="AE40" s="84"/>
      <c r="AF40" s="84"/>
      <c r="AG40" s="84"/>
      <c r="AH40" s="84"/>
      <c r="AI40" s="84"/>
      <c r="AJ40" s="84"/>
      <c r="AK40" s="84"/>
      <c r="AL40" s="84"/>
      <c r="AM40" s="84"/>
      <c r="AN40" s="84"/>
      <c r="AO40" s="84"/>
      <c r="AP40" s="84"/>
      <c r="AQ40" s="84"/>
      <c r="AR40" s="84"/>
    </row>
    <row r="41" spans="1:44">
      <c r="A41" s="84"/>
      <c r="B41" s="84"/>
      <c r="C41" s="84"/>
      <c r="D41" s="84"/>
      <c r="E41" s="84"/>
      <c r="F41" s="84"/>
      <c r="G41" s="84"/>
      <c r="H41" s="84"/>
      <c r="I41" s="84"/>
      <c r="J41" s="84"/>
      <c r="K41" s="84"/>
      <c r="L41" s="84"/>
      <c r="M41" s="84"/>
      <c r="N41" s="84"/>
      <c r="O41" s="84"/>
      <c r="P41" s="84"/>
      <c r="Q41" s="84"/>
      <c r="R41" s="84"/>
      <c r="S41" s="84"/>
      <c r="T41" s="84"/>
      <c r="U41" s="84"/>
      <c r="V41" s="84"/>
      <c r="W41" s="84"/>
      <c r="X41" s="84"/>
      <c r="Y41" s="84"/>
      <c r="Z41" s="84"/>
      <c r="AA41" s="84"/>
      <c r="AB41" s="84"/>
      <c r="AC41" s="84"/>
      <c r="AD41" s="84"/>
      <c r="AE41" s="84"/>
      <c r="AF41" s="84"/>
      <c r="AG41" s="84"/>
      <c r="AH41" s="84"/>
      <c r="AI41" s="84"/>
      <c r="AJ41" s="84"/>
      <c r="AK41" s="84"/>
      <c r="AL41" s="84"/>
      <c r="AM41" s="84"/>
      <c r="AN41" s="84"/>
      <c r="AO41" s="84"/>
      <c r="AP41" s="84"/>
      <c r="AQ41" s="84"/>
      <c r="AR41" s="84"/>
    </row>
    <row r="42" spans="1:44">
      <c r="A42" s="84"/>
      <c r="B42" s="84"/>
      <c r="C42" s="84"/>
      <c r="D42" s="84"/>
      <c r="E42" s="84"/>
      <c r="F42" s="84"/>
      <c r="G42" s="84"/>
      <c r="H42" s="84"/>
      <c r="I42" s="84"/>
      <c r="J42" s="84"/>
      <c r="K42" s="84"/>
      <c r="L42" s="84"/>
      <c r="M42" s="84"/>
      <c r="N42" s="84"/>
      <c r="O42" s="84"/>
      <c r="P42" s="84"/>
      <c r="Q42" s="84"/>
      <c r="R42" s="84"/>
      <c r="S42" s="84"/>
      <c r="T42" s="84"/>
      <c r="U42" s="84"/>
      <c r="V42" s="84"/>
      <c r="W42" s="84"/>
      <c r="X42" s="84"/>
      <c r="Y42" s="84"/>
      <c r="Z42" s="84"/>
      <c r="AA42" s="84"/>
      <c r="AB42" s="84"/>
      <c r="AC42" s="84"/>
      <c r="AD42" s="84"/>
      <c r="AE42" s="84"/>
      <c r="AF42" s="84"/>
      <c r="AG42" s="84"/>
      <c r="AH42" s="84"/>
      <c r="AI42" s="84"/>
      <c r="AJ42" s="84"/>
      <c r="AK42" s="84"/>
      <c r="AL42" s="84"/>
      <c r="AM42" s="84"/>
      <c r="AN42" s="84"/>
      <c r="AO42" s="84"/>
      <c r="AP42" s="84"/>
      <c r="AQ42" s="84"/>
      <c r="AR42" s="84"/>
    </row>
    <row r="43" spans="1:44">
      <c r="A43" s="84"/>
      <c r="B43" s="84"/>
      <c r="C43" s="84"/>
      <c r="D43" s="84"/>
      <c r="E43" s="84"/>
      <c r="F43" s="84"/>
      <c r="G43" s="84"/>
      <c r="H43" s="84"/>
      <c r="I43" s="84"/>
      <c r="J43" s="84"/>
      <c r="K43" s="84"/>
      <c r="L43" s="84"/>
      <c r="M43" s="84"/>
      <c r="N43" s="84"/>
      <c r="O43" s="84"/>
      <c r="P43" s="84"/>
      <c r="Q43" s="84"/>
      <c r="R43" s="84"/>
      <c r="S43" s="84"/>
      <c r="T43" s="84"/>
      <c r="U43" s="84"/>
      <c r="V43" s="84"/>
      <c r="W43" s="84"/>
      <c r="X43" s="84"/>
      <c r="Y43" s="84"/>
      <c r="Z43" s="84"/>
      <c r="AA43" s="84"/>
      <c r="AB43" s="84"/>
      <c r="AC43" s="84"/>
      <c r="AD43" s="84"/>
      <c r="AE43" s="84"/>
      <c r="AF43" s="84"/>
      <c r="AG43" s="84"/>
      <c r="AH43" s="84"/>
      <c r="AI43" s="84"/>
      <c r="AJ43" s="84"/>
      <c r="AK43" s="84"/>
      <c r="AL43" s="84"/>
      <c r="AM43" s="84"/>
      <c r="AN43" s="84"/>
      <c r="AO43" s="84"/>
      <c r="AP43" s="84"/>
      <c r="AQ43" s="84"/>
      <c r="AR43" s="84"/>
    </row>
    <row r="44" spans="1:44">
      <c r="A44" s="84"/>
      <c r="B44" s="84"/>
      <c r="C44" s="84"/>
      <c r="D44" s="84"/>
      <c r="E44" s="84"/>
      <c r="F44" s="84"/>
      <c r="G44" s="84"/>
      <c r="H44" s="84"/>
      <c r="I44" s="84"/>
      <c r="J44" s="84"/>
      <c r="K44" s="84"/>
      <c r="L44" s="84"/>
      <c r="M44" s="84"/>
      <c r="N44" s="84"/>
      <c r="O44" s="84"/>
      <c r="P44" s="84"/>
      <c r="Q44" s="84"/>
      <c r="R44" s="84"/>
      <c r="S44" s="84"/>
      <c r="T44" s="84"/>
      <c r="U44" s="84"/>
      <c r="V44" s="84"/>
      <c r="W44" s="84"/>
      <c r="X44" s="84"/>
      <c r="Y44" s="84"/>
      <c r="Z44" s="84"/>
      <c r="AA44" s="84"/>
      <c r="AB44" s="84"/>
      <c r="AC44" s="84"/>
      <c r="AD44" s="84"/>
      <c r="AE44" s="84"/>
      <c r="AF44" s="84"/>
      <c r="AG44" s="84"/>
      <c r="AH44" s="84"/>
      <c r="AI44" s="84"/>
      <c r="AJ44" s="84"/>
      <c r="AK44" s="84"/>
      <c r="AL44" s="84"/>
      <c r="AM44" s="84"/>
      <c r="AN44" s="84"/>
      <c r="AO44" s="84"/>
      <c r="AP44" s="84"/>
      <c r="AQ44" s="84"/>
      <c r="AR44" s="84"/>
    </row>
    <row r="45" spans="1:44">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row>
    <row r="46" spans="1:44">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row>
    <row r="47" spans="1:44">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row>
    <row r="48" spans="1:44">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row>
    <row r="49" spans="1:44">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row>
    <row r="50" spans="1:44">
      <c r="A50" s="84"/>
      <c r="B50" s="84"/>
      <c r="C50" s="84"/>
      <c r="D50" s="84"/>
      <c r="E50" s="84"/>
      <c r="F50" s="84"/>
      <c r="G50" s="84"/>
      <c r="H50" s="84"/>
      <c r="I50" s="84"/>
      <c r="J50" s="84"/>
      <c r="K50" s="84"/>
      <c r="L50" s="84"/>
      <c r="M50" s="84"/>
      <c r="N50" s="84"/>
      <c r="O50" s="84"/>
      <c r="P50" s="84"/>
      <c r="Q50" s="84"/>
      <c r="R50" s="84"/>
      <c r="S50" s="84"/>
      <c r="T50" s="84"/>
      <c r="U50" s="84"/>
      <c r="V50" s="84"/>
      <c r="W50" s="84"/>
      <c r="X50" s="84"/>
      <c r="Y50" s="84"/>
      <c r="Z50" s="84"/>
      <c r="AA50" s="84"/>
      <c r="AB50" s="84"/>
      <c r="AC50" s="84"/>
      <c r="AD50" s="84"/>
      <c r="AE50" s="84"/>
      <c r="AF50" s="84"/>
      <c r="AG50" s="84"/>
      <c r="AH50" s="84"/>
      <c r="AI50" s="84"/>
      <c r="AJ50" s="84"/>
      <c r="AK50" s="84"/>
      <c r="AL50" s="84"/>
      <c r="AM50" s="84"/>
      <c r="AN50" s="84"/>
      <c r="AO50" s="84"/>
      <c r="AP50" s="84"/>
      <c r="AQ50" s="84"/>
      <c r="AR50" s="84"/>
    </row>
    <row r="51" spans="1:44">
      <c r="A51" s="84"/>
      <c r="B51" s="84"/>
      <c r="C51" s="84"/>
      <c r="D51" s="84"/>
      <c r="E51" s="84"/>
      <c r="F51" s="84"/>
      <c r="G51" s="84"/>
      <c r="H51" s="84"/>
      <c r="I51" s="84"/>
      <c r="J51" s="84"/>
      <c r="K51" s="84"/>
      <c r="L51" s="84"/>
      <c r="M51" s="84"/>
      <c r="N51" s="84"/>
      <c r="O51" s="84"/>
      <c r="P51" s="84"/>
      <c r="Q51" s="84"/>
      <c r="R51" s="84"/>
      <c r="S51" s="84"/>
      <c r="T51" s="84"/>
      <c r="U51" s="84"/>
      <c r="V51" s="84"/>
      <c r="W51" s="84"/>
      <c r="X51" s="84"/>
      <c r="Y51" s="84"/>
      <c r="Z51" s="84"/>
      <c r="AA51" s="84"/>
      <c r="AB51" s="84"/>
      <c r="AC51" s="84"/>
      <c r="AD51" s="84"/>
      <c r="AE51" s="84"/>
      <c r="AF51" s="84"/>
      <c r="AG51" s="84"/>
      <c r="AH51" s="84"/>
      <c r="AI51" s="84"/>
      <c r="AJ51" s="84"/>
      <c r="AK51" s="84"/>
      <c r="AL51" s="84"/>
      <c r="AM51" s="84"/>
      <c r="AN51" s="84"/>
      <c r="AO51" s="84"/>
      <c r="AP51" s="84"/>
      <c r="AQ51" s="84"/>
      <c r="AR51" s="84"/>
    </row>
    <row r="52" spans="1:44">
      <c r="A52" s="84"/>
      <c r="B52" s="84"/>
      <c r="C52" s="84"/>
      <c r="D52" s="84"/>
      <c r="E52" s="84"/>
      <c r="F52" s="84"/>
      <c r="G52" s="84"/>
      <c r="H52" s="84"/>
      <c r="I52" s="84"/>
      <c r="J52" s="84"/>
      <c r="K52" s="84"/>
      <c r="L52" s="84"/>
      <c r="M52" s="84"/>
      <c r="N52" s="84"/>
      <c r="O52" s="84"/>
      <c r="P52" s="84"/>
      <c r="Q52" s="84"/>
      <c r="R52" s="84"/>
      <c r="S52" s="84"/>
      <c r="T52" s="84"/>
      <c r="U52" s="84"/>
      <c r="V52" s="84"/>
      <c r="W52" s="84"/>
      <c r="X52" s="84"/>
      <c r="Y52" s="84"/>
      <c r="Z52" s="84"/>
      <c r="AA52" s="84"/>
      <c r="AB52" s="84"/>
      <c r="AC52" s="84"/>
      <c r="AD52" s="84"/>
      <c r="AE52" s="84"/>
      <c r="AF52" s="84"/>
      <c r="AG52" s="84"/>
      <c r="AH52" s="84"/>
      <c r="AI52" s="84"/>
      <c r="AJ52" s="84"/>
      <c r="AK52" s="84"/>
      <c r="AL52" s="84"/>
      <c r="AM52" s="84"/>
      <c r="AN52" s="84"/>
      <c r="AO52" s="84"/>
      <c r="AP52" s="84"/>
      <c r="AQ52" s="84"/>
      <c r="AR52" s="84"/>
    </row>
    <row r="53" spans="1:44">
      <c r="A53" s="84"/>
      <c r="B53" s="84"/>
      <c r="C53" s="84"/>
      <c r="D53" s="84"/>
      <c r="E53" s="84"/>
      <c r="F53" s="84"/>
      <c r="G53" s="84"/>
      <c r="H53" s="84"/>
      <c r="I53" s="84"/>
      <c r="J53" s="84"/>
      <c r="K53" s="84"/>
      <c r="L53" s="84"/>
      <c r="M53" s="84"/>
      <c r="N53" s="84"/>
      <c r="O53" s="84"/>
      <c r="P53" s="84"/>
      <c r="Q53" s="84"/>
      <c r="R53" s="84"/>
      <c r="S53" s="84"/>
      <c r="T53" s="84"/>
      <c r="U53" s="84"/>
      <c r="V53" s="84"/>
      <c r="W53" s="84"/>
      <c r="X53" s="84"/>
      <c r="Y53" s="84"/>
      <c r="Z53" s="84"/>
      <c r="AA53" s="84"/>
      <c r="AB53" s="84"/>
      <c r="AC53" s="84"/>
      <c r="AD53" s="84"/>
      <c r="AE53" s="84"/>
      <c r="AF53" s="84"/>
      <c r="AG53" s="84"/>
      <c r="AH53" s="84"/>
      <c r="AI53" s="84"/>
      <c r="AJ53" s="84"/>
      <c r="AK53" s="84"/>
      <c r="AL53" s="84"/>
      <c r="AM53" s="84"/>
      <c r="AN53" s="84"/>
      <c r="AO53" s="84"/>
      <c r="AP53" s="84"/>
      <c r="AQ53" s="84"/>
      <c r="AR53" s="84"/>
    </row>
    <row r="54" spans="1:44">
      <c r="A54" s="84"/>
      <c r="B54" s="84"/>
      <c r="C54" s="84"/>
      <c r="D54" s="84"/>
      <c r="E54" s="84"/>
      <c r="F54" s="84"/>
      <c r="G54" s="84"/>
      <c r="H54" s="84"/>
      <c r="I54" s="84"/>
      <c r="J54" s="84"/>
      <c r="K54" s="84"/>
      <c r="L54" s="84"/>
      <c r="M54" s="84"/>
      <c r="N54" s="84"/>
      <c r="O54" s="84"/>
      <c r="P54" s="84"/>
      <c r="Q54" s="84"/>
      <c r="R54" s="84"/>
      <c r="S54" s="84"/>
      <c r="T54" s="84"/>
      <c r="U54" s="84"/>
      <c r="V54" s="84"/>
      <c r="W54" s="84"/>
      <c r="X54" s="84"/>
      <c r="Y54" s="84"/>
      <c r="Z54" s="84"/>
      <c r="AA54" s="84"/>
      <c r="AB54" s="84"/>
      <c r="AC54" s="84"/>
      <c r="AD54" s="84"/>
      <c r="AE54" s="84"/>
      <c r="AF54" s="84"/>
      <c r="AG54" s="84"/>
      <c r="AH54" s="84"/>
      <c r="AI54" s="84"/>
      <c r="AJ54" s="84"/>
      <c r="AK54" s="84"/>
      <c r="AL54" s="84"/>
      <c r="AM54" s="84"/>
      <c r="AN54" s="84"/>
      <c r="AO54" s="84"/>
      <c r="AP54" s="84"/>
      <c r="AQ54" s="84"/>
      <c r="AR54" s="84"/>
    </row>
    <row r="55" spans="1:44">
      <c r="A55" s="84"/>
      <c r="B55" s="84"/>
      <c r="C55" s="84"/>
      <c r="D55" s="84"/>
      <c r="E55" s="84"/>
      <c r="F55" s="84"/>
      <c r="G55" s="84"/>
      <c r="H55" s="84"/>
      <c r="I55" s="84"/>
      <c r="J55" s="84"/>
      <c r="K55" s="84"/>
      <c r="L55" s="84"/>
      <c r="M55" s="84"/>
      <c r="N55" s="84"/>
      <c r="O55" s="84"/>
      <c r="P55" s="84"/>
      <c r="Q55" s="84"/>
      <c r="R55" s="84"/>
      <c r="S55" s="84"/>
      <c r="T55" s="84"/>
      <c r="U55" s="84"/>
      <c r="V55" s="84"/>
      <c r="W55" s="84"/>
      <c r="X55" s="84"/>
      <c r="Y55" s="84"/>
      <c r="Z55" s="84"/>
      <c r="AA55" s="84"/>
      <c r="AB55" s="84"/>
      <c r="AC55" s="84"/>
      <c r="AD55" s="84"/>
      <c r="AE55" s="84"/>
      <c r="AF55" s="84"/>
      <c r="AG55" s="84"/>
      <c r="AH55" s="84"/>
      <c r="AI55" s="84"/>
      <c r="AJ55" s="84"/>
      <c r="AK55" s="84"/>
      <c r="AL55" s="84"/>
      <c r="AM55" s="84"/>
      <c r="AN55" s="84"/>
      <c r="AO55" s="84"/>
      <c r="AP55" s="84"/>
      <c r="AQ55" s="84"/>
      <c r="AR55" s="84"/>
    </row>
    <row r="56" spans="1:44">
      <c r="A56" s="84"/>
      <c r="B56" s="84"/>
      <c r="C56" s="84"/>
      <c r="D56" s="84"/>
      <c r="E56" s="84"/>
      <c r="F56" s="84"/>
      <c r="G56" s="84"/>
      <c r="H56" s="84"/>
      <c r="I56" s="84"/>
      <c r="J56" s="84"/>
      <c r="K56" s="84"/>
      <c r="L56" s="84"/>
      <c r="M56" s="84"/>
      <c r="N56" s="84"/>
      <c r="O56" s="84"/>
      <c r="P56" s="84"/>
      <c r="Q56" s="84"/>
      <c r="R56" s="84"/>
      <c r="S56" s="84"/>
      <c r="T56" s="84"/>
      <c r="U56" s="84"/>
      <c r="V56" s="84"/>
      <c r="W56" s="84"/>
      <c r="X56" s="84"/>
      <c r="Y56" s="84"/>
      <c r="Z56" s="84"/>
      <c r="AA56" s="84"/>
      <c r="AB56" s="84"/>
      <c r="AC56" s="84"/>
      <c r="AD56" s="84"/>
      <c r="AE56" s="84"/>
      <c r="AF56" s="84"/>
      <c r="AG56" s="84"/>
      <c r="AH56" s="84"/>
      <c r="AI56" s="84"/>
      <c r="AJ56" s="84"/>
      <c r="AK56" s="84"/>
      <c r="AL56" s="84"/>
      <c r="AM56" s="84"/>
      <c r="AN56" s="84"/>
      <c r="AO56" s="84"/>
      <c r="AP56" s="84"/>
      <c r="AQ56" s="84"/>
      <c r="AR56" s="84"/>
    </row>
    <row r="57" spans="1:44">
      <c r="A57" s="84"/>
      <c r="B57" s="84"/>
      <c r="C57" s="84"/>
      <c r="D57" s="84"/>
      <c r="E57" s="84"/>
      <c r="F57" s="84"/>
      <c r="G57" s="84"/>
      <c r="H57" s="84"/>
      <c r="I57" s="84"/>
      <c r="J57" s="84"/>
      <c r="K57" s="84"/>
      <c r="L57" s="84"/>
      <c r="M57" s="84"/>
      <c r="N57" s="84"/>
      <c r="O57" s="84"/>
      <c r="P57" s="84"/>
      <c r="Q57" s="84"/>
      <c r="R57" s="84"/>
      <c r="S57" s="84"/>
      <c r="T57" s="84"/>
      <c r="U57" s="84"/>
      <c r="V57" s="84"/>
      <c r="W57" s="84"/>
      <c r="X57" s="84"/>
      <c r="Y57" s="84"/>
      <c r="Z57" s="84"/>
      <c r="AA57" s="84"/>
      <c r="AB57" s="84"/>
      <c r="AC57" s="84"/>
      <c r="AD57" s="84"/>
      <c r="AE57" s="84"/>
      <c r="AF57" s="84"/>
      <c r="AG57" s="84"/>
      <c r="AH57" s="84"/>
      <c r="AI57" s="84"/>
      <c r="AJ57" s="84"/>
      <c r="AK57" s="84"/>
      <c r="AL57" s="84"/>
      <c r="AM57" s="84"/>
      <c r="AN57" s="84"/>
      <c r="AO57" s="84"/>
      <c r="AP57" s="84"/>
      <c r="AQ57" s="84"/>
      <c r="AR57" s="84"/>
    </row>
    <row r="58" spans="1:44">
      <c r="A58" s="84"/>
      <c r="B58" s="84"/>
      <c r="C58" s="84"/>
      <c r="D58" s="84"/>
      <c r="E58" s="84"/>
      <c r="F58" s="84"/>
      <c r="G58" s="84"/>
      <c r="H58" s="84"/>
      <c r="I58" s="84"/>
      <c r="J58" s="84"/>
      <c r="K58" s="84"/>
      <c r="L58" s="84"/>
      <c r="M58" s="84"/>
      <c r="N58" s="84"/>
      <c r="O58" s="84"/>
      <c r="P58" s="84"/>
      <c r="Q58" s="84"/>
      <c r="R58" s="84"/>
      <c r="S58" s="84"/>
      <c r="T58" s="84"/>
      <c r="U58" s="84"/>
      <c r="V58" s="84"/>
      <c r="W58" s="84"/>
      <c r="X58" s="84"/>
      <c r="Y58" s="84"/>
      <c r="Z58" s="84"/>
      <c r="AA58" s="84"/>
      <c r="AB58" s="84"/>
      <c r="AC58" s="84"/>
      <c r="AD58" s="84"/>
      <c r="AE58" s="84"/>
      <c r="AF58" s="84"/>
      <c r="AG58" s="84"/>
      <c r="AH58" s="84"/>
      <c r="AI58" s="84"/>
      <c r="AJ58" s="84"/>
      <c r="AK58" s="84"/>
      <c r="AL58" s="84"/>
      <c r="AM58" s="84"/>
      <c r="AN58" s="84"/>
      <c r="AO58" s="84"/>
      <c r="AP58" s="84"/>
      <c r="AQ58" s="84"/>
      <c r="AR58" s="84"/>
    </row>
    <row r="59" spans="1:44">
      <c r="A59" s="84"/>
      <c r="B59" s="84"/>
      <c r="C59" s="84"/>
      <c r="D59" s="84"/>
      <c r="E59" s="84"/>
      <c r="F59" s="84"/>
      <c r="G59" s="84"/>
      <c r="H59" s="84"/>
      <c r="I59" s="84"/>
      <c r="J59" s="84"/>
      <c r="K59" s="84"/>
      <c r="L59" s="84"/>
      <c r="M59" s="84"/>
      <c r="N59" s="84"/>
      <c r="O59" s="84"/>
      <c r="P59" s="84"/>
      <c r="Q59" s="84"/>
      <c r="R59" s="84"/>
      <c r="S59" s="84"/>
      <c r="T59" s="84"/>
      <c r="U59" s="84"/>
      <c r="V59" s="84"/>
      <c r="W59" s="84"/>
      <c r="X59" s="84"/>
      <c r="Y59" s="84"/>
      <c r="Z59" s="84"/>
      <c r="AA59" s="84"/>
      <c r="AB59" s="84"/>
      <c r="AC59" s="84"/>
      <c r="AD59" s="84"/>
      <c r="AE59" s="84"/>
      <c r="AF59" s="84"/>
      <c r="AG59" s="84"/>
      <c r="AH59" s="84"/>
      <c r="AI59" s="84"/>
      <c r="AJ59" s="84"/>
      <c r="AK59" s="84"/>
      <c r="AL59" s="84"/>
      <c r="AM59" s="84"/>
      <c r="AN59" s="84"/>
      <c r="AO59" s="84"/>
      <c r="AP59" s="84"/>
      <c r="AQ59" s="84"/>
      <c r="AR59" s="84"/>
    </row>
    <row r="60" spans="1:44">
      <c r="A60" s="84"/>
      <c r="B60" s="84"/>
      <c r="C60" s="84"/>
      <c r="D60" s="84"/>
      <c r="E60" s="84"/>
      <c r="F60" s="84"/>
      <c r="G60" s="84"/>
      <c r="H60" s="84"/>
      <c r="I60" s="84"/>
      <c r="J60" s="84"/>
      <c r="K60" s="84"/>
      <c r="L60" s="84"/>
      <c r="M60" s="84"/>
      <c r="N60" s="84"/>
      <c r="O60" s="84"/>
      <c r="P60" s="84"/>
      <c r="Q60" s="84"/>
      <c r="R60" s="84"/>
      <c r="S60" s="84"/>
      <c r="T60" s="84"/>
      <c r="U60" s="84"/>
      <c r="V60" s="84"/>
      <c r="W60" s="84"/>
      <c r="X60" s="84"/>
      <c r="Y60" s="84"/>
      <c r="Z60" s="84"/>
      <c r="AA60" s="84"/>
      <c r="AB60" s="84"/>
      <c r="AC60" s="84"/>
      <c r="AD60" s="84"/>
      <c r="AE60" s="84"/>
      <c r="AF60" s="84"/>
      <c r="AG60" s="84"/>
      <c r="AH60" s="84"/>
      <c r="AI60" s="84"/>
      <c r="AJ60" s="84"/>
      <c r="AK60" s="84"/>
      <c r="AL60" s="84"/>
      <c r="AM60" s="84"/>
      <c r="AN60" s="84"/>
      <c r="AO60" s="84"/>
      <c r="AP60" s="84"/>
      <c r="AQ60" s="84"/>
      <c r="AR60" s="84"/>
    </row>
    <row r="61" spans="1:44">
      <c r="A61" s="84"/>
      <c r="B61" s="84"/>
      <c r="C61" s="84"/>
      <c r="D61" s="84"/>
      <c r="E61" s="84"/>
      <c r="F61" s="84"/>
      <c r="G61" s="84"/>
      <c r="H61" s="84"/>
      <c r="I61" s="84"/>
      <c r="J61" s="84"/>
      <c r="K61" s="84"/>
      <c r="L61" s="84"/>
      <c r="M61" s="84"/>
      <c r="N61" s="84"/>
      <c r="O61" s="84"/>
      <c r="P61" s="84"/>
      <c r="Q61" s="84"/>
      <c r="R61" s="84"/>
      <c r="S61" s="84"/>
      <c r="T61" s="84"/>
      <c r="U61" s="84"/>
      <c r="V61" s="84"/>
      <c r="W61" s="84"/>
      <c r="X61" s="84"/>
      <c r="Y61" s="84"/>
      <c r="Z61" s="84"/>
      <c r="AA61" s="84"/>
      <c r="AB61" s="84"/>
      <c r="AC61" s="84"/>
      <c r="AD61" s="84"/>
      <c r="AE61" s="84"/>
      <c r="AF61" s="84"/>
      <c r="AG61" s="84"/>
      <c r="AH61" s="84"/>
      <c r="AI61" s="84"/>
      <c r="AJ61" s="84"/>
      <c r="AK61" s="84"/>
      <c r="AL61" s="84"/>
      <c r="AM61" s="84"/>
      <c r="AN61" s="84"/>
      <c r="AO61" s="84"/>
      <c r="AP61" s="84"/>
      <c r="AQ61" s="84"/>
      <c r="AR61" s="84"/>
    </row>
    <row r="62" spans="1:44">
      <c r="A62" s="84"/>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84"/>
      <c r="AC62" s="84"/>
      <c r="AD62" s="84"/>
      <c r="AE62" s="84"/>
      <c r="AF62" s="84"/>
      <c r="AG62" s="84"/>
      <c r="AH62" s="84"/>
      <c r="AI62" s="84"/>
      <c r="AJ62" s="84"/>
      <c r="AK62" s="84"/>
      <c r="AL62" s="84"/>
      <c r="AM62" s="84"/>
      <c r="AN62" s="84"/>
      <c r="AO62" s="84"/>
      <c r="AP62" s="84"/>
      <c r="AQ62" s="84"/>
      <c r="AR62" s="84"/>
    </row>
    <row r="63" spans="1:44">
      <c r="A63" s="84"/>
      <c r="B63" s="84"/>
      <c r="C63" s="84"/>
      <c r="D63" s="84"/>
      <c r="E63" s="84"/>
      <c r="F63" s="84"/>
      <c r="G63" s="84"/>
      <c r="H63" s="84"/>
      <c r="I63" s="84"/>
      <c r="J63" s="84"/>
      <c r="K63" s="84"/>
      <c r="L63" s="84"/>
      <c r="M63" s="84"/>
      <c r="N63" s="84"/>
      <c r="O63" s="84"/>
      <c r="P63" s="84"/>
      <c r="Q63" s="84"/>
      <c r="R63" s="84"/>
      <c r="S63" s="84"/>
      <c r="T63" s="84"/>
      <c r="U63" s="84"/>
      <c r="V63" s="84"/>
      <c r="W63" s="84"/>
      <c r="X63" s="84"/>
      <c r="Y63" s="84"/>
      <c r="Z63" s="84"/>
      <c r="AA63" s="84"/>
      <c r="AB63" s="84"/>
      <c r="AC63" s="84"/>
      <c r="AD63" s="84"/>
      <c r="AE63" s="84"/>
      <c r="AF63" s="84"/>
      <c r="AG63" s="84"/>
      <c r="AH63" s="84"/>
      <c r="AI63" s="84"/>
      <c r="AJ63" s="84"/>
      <c r="AK63" s="84"/>
      <c r="AL63" s="84"/>
      <c r="AM63" s="84"/>
      <c r="AN63" s="84"/>
      <c r="AO63" s="84"/>
      <c r="AP63" s="84"/>
      <c r="AQ63" s="84"/>
      <c r="AR63" s="84"/>
    </row>
    <row r="64" spans="1:44">
      <c r="A64" s="84"/>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84"/>
      <c r="AC64" s="84"/>
      <c r="AD64" s="84"/>
      <c r="AE64" s="84"/>
      <c r="AF64" s="84"/>
      <c r="AG64" s="84"/>
      <c r="AH64" s="84"/>
      <c r="AI64" s="84"/>
      <c r="AJ64" s="84"/>
      <c r="AK64" s="84"/>
      <c r="AL64" s="84"/>
      <c r="AM64" s="84"/>
      <c r="AN64" s="84"/>
      <c r="AO64" s="84"/>
      <c r="AP64" s="84"/>
      <c r="AQ64" s="84"/>
      <c r="AR64" s="84"/>
    </row>
    <row r="65" spans="1:44">
      <c r="A65" s="84"/>
      <c r="B65" s="84"/>
      <c r="C65" s="84"/>
      <c r="D65" s="84"/>
      <c r="E65" s="84"/>
      <c r="F65" s="84"/>
      <c r="G65" s="84"/>
      <c r="H65" s="84"/>
      <c r="I65" s="84"/>
      <c r="J65" s="84"/>
      <c r="K65" s="84"/>
      <c r="L65" s="84"/>
      <c r="M65" s="84"/>
      <c r="N65" s="84"/>
      <c r="O65" s="84"/>
      <c r="P65" s="84"/>
      <c r="Q65" s="84"/>
      <c r="R65" s="84"/>
      <c r="S65" s="84"/>
      <c r="T65" s="84"/>
      <c r="U65" s="84"/>
      <c r="V65" s="84"/>
      <c r="W65" s="84"/>
      <c r="X65" s="84"/>
      <c r="Y65" s="84"/>
      <c r="Z65" s="84"/>
      <c r="AA65" s="84"/>
      <c r="AB65" s="84"/>
      <c r="AC65" s="84"/>
      <c r="AD65" s="84"/>
      <c r="AE65" s="84"/>
      <c r="AF65" s="84"/>
      <c r="AG65" s="84"/>
      <c r="AH65" s="84"/>
      <c r="AI65" s="84"/>
      <c r="AJ65" s="84"/>
      <c r="AK65" s="84"/>
      <c r="AL65" s="84"/>
      <c r="AM65" s="84"/>
      <c r="AN65" s="84"/>
      <c r="AO65" s="84"/>
      <c r="AP65" s="84"/>
      <c r="AQ65" s="84"/>
      <c r="AR65" s="84"/>
    </row>
    <row r="66" spans="1:44">
      <c r="A66" s="84"/>
      <c r="B66" s="84"/>
      <c r="C66" s="84"/>
      <c r="D66" s="84"/>
      <c r="E66" s="84"/>
      <c r="F66" s="84"/>
      <c r="G66" s="84"/>
      <c r="H66" s="84"/>
      <c r="I66" s="84"/>
      <c r="J66" s="84"/>
      <c r="K66" s="84"/>
      <c r="L66" s="84"/>
      <c r="M66" s="84"/>
      <c r="N66" s="84"/>
      <c r="O66" s="84"/>
      <c r="P66" s="84"/>
      <c r="Q66" s="84"/>
      <c r="R66" s="84"/>
      <c r="S66" s="84"/>
      <c r="T66" s="84"/>
      <c r="U66" s="84"/>
      <c r="V66" s="84"/>
      <c r="W66" s="84"/>
      <c r="X66" s="84"/>
      <c r="Y66" s="84"/>
      <c r="Z66" s="84"/>
      <c r="AA66" s="84"/>
      <c r="AB66" s="84"/>
      <c r="AC66" s="84"/>
      <c r="AD66" s="84"/>
      <c r="AE66" s="84"/>
      <c r="AF66" s="84"/>
      <c r="AG66" s="84"/>
      <c r="AH66" s="84"/>
      <c r="AI66" s="84"/>
      <c r="AJ66" s="84"/>
      <c r="AK66" s="84"/>
      <c r="AL66" s="84"/>
      <c r="AM66" s="84"/>
      <c r="AN66" s="84"/>
      <c r="AO66" s="84"/>
      <c r="AP66" s="84"/>
      <c r="AQ66" s="84"/>
      <c r="AR66" s="84"/>
    </row>
    <row r="67" spans="1:44">
      <c r="A67" s="84"/>
      <c r="B67" s="84"/>
      <c r="C67" s="84"/>
      <c r="D67" s="84"/>
      <c r="E67" s="84"/>
      <c r="F67" s="84"/>
      <c r="G67" s="84"/>
      <c r="H67" s="84"/>
      <c r="I67" s="84"/>
      <c r="J67" s="84"/>
      <c r="K67" s="84"/>
      <c r="L67" s="84"/>
      <c r="M67" s="84"/>
      <c r="N67" s="84"/>
      <c r="O67" s="84"/>
      <c r="P67" s="84"/>
      <c r="Q67" s="84"/>
      <c r="R67" s="84"/>
      <c r="S67" s="84"/>
      <c r="T67" s="84"/>
      <c r="U67" s="84"/>
      <c r="V67" s="84"/>
      <c r="W67" s="84"/>
      <c r="X67" s="84"/>
      <c r="Y67" s="84"/>
      <c r="Z67" s="84"/>
      <c r="AA67" s="84"/>
      <c r="AB67" s="84"/>
      <c r="AC67" s="84"/>
      <c r="AD67" s="84"/>
      <c r="AE67" s="84"/>
      <c r="AF67" s="84"/>
      <c r="AG67" s="84"/>
      <c r="AH67" s="84"/>
      <c r="AI67" s="84"/>
      <c r="AJ67" s="84"/>
      <c r="AK67" s="84"/>
      <c r="AL67" s="84"/>
      <c r="AM67" s="84"/>
      <c r="AN67" s="84"/>
      <c r="AO67" s="84"/>
      <c r="AP67" s="84"/>
      <c r="AQ67" s="84"/>
      <c r="AR67" s="84"/>
    </row>
    <row r="68" spans="1:44">
      <c r="A68" s="84"/>
      <c r="B68" s="84"/>
      <c r="C68" s="84"/>
      <c r="D68" s="84"/>
      <c r="E68" s="84"/>
      <c r="F68" s="84"/>
      <c r="G68" s="84"/>
      <c r="H68" s="84"/>
      <c r="I68" s="84"/>
      <c r="J68" s="84"/>
      <c r="K68" s="84"/>
      <c r="L68" s="84"/>
      <c r="M68" s="84"/>
      <c r="N68" s="84"/>
      <c r="O68" s="84"/>
      <c r="P68" s="84"/>
      <c r="Q68" s="84"/>
      <c r="R68" s="84"/>
      <c r="S68" s="84"/>
      <c r="T68" s="84"/>
      <c r="U68" s="84"/>
      <c r="V68" s="84"/>
      <c r="W68" s="84"/>
      <c r="X68" s="84"/>
      <c r="Y68" s="84"/>
      <c r="Z68" s="84"/>
      <c r="AA68" s="84"/>
      <c r="AB68" s="84"/>
      <c r="AC68" s="84"/>
      <c r="AD68" s="84"/>
      <c r="AE68" s="84"/>
      <c r="AF68" s="84"/>
      <c r="AG68" s="84"/>
      <c r="AH68" s="84"/>
      <c r="AI68" s="84"/>
      <c r="AJ68" s="84"/>
      <c r="AK68" s="84"/>
      <c r="AL68" s="84"/>
      <c r="AM68" s="84"/>
      <c r="AN68" s="84"/>
      <c r="AO68" s="84"/>
      <c r="AP68" s="84"/>
      <c r="AQ68" s="84"/>
      <c r="AR68" s="84"/>
    </row>
    <row r="69" spans="1:44">
      <c r="A69" s="84"/>
      <c r="B69" s="84"/>
      <c r="C69" s="84"/>
      <c r="D69" s="84"/>
      <c r="E69" s="84"/>
      <c r="F69" s="84"/>
      <c r="G69" s="84"/>
      <c r="H69" s="84"/>
      <c r="I69" s="84"/>
      <c r="J69" s="84"/>
      <c r="K69" s="84"/>
      <c r="L69" s="84"/>
      <c r="M69" s="84"/>
      <c r="N69" s="84"/>
      <c r="O69" s="84"/>
      <c r="P69" s="84"/>
      <c r="Q69" s="84"/>
      <c r="R69" s="84"/>
      <c r="S69" s="84"/>
      <c r="T69" s="84"/>
      <c r="U69" s="84"/>
      <c r="V69" s="84"/>
      <c r="W69" s="84"/>
      <c r="X69" s="84"/>
      <c r="Y69" s="84"/>
      <c r="Z69" s="84"/>
      <c r="AA69" s="84"/>
      <c r="AB69" s="84"/>
      <c r="AC69" s="84"/>
      <c r="AD69" s="84"/>
      <c r="AE69" s="84"/>
      <c r="AF69" s="84"/>
      <c r="AG69" s="84"/>
      <c r="AH69" s="84"/>
      <c r="AI69" s="84"/>
      <c r="AJ69" s="84"/>
      <c r="AK69" s="84"/>
      <c r="AL69" s="84"/>
      <c r="AM69" s="84"/>
      <c r="AN69" s="84"/>
      <c r="AO69" s="84"/>
      <c r="AP69" s="84"/>
      <c r="AQ69" s="84"/>
      <c r="AR69" s="84"/>
    </row>
    <row r="70" spans="1:44">
      <c r="A70" s="84"/>
      <c r="B70" s="84"/>
      <c r="C70" s="84"/>
      <c r="D70" s="84"/>
      <c r="E70" s="84"/>
      <c r="F70" s="84"/>
      <c r="G70" s="84"/>
      <c r="H70" s="84"/>
      <c r="I70" s="84"/>
      <c r="J70" s="84"/>
      <c r="K70" s="84"/>
      <c r="L70" s="84"/>
      <c r="M70" s="84"/>
      <c r="N70" s="84"/>
      <c r="O70" s="84"/>
      <c r="P70" s="84"/>
      <c r="Q70" s="84"/>
      <c r="R70" s="84"/>
      <c r="S70" s="84"/>
      <c r="T70" s="84"/>
      <c r="U70" s="84"/>
      <c r="V70" s="84"/>
      <c r="W70" s="84"/>
      <c r="X70" s="84"/>
      <c r="Y70" s="84"/>
      <c r="Z70" s="84"/>
      <c r="AA70" s="84"/>
      <c r="AB70" s="84"/>
      <c r="AC70" s="84"/>
      <c r="AD70" s="84"/>
      <c r="AE70" s="84"/>
      <c r="AF70" s="84"/>
      <c r="AG70" s="84"/>
      <c r="AH70" s="84"/>
      <c r="AI70" s="84"/>
      <c r="AJ70" s="84"/>
      <c r="AK70" s="84"/>
      <c r="AL70" s="84"/>
      <c r="AM70" s="84"/>
      <c r="AN70" s="84"/>
      <c r="AO70" s="84"/>
      <c r="AP70" s="84"/>
      <c r="AQ70" s="84"/>
      <c r="AR70" s="84"/>
    </row>
    <row r="71" spans="1:44">
      <c r="A71" s="84"/>
      <c r="B71" s="84"/>
      <c r="C71" s="84"/>
      <c r="D71" s="84"/>
      <c r="E71" s="84"/>
      <c r="F71" s="84"/>
      <c r="G71" s="84"/>
      <c r="H71" s="84"/>
      <c r="I71" s="84"/>
      <c r="J71" s="84"/>
      <c r="K71" s="84"/>
      <c r="L71" s="84"/>
      <c r="M71" s="84"/>
      <c r="N71" s="84"/>
      <c r="O71" s="84"/>
      <c r="P71" s="84"/>
      <c r="Q71" s="84"/>
      <c r="R71" s="84"/>
      <c r="S71" s="84"/>
      <c r="T71" s="84"/>
      <c r="U71" s="84"/>
      <c r="V71" s="84"/>
      <c r="W71" s="84"/>
      <c r="X71" s="84"/>
      <c r="Y71" s="84"/>
      <c r="Z71" s="84"/>
      <c r="AA71" s="84"/>
      <c r="AB71" s="84"/>
      <c r="AC71" s="84"/>
      <c r="AD71" s="84"/>
      <c r="AE71" s="84"/>
      <c r="AF71" s="84"/>
      <c r="AG71" s="84"/>
      <c r="AH71" s="84"/>
      <c r="AI71" s="84"/>
      <c r="AJ71" s="84"/>
      <c r="AK71" s="84"/>
      <c r="AL71" s="84"/>
      <c r="AM71" s="84"/>
      <c r="AN71" s="84"/>
      <c r="AO71" s="84"/>
      <c r="AP71" s="84"/>
      <c r="AQ71" s="84"/>
      <c r="AR71" s="84"/>
    </row>
    <row r="72" spans="1:44">
      <c r="A72" s="84"/>
      <c r="B72" s="84"/>
      <c r="C72" s="84"/>
      <c r="D72" s="84"/>
      <c r="E72" s="84"/>
      <c r="F72" s="84"/>
      <c r="G72" s="84"/>
      <c r="H72" s="84"/>
      <c r="I72" s="84"/>
      <c r="J72" s="84"/>
      <c r="K72" s="84"/>
      <c r="L72" s="84"/>
      <c r="M72" s="84"/>
      <c r="N72" s="84"/>
      <c r="O72" s="84"/>
      <c r="P72" s="84"/>
      <c r="Q72" s="84"/>
      <c r="R72" s="84"/>
      <c r="S72" s="84"/>
      <c r="T72" s="84"/>
      <c r="U72" s="84"/>
      <c r="V72" s="84"/>
      <c r="W72" s="84"/>
      <c r="X72" s="84"/>
      <c r="Y72" s="84"/>
      <c r="Z72" s="84"/>
      <c r="AA72" s="84"/>
      <c r="AB72" s="84"/>
      <c r="AC72" s="84"/>
      <c r="AD72" s="84"/>
      <c r="AE72" s="84"/>
      <c r="AF72" s="84"/>
      <c r="AG72" s="84"/>
      <c r="AH72" s="84"/>
      <c r="AI72" s="84"/>
      <c r="AJ72" s="84"/>
      <c r="AK72" s="84"/>
      <c r="AL72" s="84"/>
      <c r="AM72" s="84"/>
      <c r="AN72" s="84"/>
      <c r="AO72" s="84"/>
      <c r="AP72" s="84"/>
      <c r="AQ72" s="84"/>
      <c r="AR72" s="84"/>
    </row>
    <row r="73" spans="1:44">
      <c r="A73" s="84"/>
      <c r="B73" s="84"/>
      <c r="C73" s="84"/>
      <c r="D73" s="84"/>
      <c r="E73" s="84"/>
      <c r="F73" s="84"/>
      <c r="G73" s="84"/>
      <c r="H73" s="84"/>
      <c r="I73" s="84"/>
      <c r="J73" s="84"/>
      <c r="K73" s="84"/>
      <c r="L73" s="84"/>
      <c r="M73" s="84"/>
      <c r="N73" s="84"/>
      <c r="O73" s="84"/>
      <c r="P73" s="84"/>
      <c r="Q73" s="84"/>
      <c r="R73" s="84"/>
      <c r="S73" s="84"/>
      <c r="T73" s="84"/>
      <c r="U73" s="84"/>
      <c r="V73" s="84"/>
      <c r="W73" s="84"/>
      <c r="X73" s="84"/>
      <c r="Y73" s="84"/>
      <c r="Z73" s="84"/>
      <c r="AA73" s="84"/>
      <c r="AB73" s="84"/>
      <c r="AC73" s="84"/>
      <c r="AD73" s="84"/>
      <c r="AE73" s="84"/>
      <c r="AF73" s="84"/>
      <c r="AG73" s="84"/>
      <c r="AH73" s="84"/>
      <c r="AI73" s="84"/>
      <c r="AJ73" s="84"/>
      <c r="AK73" s="84"/>
      <c r="AL73" s="84"/>
      <c r="AM73" s="84"/>
      <c r="AN73" s="84"/>
      <c r="AO73" s="84"/>
      <c r="AP73" s="84"/>
      <c r="AQ73" s="84"/>
      <c r="AR73" s="84"/>
    </row>
    <row r="74" spans="1:44">
      <c r="A74" s="84"/>
      <c r="B74" s="84"/>
      <c r="C74" s="84"/>
      <c r="D74" s="84"/>
      <c r="E74" s="84"/>
      <c r="F74" s="84"/>
      <c r="G74" s="84"/>
      <c r="H74" s="84"/>
      <c r="I74" s="84"/>
      <c r="J74" s="84"/>
      <c r="K74" s="84"/>
      <c r="L74" s="84"/>
      <c r="M74" s="84"/>
      <c r="N74" s="84"/>
      <c r="O74" s="84"/>
      <c r="P74" s="84"/>
      <c r="Q74" s="84"/>
      <c r="R74" s="84"/>
      <c r="S74" s="84"/>
      <c r="T74" s="84"/>
      <c r="U74" s="84"/>
      <c r="V74" s="84"/>
      <c r="W74" s="84"/>
      <c r="X74" s="84"/>
      <c r="Y74" s="84"/>
      <c r="Z74" s="84"/>
      <c r="AA74" s="84"/>
      <c r="AB74" s="84"/>
      <c r="AC74" s="84"/>
      <c r="AD74" s="84"/>
      <c r="AE74" s="84"/>
      <c r="AF74" s="84"/>
      <c r="AG74" s="84"/>
      <c r="AH74" s="84"/>
      <c r="AI74" s="84"/>
      <c r="AJ74" s="84"/>
      <c r="AK74" s="84"/>
      <c r="AL74" s="84"/>
      <c r="AM74" s="84"/>
      <c r="AN74" s="84"/>
      <c r="AO74" s="84"/>
      <c r="AP74" s="84"/>
      <c r="AQ74" s="84"/>
      <c r="AR74" s="84"/>
    </row>
    <row r="75" spans="1:44">
      <c r="A75" s="84"/>
      <c r="B75" s="84"/>
      <c r="C75" s="84"/>
      <c r="D75" s="84"/>
      <c r="E75" s="84"/>
      <c r="F75" s="84"/>
      <c r="G75" s="84"/>
      <c r="H75" s="84"/>
      <c r="I75" s="84"/>
      <c r="J75" s="84"/>
      <c r="K75" s="84"/>
      <c r="L75" s="84"/>
      <c r="M75" s="84"/>
      <c r="N75" s="84"/>
      <c r="O75" s="84"/>
      <c r="P75" s="84"/>
      <c r="Q75" s="84"/>
      <c r="R75" s="84"/>
      <c r="S75" s="84"/>
      <c r="T75" s="84"/>
      <c r="U75" s="84"/>
      <c r="V75" s="84"/>
      <c r="W75" s="84"/>
      <c r="X75" s="84"/>
      <c r="Y75" s="84"/>
      <c r="Z75" s="84"/>
      <c r="AA75" s="84"/>
      <c r="AB75" s="84"/>
      <c r="AC75" s="84"/>
      <c r="AD75" s="84"/>
      <c r="AE75" s="84"/>
      <c r="AF75" s="84"/>
      <c r="AG75" s="84"/>
      <c r="AH75" s="84"/>
      <c r="AI75" s="84"/>
      <c r="AJ75" s="84"/>
      <c r="AK75" s="84"/>
      <c r="AL75" s="84"/>
      <c r="AM75" s="84"/>
      <c r="AN75" s="84"/>
      <c r="AO75" s="84"/>
      <c r="AP75" s="84"/>
      <c r="AQ75" s="84"/>
      <c r="AR75" s="84"/>
    </row>
    <row r="76" spans="1:44">
      <c r="A76" s="84"/>
      <c r="B76" s="84"/>
      <c r="C76" s="84"/>
      <c r="D76" s="84"/>
      <c r="E76" s="84"/>
      <c r="F76" s="84"/>
      <c r="G76" s="84"/>
      <c r="H76" s="84"/>
      <c r="I76" s="84"/>
      <c r="J76" s="84"/>
      <c r="K76" s="84"/>
      <c r="L76" s="84"/>
      <c r="M76" s="84"/>
      <c r="N76" s="84"/>
      <c r="O76" s="84"/>
      <c r="P76" s="84"/>
      <c r="Q76" s="84"/>
      <c r="R76" s="84"/>
      <c r="S76" s="84"/>
      <c r="T76" s="84"/>
      <c r="U76" s="84"/>
      <c r="V76" s="84"/>
      <c r="W76" s="84"/>
      <c r="X76" s="84"/>
      <c r="Y76" s="84"/>
      <c r="Z76" s="84"/>
      <c r="AA76" s="84"/>
      <c r="AB76" s="84"/>
      <c r="AC76" s="84"/>
      <c r="AD76" s="84"/>
      <c r="AE76" s="84"/>
      <c r="AF76" s="84"/>
      <c r="AG76" s="84"/>
      <c r="AH76" s="84"/>
      <c r="AI76" s="84"/>
      <c r="AJ76" s="84"/>
      <c r="AK76" s="84"/>
      <c r="AL76" s="84"/>
      <c r="AM76" s="84"/>
      <c r="AN76" s="84"/>
      <c r="AO76" s="84"/>
      <c r="AP76" s="84"/>
      <c r="AQ76" s="84"/>
      <c r="AR76" s="84"/>
    </row>
    <row r="77" spans="1:44">
      <c r="A77" s="84"/>
      <c r="B77" s="84"/>
      <c r="C77" s="84"/>
      <c r="D77" s="84"/>
      <c r="E77" s="84"/>
      <c r="F77" s="84"/>
      <c r="G77" s="84"/>
      <c r="H77" s="84"/>
      <c r="I77" s="84"/>
      <c r="J77" s="84"/>
      <c r="K77" s="84"/>
      <c r="L77" s="84"/>
      <c r="M77" s="84"/>
      <c r="N77" s="84"/>
      <c r="O77" s="84"/>
      <c r="P77" s="84"/>
      <c r="Q77" s="84"/>
      <c r="R77" s="84"/>
      <c r="S77" s="84"/>
      <c r="T77" s="84"/>
      <c r="U77" s="84"/>
      <c r="V77" s="84"/>
      <c r="W77" s="84"/>
      <c r="X77" s="84"/>
      <c r="Y77" s="84"/>
      <c r="Z77" s="84"/>
      <c r="AA77" s="84"/>
      <c r="AB77" s="84"/>
      <c r="AC77" s="84"/>
      <c r="AD77" s="84"/>
      <c r="AE77" s="84"/>
      <c r="AF77" s="84"/>
      <c r="AG77" s="84"/>
      <c r="AH77" s="84"/>
      <c r="AI77" s="84"/>
      <c r="AJ77" s="84"/>
      <c r="AK77" s="84"/>
      <c r="AL77" s="84"/>
      <c r="AM77" s="84"/>
      <c r="AN77" s="84"/>
      <c r="AO77" s="84"/>
      <c r="AP77" s="84"/>
      <c r="AQ77" s="84"/>
      <c r="AR77" s="84"/>
    </row>
    <row r="78" spans="1:44">
      <c r="A78" s="84"/>
      <c r="B78" s="84"/>
      <c r="C78" s="84"/>
      <c r="D78" s="84"/>
      <c r="E78" s="84"/>
      <c r="F78" s="84"/>
      <c r="G78" s="84"/>
      <c r="H78" s="84"/>
      <c r="I78" s="84"/>
      <c r="J78" s="84"/>
      <c r="K78" s="84"/>
      <c r="L78" s="84"/>
      <c r="M78" s="84"/>
      <c r="N78" s="84"/>
      <c r="O78" s="84"/>
      <c r="P78" s="84"/>
      <c r="Q78" s="84"/>
      <c r="R78" s="84"/>
      <c r="S78" s="84"/>
      <c r="T78" s="84"/>
      <c r="U78" s="84"/>
      <c r="V78" s="84"/>
      <c r="W78" s="84"/>
      <c r="X78" s="84"/>
      <c r="Y78" s="84"/>
      <c r="Z78" s="84"/>
      <c r="AA78" s="84"/>
      <c r="AB78" s="84"/>
      <c r="AC78" s="84"/>
      <c r="AD78" s="84"/>
      <c r="AE78" s="84"/>
      <c r="AF78" s="84"/>
      <c r="AG78" s="84"/>
      <c r="AH78" s="84"/>
      <c r="AI78" s="84"/>
      <c r="AJ78" s="84"/>
      <c r="AK78" s="84"/>
      <c r="AL78" s="84"/>
      <c r="AM78" s="84"/>
      <c r="AN78" s="84"/>
      <c r="AO78" s="84"/>
      <c r="AP78" s="84"/>
      <c r="AQ78" s="84"/>
      <c r="AR78" s="84"/>
    </row>
    <row r="79" spans="1:44">
      <c r="A79" s="84"/>
      <c r="B79" s="84"/>
      <c r="C79" s="84"/>
      <c r="D79" s="84"/>
      <c r="E79" s="84"/>
      <c r="F79" s="84"/>
      <c r="G79" s="84"/>
      <c r="H79" s="84"/>
      <c r="I79" s="84"/>
      <c r="J79" s="84"/>
      <c r="K79" s="84"/>
      <c r="L79" s="84"/>
      <c r="M79" s="84"/>
      <c r="N79" s="84"/>
      <c r="O79" s="84"/>
      <c r="P79" s="84"/>
      <c r="Q79" s="84"/>
      <c r="R79" s="84"/>
      <c r="S79" s="84"/>
      <c r="T79" s="84"/>
      <c r="U79" s="84"/>
      <c r="V79" s="84"/>
      <c r="W79" s="84"/>
      <c r="X79" s="84"/>
      <c r="Y79" s="84"/>
      <c r="Z79" s="84"/>
      <c r="AA79" s="84"/>
      <c r="AB79" s="84"/>
      <c r="AC79" s="84"/>
      <c r="AD79" s="84"/>
      <c r="AE79" s="84"/>
      <c r="AF79" s="84"/>
      <c r="AG79" s="84"/>
      <c r="AH79" s="84"/>
      <c r="AI79" s="84"/>
      <c r="AJ79" s="84"/>
      <c r="AK79" s="84"/>
      <c r="AL79" s="84"/>
      <c r="AM79" s="84"/>
      <c r="AN79" s="84"/>
      <c r="AO79" s="84"/>
      <c r="AP79" s="84"/>
      <c r="AQ79" s="84"/>
      <c r="AR79" s="84"/>
    </row>
    <row r="80" spans="1:44">
      <c r="A80" s="84"/>
      <c r="B80" s="84"/>
      <c r="C80" s="84"/>
      <c r="D80" s="84"/>
      <c r="E80" s="84"/>
      <c r="F80" s="84"/>
      <c r="G80" s="84"/>
      <c r="H80" s="84"/>
      <c r="I80" s="84"/>
      <c r="J80" s="84"/>
      <c r="K80" s="84"/>
      <c r="L80" s="84"/>
      <c r="M80" s="84"/>
      <c r="N80" s="84"/>
      <c r="O80" s="84"/>
      <c r="P80" s="84"/>
      <c r="Q80" s="84"/>
      <c r="R80" s="84"/>
      <c r="S80" s="84"/>
      <c r="T80" s="84"/>
      <c r="U80" s="84"/>
      <c r="V80" s="84"/>
      <c r="W80" s="84"/>
      <c r="X80" s="84"/>
      <c r="Y80" s="84"/>
      <c r="Z80" s="84"/>
      <c r="AA80" s="84"/>
      <c r="AB80" s="84"/>
      <c r="AC80" s="84"/>
      <c r="AD80" s="84"/>
      <c r="AE80" s="84"/>
      <c r="AF80" s="84"/>
      <c r="AG80" s="84"/>
      <c r="AH80" s="84"/>
      <c r="AI80" s="84"/>
      <c r="AJ80" s="84"/>
      <c r="AK80" s="84"/>
      <c r="AL80" s="84"/>
      <c r="AM80" s="84"/>
      <c r="AN80" s="84"/>
      <c r="AO80" s="84"/>
      <c r="AP80" s="84"/>
      <c r="AQ80" s="84"/>
      <c r="AR80" s="84"/>
    </row>
    <row r="81" spans="1:44">
      <c r="A81" s="84"/>
      <c r="B81" s="84"/>
      <c r="C81" s="84"/>
      <c r="D81" s="84"/>
      <c r="E81" s="84"/>
      <c r="F81" s="84"/>
      <c r="G81" s="84"/>
      <c r="H81" s="84"/>
      <c r="I81" s="84"/>
      <c r="J81" s="84"/>
      <c r="K81" s="84"/>
      <c r="L81" s="84"/>
      <c r="M81" s="84"/>
      <c r="N81" s="84"/>
      <c r="O81" s="84"/>
      <c r="P81" s="84"/>
      <c r="Q81" s="84"/>
      <c r="R81" s="84"/>
      <c r="S81" s="84"/>
      <c r="T81" s="84"/>
      <c r="U81" s="84"/>
      <c r="V81" s="84"/>
      <c r="W81" s="84"/>
      <c r="X81" s="84"/>
      <c r="Y81" s="84"/>
      <c r="Z81" s="84"/>
      <c r="AA81" s="84"/>
      <c r="AB81" s="84"/>
      <c r="AC81" s="84"/>
      <c r="AD81" s="84"/>
      <c r="AE81" s="84"/>
      <c r="AF81" s="84"/>
      <c r="AG81" s="84"/>
      <c r="AH81" s="84"/>
      <c r="AI81" s="84"/>
      <c r="AJ81" s="84"/>
      <c r="AK81" s="84"/>
      <c r="AL81" s="84"/>
      <c r="AM81" s="84"/>
      <c r="AN81" s="84"/>
      <c r="AO81" s="84"/>
      <c r="AP81" s="84"/>
      <c r="AQ81" s="84"/>
      <c r="AR81" s="84"/>
    </row>
    <row r="82" spans="1:44">
      <c r="A82" s="84"/>
      <c r="B82" s="84"/>
      <c r="C82" s="84"/>
      <c r="D82" s="84"/>
      <c r="E82" s="84"/>
      <c r="F82" s="84"/>
      <c r="G82" s="84"/>
      <c r="H82" s="84"/>
      <c r="I82" s="84"/>
      <c r="J82" s="84"/>
      <c r="K82" s="84"/>
      <c r="L82" s="84"/>
      <c r="M82" s="84"/>
      <c r="N82" s="84"/>
      <c r="O82" s="84"/>
      <c r="P82" s="84"/>
      <c r="Q82" s="84"/>
      <c r="R82" s="84"/>
      <c r="S82" s="84"/>
      <c r="T82" s="84"/>
      <c r="U82" s="84"/>
      <c r="V82" s="84"/>
      <c r="W82" s="84"/>
      <c r="X82" s="84"/>
      <c r="Y82" s="84"/>
      <c r="Z82" s="84"/>
      <c r="AA82" s="84"/>
      <c r="AB82" s="84"/>
      <c r="AC82" s="84"/>
      <c r="AD82" s="84"/>
      <c r="AE82" s="84"/>
      <c r="AF82" s="84"/>
      <c r="AG82" s="84"/>
      <c r="AH82" s="84"/>
      <c r="AI82" s="84"/>
      <c r="AJ82" s="84"/>
      <c r="AK82" s="84"/>
      <c r="AL82" s="84"/>
      <c r="AM82" s="84"/>
      <c r="AN82" s="84"/>
      <c r="AO82" s="84"/>
      <c r="AP82" s="84"/>
      <c r="AQ82" s="84"/>
      <c r="AR82" s="84"/>
    </row>
    <row r="83" spans="1:44">
      <c r="A83" s="84"/>
      <c r="B83" s="84"/>
      <c r="C83" s="84"/>
      <c r="D83" s="84"/>
      <c r="E83" s="84"/>
      <c r="F83" s="84"/>
      <c r="G83" s="84"/>
      <c r="H83" s="84"/>
      <c r="I83" s="84"/>
      <c r="J83" s="84"/>
      <c r="K83" s="84"/>
      <c r="L83" s="84"/>
      <c r="M83" s="84"/>
      <c r="N83" s="84"/>
      <c r="O83" s="84"/>
      <c r="P83" s="84"/>
      <c r="Q83" s="84"/>
      <c r="R83" s="84"/>
      <c r="S83" s="84"/>
      <c r="T83" s="84"/>
      <c r="U83" s="84"/>
      <c r="V83" s="84"/>
      <c r="W83" s="84"/>
      <c r="X83" s="84"/>
      <c r="Y83" s="84"/>
      <c r="Z83" s="84"/>
      <c r="AA83" s="84"/>
      <c r="AB83" s="84"/>
      <c r="AC83" s="84"/>
      <c r="AD83" s="84"/>
      <c r="AE83" s="84"/>
      <c r="AF83" s="84"/>
      <c r="AG83" s="84"/>
      <c r="AH83" s="84"/>
      <c r="AI83" s="84"/>
      <c r="AJ83" s="84"/>
      <c r="AK83" s="84"/>
      <c r="AL83" s="84"/>
      <c r="AM83" s="84"/>
      <c r="AN83" s="84"/>
      <c r="AO83" s="84"/>
      <c r="AP83" s="84"/>
      <c r="AQ83" s="84"/>
      <c r="AR83" s="84"/>
    </row>
    <row r="84" spans="1:44">
      <c r="A84" s="84"/>
      <c r="B84" s="84"/>
      <c r="C84" s="84"/>
      <c r="D84" s="84"/>
      <c r="E84" s="84"/>
      <c r="F84" s="84"/>
      <c r="G84" s="84"/>
      <c r="H84" s="84"/>
      <c r="I84" s="84"/>
      <c r="J84" s="84"/>
      <c r="K84" s="84"/>
      <c r="L84" s="84"/>
      <c r="M84" s="84"/>
      <c r="N84" s="84"/>
      <c r="O84" s="84"/>
      <c r="P84" s="84"/>
      <c r="Q84" s="84"/>
      <c r="R84" s="84"/>
      <c r="S84" s="84"/>
      <c r="T84" s="84"/>
      <c r="U84" s="84"/>
      <c r="V84" s="84"/>
      <c r="W84" s="84"/>
      <c r="X84" s="84"/>
      <c r="Y84" s="84"/>
      <c r="Z84" s="84"/>
      <c r="AA84" s="84"/>
      <c r="AB84" s="84"/>
      <c r="AC84" s="84"/>
      <c r="AD84" s="84"/>
      <c r="AE84" s="84"/>
      <c r="AF84" s="84"/>
      <c r="AG84" s="84"/>
      <c r="AH84" s="84"/>
      <c r="AI84" s="84"/>
      <c r="AJ84" s="84"/>
      <c r="AK84" s="84"/>
      <c r="AL84" s="84"/>
      <c r="AM84" s="84"/>
      <c r="AN84" s="84"/>
      <c r="AO84" s="84"/>
      <c r="AP84" s="84"/>
      <c r="AQ84" s="84"/>
      <c r="AR84" s="84"/>
    </row>
    <row r="85" spans="1:44">
      <c r="A85" s="84"/>
      <c r="B85" s="84"/>
      <c r="C85" s="84"/>
      <c r="D85" s="84"/>
      <c r="E85" s="84"/>
      <c r="F85" s="84"/>
      <c r="G85" s="84"/>
      <c r="H85" s="84"/>
      <c r="I85" s="84"/>
      <c r="J85" s="84"/>
      <c r="K85" s="84"/>
      <c r="L85" s="84"/>
      <c r="M85" s="84"/>
      <c r="N85" s="84"/>
      <c r="O85" s="84"/>
      <c r="P85" s="84"/>
      <c r="Q85" s="84"/>
      <c r="R85" s="84"/>
      <c r="S85" s="84"/>
      <c r="T85" s="84"/>
      <c r="U85" s="84"/>
      <c r="V85" s="84"/>
      <c r="W85" s="84"/>
      <c r="X85" s="84"/>
      <c r="Y85" s="84"/>
      <c r="Z85" s="84"/>
      <c r="AA85" s="84"/>
      <c r="AB85" s="84"/>
      <c r="AC85" s="84"/>
      <c r="AD85" s="84"/>
      <c r="AE85" s="84"/>
      <c r="AF85" s="84"/>
      <c r="AG85" s="84"/>
      <c r="AH85" s="84"/>
      <c r="AI85" s="84"/>
      <c r="AJ85" s="84"/>
      <c r="AK85" s="84"/>
      <c r="AL85" s="84"/>
      <c r="AM85" s="84"/>
      <c r="AN85" s="84"/>
      <c r="AO85" s="84"/>
      <c r="AP85" s="84"/>
      <c r="AQ85" s="84"/>
      <c r="AR85" s="84"/>
    </row>
    <row r="86" spans="1:44">
      <c r="A86" s="84"/>
      <c r="B86" s="84"/>
      <c r="C86" s="84"/>
      <c r="D86" s="84"/>
      <c r="E86" s="84"/>
      <c r="F86" s="84"/>
      <c r="G86" s="84"/>
      <c r="H86" s="84"/>
      <c r="I86" s="84"/>
      <c r="J86" s="84"/>
      <c r="K86" s="84"/>
      <c r="L86" s="84"/>
      <c r="M86" s="84"/>
      <c r="N86" s="84"/>
      <c r="O86" s="84"/>
      <c r="P86" s="84"/>
      <c r="Q86" s="84"/>
      <c r="R86" s="84"/>
      <c r="S86" s="84"/>
      <c r="T86" s="84"/>
      <c r="U86" s="84"/>
      <c r="V86" s="84"/>
      <c r="W86" s="84"/>
      <c r="X86" s="84"/>
      <c r="Y86" s="84"/>
      <c r="Z86" s="84"/>
      <c r="AA86" s="84"/>
      <c r="AB86" s="84"/>
      <c r="AC86" s="84"/>
      <c r="AD86" s="84"/>
      <c r="AE86" s="84"/>
      <c r="AF86" s="84"/>
      <c r="AG86" s="84"/>
      <c r="AH86" s="84"/>
      <c r="AI86" s="84"/>
      <c r="AJ86" s="84"/>
      <c r="AK86" s="84"/>
      <c r="AL86" s="84"/>
      <c r="AM86" s="84"/>
      <c r="AN86" s="84"/>
      <c r="AO86" s="84"/>
      <c r="AP86" s="84"/>
      <c r="AQ86" s="84"/>
      <c r="AR86" s="84"/>
    </row>
    <row r="87" spans="1:44">
      <c r="A87" s="84"/>
      <c r="B87" s="84"/>
      <c r="C87" s="84"/>
      <c r="D87" s="84"/>
      <c r="E87" s="84"/>
      <c r="F87" s="84"/>
      <c r="G87" s="84"/>
      <c r="H87" s="84"/>
      <c r="I87" s="84"/>
      <c r="J87" s="84"/>
      <c r="K87" s="84"/>
      <c r="L87" s="84"/>
      <c r="M87" s="84"/>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c r="AM87" s="84"/>
      <c r="AN87" s="84"/>
      <c r="AO87" s="84"/>
      <c r="AP87" s="84"/>
      <c r="AQ87" s="84"/>
      <c r="AR87" s="84"/>
    </row>
    <row r="88" spans="1:44">
      <c r="A88" s="84"/>
      <c r="B88" s="84"/>
      <c r="C88" s="84"/>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c r="AK88" s="84"/>
      <c r="AL88" s="84"/>
      <c r="AM88" s="84"/>
      <c r="AN88" s="84"/>
      <c r="AO88" s="84"/>
      <c r="AP88" s="84"/>
      <c r="AQ88" s="84"/>
      <c r="AR88" s="84"/>
    </row>
    <row r="89" spans="1:44">
      <c r="A89" s="84"/>
      <c r="B89" s="84"/>
      <c r="C89" s="84"/>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4"/>
      <c r="AM89" s="84"/>
      <c r="AN89" s="84"/>
      <c r="AO89" s="84"/>
      <c r="AP89" s="84"/>
      <c r="AQ89" s="84"/>
      <c r="AR89" s="84"/>
    </row>
    <row r="90" spans="1:44">
      <c r="A90" s="84"/>
      <c r="B90" s="84"/>
      <c r="C90" s="84"/>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row>
    <row r="91" spans="1:44">
      <c r="A91" s="84"/>
      <c r="B91" s="84"/>
      <c r="C91" s="84"/>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row>
    <row r="92" spans="1:44">
      <c r="A92" s="84"/>
      <c r="B92" s="84"/>
      <c r="C92" s="84"/>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row>
    <row r="93" spans="1:44">
      <c r="A93" s="84"/>
      <c r="B93" s="84"/>
      <c r="C93" s="84"/>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row>
    <row r="94" spans="1:44">
      <c r="A94" s="84"/>
      <c r="B94" s="84"/>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row>
    <row r="95" spans="1:44">
      <c r="A95" s="84"/>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c r="AM95" s="84"/>
      <c r="AN95" s="84"/>
      <c r="AO95" s="84"/>
      <c r="AP95" s="84"/>
      <c r="AQ95" s="84"/>
      <c r="AR95" s="84"/>
    </row>
    <row r="96" spans="1:44">
      <c r="A96" s="84"/>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row>
    <row r="97" spans="1:44">
      <c r="A97" s="84"/>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row>
    <row r="98" spans="1:44">
      <c r="A98" s="84"/>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row>
    <row r="99" spans="1:44">
      <c r="A99" s="84"/>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row>
    <row r="100" spans="1:44">
      <c r="A100" s="84"/>
      <c r="B100" s="84"/>
      <c r="C100" s="84"/>
      <c r="D100" s="84"/>
      <c r="E100" s="84"/>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row>
    <row r="101" spans="1:44">
      <c r="A101" s="84"/>
      <c r="B101" s="84"/>
      <c r="C101" s="84"/>
      <c r="D101" s="84"/>
      <c r="E101" s="84"/>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row>
    <row r="102" spans="1:44">
      <c r="A102" s="84"/>
      <c r="B102" s="84"/>
      <c r="C102" s="84"/>
      <c r="D102" s="84"/>
      <c r="E102" s="84"/>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row>
  </sheetData>
  <mergeCells count="14">
    <mergeCell ref="A25:B25"/>
    <mergeCell ref="C25:D25"/>
    <mergeCell ref="C26:D26"/>
    <mergeCell ref="C27:D27"/>
    <mergeCell ref="C28:D28"/>
    <mergeCell ref="C30:D30"/>
    <mergeCell ref="C31:D31"/>
    <mergeCell ref="A26:B26"/>
    <mergeCell ref="A27:B27"/>
    <mergeCell ref="A28:B28"/>
    <mergeCell ref="A29:B29"/>
    <mergeCell ref="A30:B30"/>
    <mergeCell ref="A31:B31"/>
    <mergeCell ref="C29:D29"/>
  </mergeCells>
  <conditionalFormatting sqref="C26">
    <cfRule type="containsText" dxfId="28" priority="26" operator="containsText" text="Block">
      <formula>NOT(ISERROR(SEARCH("Block",C26)))</formula>
    </cfRule>
  </conditionalFormatting>
  <conditionalFormatting sqref="C26:D26">
    <cfRule type="containsText" dxfId="27" priority="12" operator="containsText" text="0">
      <formula>NOT(ISERROR(SEARCH("0",C26)))</formula>
    </cfRule>
    <cfRule type="containsText" dxfId="26" priority="24" operator="containsText" text="Update">
      <formula>NOT(ISERROR(SEARCH("Update",C26)))</formula>
    </cfRule>
    <cfRule type="containsText" dxfId="25" priority="25" operator="containsText" text="Add">
      <formula>NOT(ISERROR(SEARCH("Add",C26)))</formula>
    </cfRule>
  </conditionalFormatting>
  <conditionalFormatting sqref="C28:D28">
    <cfRule type="containsText" dxfId="24" priority="10" operator="containsText" text="0">
      <formula>NOT(ISERROR(SEARCH("0",C28)))</formula>
    </cfRule>
    <cfRule type="containsText" dxfId="23" priority="21" operator="containsText" text="Update">
      <formula>NOT(ISERROR(SEARCH("Update",C28)))</formula>
    </cfRule>
    <cfRule type="containsText" dxfId="22" priority="22" operator="containsText" text="Block">
      <formula>NOT(ISERROR(SEARCH("Block",C28)))</formula>
    </cfRule>
    <cfRule type="containsText" dxfId="21" priority="23" operator="containsText" text="Add">
      <formula>NOT(ISERROR(SEARCH("Add",C28)))</formula>
    </cfRule>
  </conditionalFormatting>
  <conditionalFormatting sqref="C27:D27">
    <cfRule type="containsText" dxfId="20" priority="11" operator="containsText" text="0">
      <formula>NOT(ISERROR(SEARCH("0",C27)))</formula>
    </cfRule>
    <cfRule type="containsText" dxfId="19" priority="16" operator="containsText" text="Extend">
      <formula>NOT(ISERROR(SEARCH("Extend",C27)))</formula>
    </cfRule>
    <cfRule type="containsText" dxfId="18" priority="17" operator="containsText" text="Block - Chart of Accounts">
      <formula>NOT(ISERROR(SEARCH("Block - Chart of Accounts",C27)))</formula>
    </cfRule>
    <cfRule type="containsText" dxfId="17" priority="18" operator="containsText" text="Block - Company Code">
      <formula>NOT(ISERROR(SEARCH("Block - Company Code",C27)))</formula>
    </cfRule>
    <cfRule type="containsText" dxfId="16" priority="19" operator="containsText" text="Update">
      <formula>NOT(ISERROR(SEARCH("Update",C27)))</formula>
    </cfRule>
    <cfRule type="containsText" dxfId="15" priority="20" operator="containsText" text="Add">
      <formula>NOT(ISERROR(SEARCH("Add",C27)))</formula>
    </cfRule>
  </conditionalFormatting>
  <conditionalFormatting sqref="C29:D29">
    <cfRule type="containsText" dxfId="14" priority="9" operator="containsText" text="0">
      <formula>NOT(ISERROR(SEARCH("0",C29)))</formula>
    </cfRule>
    <cfRule type="containsText" dxfId="13" priority="13" operator="containsText" text="Update">
      <formula>NOT(ISERROR(SEARCH("Update",C29)))</formula>
    </cfRule>
    <cfRule type="containsText" dxfId="12" priority="14" operator="containsText" text="Block">
      <formula>NOT(ISERROR(SEARCH("Block",C29)))</formula>
    </cfRule>
    <cfRule type="containsText" dxfId="11" priority="15" operator="containsText" text="Add">
      <formula>NOT(ISERROR(SEARCH("Add",C29)))</formula>
    </cfRule>
  </conditionalFormatting>
  <conditionalFormatting sqref="C30:D30">
    <cfRule type="containsText" dxfId="10" priority="6" operator="containsText" text="0">
      <formula>NOT(ISERROR(SEARCH("0",C30)))</formula>
    </cfRule>
    <cfRule type="containsText" dxfId="9" priority="7" operator="containsText" text="Update Existing Activity">
      <formula>NOT(ISERROR(SEARCH("Update Existing Activity",C30)))</formula>
    </cfRule>
    <cfRule type="containsText" dxfId="8" priority="8" operator="containsText" text="Add new Activity Rates">
      <formula>NOT(ISERROR(SEARCH("Add new Activity Rates",C30)))</formula>
    </cfRule>
  </conditionalFormatting>
  <conditionalFormatting sqref="C31:D31">
    <cfRule type="containsText" dxfId="7" priority="1" operator="containsText" text="0">
      <formula>NOT(ISERROR(SEARCH("0",C31)))</formula>
    </cfRule>
    <cfRule type="containsText" dxfId="6" priority="2" operator="containsText" text="Cost Elements">
      <formula>NOT(ISERROR(SEARCH("Cost Elements",C31)))</formula>
    </cfRule>
    <cfRule type="containsText" dxfId="5" priority="3" operator="containsText" text="GL Accounts">
      <formula>NOT(ISERROR(SEARCH("GL Accounts",C31)))</formula>
    </cfRule>
    <cfRule type="containsText" dxfId="4" priority="4" operator="containsText" text="Profit Center">
      <formula>NOT(ISERROR(SEARCH("Profit Center",C31)))</formula>
    </cfRule>
    <cfRule type="containsText" dxfId="3" priority="5" operator="containsText" text="Cost Center">
      <formula>NOT(ISERROR(SEARCH("Cost Center",C31)))</formula>
    </cfRule>
  </conditionalFormatting>
  <hyperlinks>
    <hyperlink ref="C14" r:id="rId1" display="http://livelink/ecmlivelinkprd/llisapi.dll?func=ll&amp;objId=725901874&amp;objAction=Open&amp;nexturl=%2Fecmlivelinkprd%2Fllisapi%2Edll%3Ffunc%3Dll%26objid%3D725887816%26objAction%3Dbrowse%26sort%3Dname" xr:uid="{00000000-0004-0000-0000-000000000000}"/>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99"/>
  </sheetPr>
  <dimension ref="A1:MP1003"/>
  <sheetViews>
    <sheetView zoomScale="80" zoomScaleNormal="80" workbookViewId="0">
      <selection activeCell="F23" sqref="F23"/>
    </sheetView>
  </sheetViews>
  <sheetFormatPr defaultRowHeight="14.45"/>
  <cols>
    <col min="1" max="1" width="16.42578125" customWidth="1"/>
    <col min="2" max="2" width="15.5703125" customWidth="1"/>
    <col min="3" max="3" width="17.85546875" customWidth="1"/>
    <col min="4" max="4" width="19.42578125" customWidth="1"/>
    <col min="5" max="5" width="23" customWidth="1"/>
    <col min="6" max="6" width="26.5703125" bestFit="1" customWidth="1"/>
    <col min="7" max="7" width="28" customWidth="1"/>
    <col min="8" max="8" width="26" customWidth="1"/>
    <col min="9" max="9" width="19.140625" customWidth="1"/>
    <col min="10" max="10" width="20" customWidth="1"/>
    <col min="11" max="11" width="17.140625" customWidth="1"/>
    <col min="12" max="12" width="16.42578125" customWidth="1"/>
    <col min="13" max="13" width="12" customWidth="1"/>
    <col min="14" max="14" width="14.42578125" customWidth="1"/>
    <col min="15" max="15" width="13.42578125" customWidth="1"/>
    <col min="16" max="16" width="21.42578125" customWidth="1"/>
    <col min="17" max="17" width="22.140625" customWidth="1"/>
    <col min="18" max="18" width="22.5703125" customWidth="1"/>
    <col min="19" max="19" width="14.5703125" customWidth="1"/>
    <col min="20" max="21" width="19.5703125" customWidth="1"/>
    <col min="22" max="22" width="13.5703125" customWidth="1"/>
    <col min="23" max="23" width="12.5703125" customWidth="1"/>
    <col min="25" max="26" width="13.42578125" customWidth="1"/>
    <col min="27" max="27" width="16.5703125" customWidth="1"/>
    <col min="28" max="28" width="17.5703125" customWidth="1"/>
    <col min="30" max="30" width="17.85546875" customWidth="1"/>
    <col min="31" max="31" width="23.42578125" customWidth="1"/>
    <col min="32" max="32" width="25.42578125" customWidth="1"/>
    <col min="33" max="33" width="24" customWidth="1"/>
    <col min="34" max="34" width="17.42578125" customWidth="1"/>
    <col min="35" max="35" width="19.42578125" customWidth="1"/>
    <col min="36" max="36" width="23.5703125" customWidth="1"/>
    <col min="37" max="37" width="25.85546875" customWidth="1"/>
    <col min="38" max="38" width="19" customWidth="1"/>
    <col min="39" max="39" width="17.5703125" customWidth="1"/>
    <col min="40" max="40" width="16.140625" customWidth="1"/>
    <col min="41" max="41" width="16.5703125" customWidth="1"/>
    <col min="42" max="42" width="19" customWidth="1"/>
    <col min="43" max="44" width="14.42578125" customWidth="1"/>
    <col min="45" max="45" width="17.5703125" customWidth="1"/>
    <col min="46" max="46" width="14.42578125" customWidth="1"/>
    <col min="47" max="47" width="15.85546875" customWidth="1"/>
    <col min="48" max="48" width="18.42578125" customWidth="1"/>
    <col min="49" max="49" width="16.5703125" customWidth="1"/>
    <col min="50" max="50" width="15.85546875" customWidth="1"/>
  </cols>
  <sheetData>
    <row r="1" spans="1:354" ht="62.1" customHeight="1" thickBot="1">
      <c r="A1" s="613" t="s">
        <v>4</v>
      </c>
      <c r="B1" s="614"/>
      <c r="C1" s="614"/>
      <c r="D1" s="614"/>
      <c r="E1" s="614"/>
      <c r="F1" s="614"/>
      <c r="G1" s="614"/>
      <c r="H1" s="614"/>
      <c r="I1" s="614"/>
      <c r="J1" s="614"/>
      <c r="K1" s="573"/>
      <c r="L1" s="574"/>
      <c r="M1" s="363">
        <f ca="1">TODAY()</f>
        <v>46008</v>
      </c>
      <c r="N1" s="575"/>
      <c r="O1" s="573"/>
      <c r="P1" s="576"/>
      <c r="Q1" s="577"/>
      <c r="R1" s="575"/>
      <c r="S1" s="575"/>
      <c r="T1" s="573"/>
      <c r="U1" s="576"/>
      <c r="V1" s="577"/>
      <c r="W1" s="575"/>
      <c r="X1" s="575"/>
      <c r="Y1" s="573"/>
      <c r="Z1" s="575"/>
      <c r="AA1" s="573"/>
      <c r="AB1" s="577"/>
      <c r="AC1" s="577"/>
      <c r="AD1" s="575"/>
      <c r="AE1" s="577"/>
      <c r="AF1" s="577"/>
      <c r="AG1" s="573"/>
      <c r="AH1" s="350"/>
      <c r="AI1" s="573"/>
      <c r="AJ1" s="573"/>
      <c r="AK1" s="350"/>
      <c r="AL1" s="28"/>
      <c r="AM1" s="28"/>
      <c r="AN1" s="28"/>
      <c r="AO1" s="28"/>
      <c r="AP1" s="578"/>
      <c r="AQ1" s="28"/>
      <c r="AR1" s="579"/>
      <c r="AS1" s="75"/>
      <c r="AT1" s="28"/>
      <c r="AU1" s="28"/>
      <c r="AV1" s="28"/>
      <c r="AW1" s="28"/>
      <c r="AX1" s="578"/>
      <c r="AY1" s="28"/>
      <c r="AZ1" s="28"/>
      <c r="BA1" s="578"/>
      <c r="BB1" s="28"/>
      <c r="BC1" s="28"/>
      <c r="BD1" s="578"/>
      <c r="BE1" s="580"/>
    </row>
    <row r="2" spans="1:354" ht="23.1" customHeight="1" thickBot="1">
      <c r="A2" s="102">
        <v>6</v>
      </c>
      <c r="B2" s="37"/>
      <c r="C2" s="312" t="s">
        <v>10</v>
      </c>
      <c r="D2" s="308" t="s">
        <v>11</v>
      </c>
      <c r="E2" s="311" t="s">
        <v>12</v>
      </c>
      <c r="F2" s="311" t="s">
        <v>3</v>
      </c>
      <c r="G2" s="615" t="s">
        <v>13</v>
      </c>
      <c r="H2" s="616"/>
      <c r="I2" s="38"/>
      <c r="J2" s="24"/>
      <c r="K2" s="28"/>
      <c r="L2" s="44"/>
      <c r="M2" s="28"/>
      <c r="N2" s="28"/>
      <c r="O2" s="28"/>
      <c r="P2" s="581"/>
      <c r="Q2" s="44"/>
      <c r="R2" s="28"/>
      <c r="S2" s="28"/>
      <c r="T2" s="28"/>
      <c r="U2" s="581"/>
      <c r="V2" s="44"/>
      <c r="W2" s="28"/>
      <c r="X2" s="28"/>
      <c r="Y2" s="28"/>
      <c r="Z2" s="28"/>
      <c r="AA2" s="77"/>
      <c r="AB2" s="28"/>
      <c r="AC2" s="28"/>
      <c r="AD2" s="90"/>
      <c r="AE2" s="28"/>
      <c r="AF2" s="28"/>
      <c r="AG2" s="72"/>
      <c r="AH2" s="31"/>
      <c r="AI2" s="28"/>
      <c r="AJ2" s="28"/>
      <c r="AK2" s="28"/>
      <c r="AL2" s="90"/>
      <c r="AM2" s="28"/>
      <c r="AN2" s="63"/>
      <c r="AO2" s="44"/>
      <c r="AP2" s="28"/>
      <c r="AQ2" s="578"/>
      <c r="AR2" s="28"/>
      <c r="AS2" s="28"/>
      <c r="AT2" s="31"/>
      <c r="AU2" s="28"/>
      <c r="AV2" s="28"/>
      <c r="AW2" s="28"/>
      <c r="AX2" s="28"/>
      <c r="AY2" s="582"/>
      <c r="AZ2" s="28"/>
      <c r="BA2" s="582"/>
      <c r="BB2" s="29"/>
      <c r="BC2" s="28"/>
      <c r="BD2" s="574"/>
      <c r="BE2" s="7"/>
    </row>
    <row r="3" spans="1:354" ht="26.1" customHeight="1" thickBot="1">
      <c r="A3" s="30"/>
      <c r="B3" s="37"/>
      <c r="C3" s="52"/>
      <c r="D3" s="362">
        <f ca="1">TODAY()</f>
        <v>46008</v>
      </c>
      <c r="E3" s="52"/>
      <c r="F3" s="60"/>
      <c r="G3" s="617"/>
      <c r="H3" s="618"/>
      <c r="I3" s="39"/>
      <c r="J3" s="24"/>
      <c r="K3" s="88"/>
      <c r="L3" s="44"/>
      <c r="M3" s="44"/>
      <c r="N3" s="583"/>
      <c r="O3" s="44"/>
      <c r="P3" s="583"/>
      <c r="Q3" s="63"/>
      <c r="R3" s="63"/>
      <c r="S3" s="63"/>
      <c r="T3" s="63"/>
      <c r="U3" s="583"/>
      <c r="V3" s="63"/>
      <c r="W3" s="63"/>
      <c r="X3" s="63"/>
      <c r="Y3" s="63"/>
      <c r="Z3" s="63"/>
      <c r="AA3" s="63"/>
      <c r="AB3" s="44"/>
      <c r="AC3" s="31"/>
      <c r="AD3" s="31"/>
      <c r="AE3" s="28"/>
      <c r="AF3" s="31"/>
      <c r="AG3" s="79"/>
      <c r="AH3" s="31"/>
      <c r="AI3" s="28"/>
      <c r="AJ3" s="28"/>
      <c r="AK3" s="28"/>
      <c r="AL3" s="31"/>
      <c r="AM3" s="28"/>
      <c r="AN3" s="28"/>
      <c r="AO3" s="28"/>
      <c r="AP3" s="28"/>
      <c r="AQ3" s="73"/>
      <c r="AR3" s="28"/>
      <c r="AS3" s="28"/>
      <c r="AT3" s="28"/>
      <c r="AU3" s="28"/>
      <c r="AV3" s="28"/>
      <c r="AW3" s="28"/>
      <c r="AX3" s="75"/>
      <c r="AY3" s="29"/>
      <c r="AZ3" s="28"/>
      <c r="BA3" s="573"/>
      <c r="BB3" s="71"/>
      <c r="BC3" s="28"/>
      <c r="BD3" s="574"/>
      <c r="BE3" s="584"/>
    </row>
    <row r="4" spans="1:354" ht="26.1" hidden="1" customHeight="1" thickBot="1">
      <c r="A4" s="42"/>
      <c r="B4" s="43"/>
      <c r="C4" s="43"/>
      <c r="D4" s="49"/>
      <c r="E4" s="36"/>
      <c r="F4" s="43"/>
      <c r="G4" s="45"/>
      <c r="H4" s="46"/>
      <c r="I4" s="51"/>
      <c r="J4" s="28"/>
      <c r="K4" s="31"/>
      <c r="L4" s="28"/>
      <c r="M4" s="31"/>
      <c r="N4" s="574"/>
      <c r="O4" s="44"/>
      <c r="P4" s="574"/>
      <c r="Q4" s="28"/>
      <c r="R4" s="31"/>
      <c r="S4" s="31"/>
      <c r="T4" s="31"/>
      <c r="U4" s="574"/>
      <c r="V4" s="28"/>
      <c r="W4" s="31"/>
      <c r="X4" s="28"/>
      <c r="Y4" s="31"/>
      <c r="Z4" s="31"/>
      <c r="AA4" s="31"/>
      <c r="AB4" s="31"/>
      <c r="AC4" s="31"/>
      <c r="AD4" s="28"/>
      <c r="AE4" s="28"/>
      <c r="AF4" s="28"/>
      <c r="AG4" s="28"/>
      <c r="AH4" s="28"/>
      <c r="AI4" s="28"/>
      <c r="AJ4" s="28"/>
      <c r="AK4" s="28"/>
      <c r="AL4" s="75"/>
      <c r="AM4" s="75"/>
      <c r="AN4" s="78"/>
      <c r="AO4" s="31"/>
      <c r="AP4" s="28"/>
      <c r="AQ4" s="63"/>
      <c r="AR4" s="75"/>
      <c r="AS4" s="88"/>
      <c r="AT4" s="28"/>
      <c r="AU4" s="28"/>
      <c r="AV4" s="79"/>
      <c r="AW4" s="79"/>
      <c r="AX4" s="79"/>
      <c r="AY4" s="585"/>
      <c r="AZ4" s="80"/>
      <c r="BA4" s="79"/>
      <c r="BB4" s="586"/>
      <c r="BC4" s="79"/>
      <c r="BD4" s="587"/>
      <c r="BE4" s="17"/>
    </row>
    <row r="5" spans="1:354" ht="15" hidden="1" thickBot="1">
      <c r="A5" s="47"/>
      <c r="B5" s="48"/>
      <c r="C5" s="625" t="s">
        <v>3</v>
      </c>
      <c r="D5" s="626"/>
      <c r="E5" s="307" t="s">
        <v>14</v>
      </c>
      <c r="F5" s="619" t="s">
        <v>15</v>
      </c>
      <c r="G5" s="620"/>
      <c r="H5" s="621"/>
      <c r="I5" s="58"/>
      <c r="J5" s="50"/>
      <c r="K5" s="28"/>
      <c r="L5" s="28"/>
      <c r="M5" s="31"/>
      <c r="N5" s="90"/>
      <c r="O5" s="63"/>
      <c r="P5" s="588"/>
      <c r="Q5" s="28"/>
      <c r="R5" s="31"/>
      <c r="S5" s="90"/>
      <c r="T5" s="63"/>
      <c r="U5" s="588"/>
      <c r="V5" s="28"/>
      <c r="W5" s="31"/>
      <c r="X5" s="90"/>
      <c r="Y5" s="63"/>
      <c r="Z5" s="28"/>
      <c r="AA5" s="31"/>
      <c r="AB5" s="28"/>
      <c r="AC5" s="88"/>
      <c r="AD5" s="31"/>
      <c r="AE5" s="28"/>
      <c r="AF5" s="28"/>
      <c r="AG5" s="88"/>
      <c r="AH5" s="28"/>
      <c r="AI5" s="31"/>
      <c r="AJ5" s="28"/>
      <c r="AK5" s="88"/>
      <c r="AL5" s="28"/>
      <c r="AM5" s="63"/>
      <c r="AN5" s="28"/>
      <c r="AO5" s="31"/>
      <c r="AP5" s="28"/>
      <c r="AQ5" s="28"/>
      <c r="AR5" s="589"/>
      <c r="AS5" s="579"/>
      <c r="AT5" s="31"/>
      <c r="AU5" s="28"/>
      <c r="AV5" s="28"/>
      <c r="AW5" s="75"/>
      <c r="AX5" s="29"/>
      <c r="AY5" s="28"/>
      <c r="AZ5" s="582"/>
      <c r="BA5" s="28"/>
      <c r="BB5" s="28"/>
      <c r="BC5" s="75"/>
      <c r="BD5" s="574"/>
      <c r="BE5" s="7"/>
    </row>
    <row r="6" spans="1:354" ht="17.45" hidden="1" customHeight="1" thickBot="1">
      <c r="A6" s="47"/>
      <c r="B6" s="85"/>
      <c r="C6" s="607">
        <f>F3</f>
        <v>0</v>
      </c>
      <c r="D6" s="608"/>
      <c r="E6" s="96">
        <v>1060</v>
      </c>
      <c r="F6" s="622" t="str">
        <f>VLOOKUP(E6,'Company Code'!A2:C103,2,FALSE)</f>
        <v>Suncor Energy Products Partnership</v>
      </c>
      <c r="G6" s="623"/>
      <c r="H6" s="624"/>
      <c r="I6" s="58"/>
      <c r="J6" s="86"/>
      <c r="K6" s="578"/>
      <c r="L6" s="31"/>
      <c r="M6" s="28"/>
      <c r="N6" s="28"/>
      <c r="O6" s="31"/>
      <c r="P6" s="574"/>
      <c r="Q6" s="31"/>
      <c r="R6" s="28"/>
      <c r="S6" s="28"/>
      <c r="T6" s="31"/>
      <c r="U6" s="574"/>
      <c r="V6" s="31"/>
      <c r="W6" s="28"/>
      <c r="X6" s="28"/>
      <c r="Y6" s="31"/>
      <c r="Z6" s="28"/>
      <c r="AA6" s="31"/>
      <c r="AB6" s="31"/>
      <c r="AC6" s="28"/>
      <c r="AD6" s="28"/>
      <c r="AE6" s="78"/>
      <c r="AF6" s="31"/>
      <c r="AG6" s="28"/>
      <c r="AH6" s="79"/>
      <c r="AI6" s="88"/>
      <c r="AJ6" s="28"/>
      <c r="AK6" s="73"/>
      <c r="AL6" s="31"/>
      <c r="AM6" s="28"/>
      <c r="AN6" s="28"/>
      <c r="AO6" s="88"/>
      <c r="AP6" s="28"/>
      <c r="AQ6" s="31"/>
      <c r="AR6" s="28"/>
      <c r="AS6" s="28"/>
      <c r="AT6" s="28"/>
      <c r="AU6" s="28"/>
      <c r="AV6" s="28"/>
      <c r="AW6" s="28"/>
      <c r="AX6" s="582"/>
      <c r="AY6" s="75"/>
      <c r="AZ6" s="29"/>
      <c r="BA6" s="28"/>
      <c r="BB6" s="588"/>
      <c r="BC6" s="28"/>
      <c r="BD6" s="588"/>
      <c r="BE6" s="7"/>
    </row>
    <row r="7" spans="1:354" hidden="1">
      <c r="A7" s="41"/>
      <c r="B7" s="89"/>
      <c r="C7" s="35"/>
      <c r="D7" s="35"/>
      <c r="E7" s="57"/>
      <c r="F7" s="57"/>
      <c r="G7" s="40"/>
      <c r="H7" s="25"/>
      <c r="I7" s="24"/>
      <c r="J7" s="31"/>
      <c r="K7" s="28"/>
      <c r="L7" s="578"/>
      <c r="M7" s="31"/>
      <c r="N7" s="44"/>
      <c r="O7" s="28"/>
      <c r="P7" s="574"/>
      <c r="Q7" s="574"/>
      <c r="R7" s="31"/>
      <c r="S7" s="44"/>
      <c r="T7" s="28"/>
      <c r="U7" s="574"/>
      <c r="V7" s="28"/>
      <c r="W7" s="31"/>
      <c r="X7" s="44"/>
      <c r="Y7" s="28"/>
      <c r="Z7" s="28"/>
      <c r="AA7" s="28"/>
      <c r="AB7" s="31"/>
      <c r="AC7" s="28"/>
      <c r="AD7" s="578"/>
      <c r="AE7" s="31"/>
      <c r="AF7" s="31"/>
      <c r="AG7" s="31"/>
      <c r="AH7" s="31"/>
      <c r="AI7" s="28"/>
      <c r="AJ7" s="28"/>
      <c r="AK7" s="578"/>
      <c r="AL7" s="31"/>
      <c r="AM7" s="28"/>
      <c r="AN7" s="28"/>
      <c r="AO7" s="73"/>
      <c r="AP7" s="28"/>
      <c r="AQ7" s="28"/>
      <c r="AR7" s="28"/>
      <c r="AS7" s="28"/>
      <c r="AT7" s="75"/>
      <c r="AU7" s="75"/>
      <c r="AV7" s="28"/>
      <c r="AW7" s="589"/>
      <c r="AX7" s="590"/>
      <c r="AY7" s="63"/>
      <c r="AZ7" s="591"/>
      <c r="BA7" s="579"/>
      <c r="BB7" s="63"/>
      <c r="BC7" s="589"/>
      <c r="BD7" s="588"/>
      <c r="BE7" s="7"/>
    </row>
    <row r="8" spans="1:354" ht="14.1" hidden="1" customHeight="1">
      <c r="A8" s="102"/>
      <c r="B8" s="90"/>
      <c r="C8" s="28"/>
      <c r="D8" s="28"/>
      <c r="E8" s="32"/>
      <c r="F8" s="33"/>
      <c r="G8" s="33"/>
      <c r="H8" s="24"/>
      <c r="I8" s="26"/>
      <c r="J8" s="31"/>
      <c r="K8" s="31"/>
      <c r="L8" s="31"/>
      <c r="M8" s="32"/>
      <c r="N8" s="31"/>
      <c r="O8" s="44"/>
      <c r="P8" s="574"/>
      <c r="Q8" s="574"/>
      <c r="R8" s="31"/>
      <c r="S8" s="31"/>
      <c r="T8" s="44"/>
      <c r="U8" s="31"/>
      <c r="V8" s="28"/>
      <c r="W8" s="31"/>
      <c r="X8" s="31"/>
      <c r="Y8" s="44"/>
      <c r="Z8" s="28"/>
      <c r="AA8" s="28"/>
      <c r="AB8" s="88"/>
      <c r="AC8" s="44"/>
      <c r="AD8" s="31"/>
      <c r="AE8" s="28"/>
      <c r="AF8" s="31"/>
      <c r="AG8" s="31"/>
      <c r="AH8" s="28"/>
      <c r="AI8" s="31"/>
      <c r="AJ8" s="31"/>
      <c r="AK8" s="44"/>
      <c r="AL8" s="28"/>
      <c r="AM8" s="589"/>
      <c r="AN8" s="28"/>
      <c r="AO8" s="72"/>
      <c r="AP8" s="28"/>
      <c r="AQ8" s="28"/>
      <c r="AR8" s="44"/>
      <c r="AS8" s="28"/>
      <c r="AT8" s="28"/>
      <c r="AU8" s="28"/>
      <c r="AV8" s="28"/>
      <c r="AW8" s="28"/>
      <c r="AX8" s="591"/>
      <c r="AY8" s="579"/>
      <c r="AZ8" s="29"/>
      <c r="BA8" s="28"/>
      <c r="BB8" s="75"/>
      <c r="BC8" s="28"/>
      <c r="BD8" s="574"/>
      <c r="BE8" s="7"/>
    </row>
    <row r="9" spans="1:354" ht="12" hidden="1" customHeight="1">
      <c r="A9" s="29"/>
      <c r="B9" s="31"/>
      <c r="C9" s="31"/>
      <c r="D9" s="31"/>
      <c r="E9" s="31"/>
      <c r="F9" s="31"/>
      <c r="G9" s="28"/>
      <c r="H9" s="27"/>
      <c r="I9" s="27"/>
      <c r="J9" s="574"/>
      <c r="K9" s="31"/>
      <c r="L9" s="31"/>
      <c r="M9" s="31"/>
      <c r="N9" s="31"/>
      <c r="O9" s="31"/>
      <c r="P9" s="574"/>
      <c r="Q9" s="31"/>
      <c r="R9" s="31"/>
      <c r="S9" s="31"/>
      <c r="T9" s="28"/>
      <c r="U9" s="574"/>
      <c r="V9" s="31"/>
      <c r="W9" s="31"/>
      <c r="X9" s="31"/>
      <c r="Y9" s="31"/>
      <c r="Z9" s="31"/>
      <c r="AA9" s="28"/>
      <c r="AB9" s="28"/>
      <c r="AC9" s="73"/>
      <c r="AD9" s="28"/>
      <c r="AE9" s="73"/>
      <c r="AF9" s="31"/>
      <c r="AG9" s="31"/>
      <c r="AH9" s="31"/>
      <c r="AI9" s="31"/>
      <c r="AJ9" s="31"/>
      <c r="AK9" s="44"/>
      <c r="AL9" s="28"/>
      <c r="AM9" s="84"/>
      <c r="AN9" s="75"/>
      <c r="AO9" s="31"/>
      <c r="AP9" s="28"/>
      <c r="AQ9" s="579"/>
      <c r="AR9" s="31"/>
      <c r="AS9" s="28"/>
      <c r="AT9" s="63"/>
      <c r="AU9" s="75"/>
      <c r="AV9" s="28"/>
      <c r="AW9" s="28"/>
      <c r="AX9" s="590"/>
      <c r="AY9" s="28"/>
      <c r="AZ9" s="591"/>
      <c r="BA9" s="589"/>
      <c r="BB9" s="75"/>
      <c r="BC9" s="28"/>
      <c r="BD9" s="574"/>
      <c r="BE9" s="7"/>
    </row>
    <row r="10" spans="1:354" ht="20.100000000000001" hidden="1" customHeight="1">
      <c r="A10" s="102">
        <f>LEN(A15)</f>
        <v>0</v>
      </c>
      <c r="B10" s="31"/>
      <c r="C10" s="31"/>
      <c r="D10" s="31"/>
      <c r="H10" s="27"/>
      <c r="I10" s="27"/>
      <c r="J10" s="91"/>
      <c r="K10" s="31"/>
      <c r="L10" s="44"/>
      <c r="M10" s="31"/>
      <c r="N10" s="31"/>
      <c r="O10" s="31"/>
      <c r="P10" s="31"/>
      <c r="Q10" s="44"/>
      <c r="R10" s="31"/>
      <c r="S10" s="28"/>
      <c r="T10" s="44"/>
      <c r="U10" s="583"/>
      <c r="V10" s="44"/>
      <c r="W10" s="44"/>
      <c r="X10" s="63"/>
      <c r="Y10" s="44"/>
      <c r="Z10" s="44"/>
      <c r="AA10" s="27"/>
      <c r="AB10" s="27"/>
      <c r="AC10" s="27"/>
      <c r="AD10" s="27"/>
      <c r="AE10" s="91"/>
      <c r="AF10" s="74"/>
      <c r="AG10" s="74"/>
      <c r="AH10" s="74"/>
      <c r="AI10" s="74"/>
      <c r="AJ10" s="27"/>
      <c r="AK10" s="74"/>
      <c r="AL10" s="74"/>
      <c r="AM10" s="27"/>
      <c r="AN10" s="27"/>
      <c r="AO10" s="74"/>
      <c r="AP10" s="27"/>
      <c r="AQ10" s="27"/>
      <c r="AR10" s="94"/>
      <c r="AS10" s="27"/>
      <c r="AT10" s="27"/>
      <c r="AU10" s="27"/>
      <c r="AV10" s="27"/>
      <c r="AW10" s="95"/>
      <c r="AX10" s="590"/>
      <c r="AY10" s="63"/>
      <c r="AZ10" s="590"/>
      <c r="BA10" s="63"/>
      <c r="BB10" s="63"/>
      <c r="BC10" s="95"/>
      <c r="BD10" s="94"/>
    </row>
    <row r="11" spans="1:354" ht="14.1" hidden="1" customHeight="1">
      <c r="B11" s="31"/>
      <c r="C11" s="31"/>
      <c r="D11" s="31"/>
      <c r="E11" s="31"/>
      <c r="F11" s="31"/>
      <c r="G11" s="28"/>
      <c r="H11" s="34"/>
      <c r="I11" s="28"/>
      <c r="J11" s="31"/>
      <c r="K11" s="31"/>
      <c r="L11" s="31"/>
      <c r="M11" s="31"/>
      <c r="N11" s="44"/>
      <c r="O11" s="44"/>
      <c r="P11" s="31"/>
      <c r="Q11" s="31"/>
      <c r="R11" s="28"/>
      <c r="S11" s="75"/>
      <c r="T11" s="31"/>
      <c r="U11" s="574"/>
      <c r="V11" s="31"/>
      <c r="W11" s="28"/>
      <c r="X11" s="75"/>
      <c r="Y11" s="31"/>
      <c r="Z11" s="31"/>
      <c r="AA11" s="28"/>
      <c r="AB11" s="31"/>
      <c r="AC11" s="31"/>
      <c r="AD11" s="28"/>
      <c r="AE11" s="74"/>
      <c r="AF11" s="74"/>
      <c r="AG11" s="27"/>
      <c r="AH11" s="73"/>
      <c r="AI11" s="28"/>
      <c r="AJ11" s="75"/>
      <c r="AK11" s="73"/>
      <c r="AL11" s="28"/>
      <c r="AM11" s="75"/>
      <c r="AN11" s="83"/>
      <c r="AO11" s="74"/>
      <c r="AP11" s="27"/>
      <c r="AQ11" s="27"/>
      <c r="AR11" s="27"/>
      <c r="AS11" s="83"/>
      <c r="AT11" s="74"/>
      <c r="AU11" s="74"/>
      <c r="AV11" s="74"/>
      <c r="AW11" s="27"/>
      <c r="AX11" s="27"/>
      <c r="AY11" s="27"/>
      <c r="AZ11" s="29"/>
      <c r="BA11" s="28"/>
      <c r="BB11" s="28"/>
      <c r="BC11" s="75"/>
      <c r="BD11" s="31"/>
      <c r="BE11" s="70"/>
    </row>
    <row r="12" spans="1:354" hidden="1">
      <c r="A12" s="29"/>
      <c r="B12" s="79"/>
      <c r="C12" s="79"/>
      <c r="D12" s="87"/>
      <c r="E12" s="88"/>
      <c r="F12" s="79"/>
      <c r="G12" s="79"/>
      <c r="H12" s="79"/>
      <c r="I12" s="79"/>
      <c r="J12" s="72"/>
      <c r="K12" s="72"/>
      <c r="L12" s="72"/>
      <c r="M12" s="79"/>
      <c r="N12" s="78"/>
      <c r="O12" s="79"/>
      <c r="P12" s="587"/>
      <c r="Q12" s="72"/>
      <c r="R12" s="79"/>
      <c r="S12" s="78"/>
      <c r="T12" s="79"/>
      <c r="U12" s="587"/>
      <c r="V12" s="72"/>
      <c r="W12" s="79"/>
      <c r="X12" s="78"/>
      <c r="Y12" s="79"/>
      <c r="Z12" s="28"/>
      <c r="AA12" s="78"/>
      <c r="AB12" s="72"/>
      <c r="AC12" s="31"/>
      <c r="AD12" s="31"/>
      <c r="AE12" s="74"/>
      <c r="AF12" s="74"/>
      <c r="AG12" s="27"/>
      <c r="AH12" s="73"/>
      <c r="AI12" s="28"/>
      <c r="AJ12" s="80"/>
      <c r="AK12" s="78"/>
      <c r="AL12" s="28"/>
      <c r="AM12" s="28"/>
      <c r="AN12" s="27"/>
      <c r="AO12" s="27"/>
      <c r="AP12" s="74"/>
      <c r="AQ12" s="27"/>
      <c r="AR12" s="27"/>
      <c r="AS12" s="27"/>
      <c r="AT12" s="27"/>
      <c r="AU12" s="73"/>
      <c r="AV12" s="28"/>
      <c r="AW12" s="28"/>
      <c r="AX12" s="75"/>
      <c r="AY12" s="28"/>
      <c r="AZ12" s="84"/>
      <c r="BA12" s="81"/>
      <c r="BB12" s="82"/>
      <c r="BC12" s="28"/>
      <c r="BD12" s="31"/>
      <c r="BE12" s="71"/>
    </row>
    <row r="13" spans="1:354" hidden="1">
      <c r="A13" s="62"/>
      <c r="B13" s="63"/>
      <c r="C13" s="44"/>
      <c r="D13" s="44"/>
      <c r="E13" s="63"/>
      <c r="F13" s="90"/>
      <c r="G13" s="63"/>
      <c r="H13" s="63"/>
      <c r="I13" s="578"/>
      <c r="J13" s="63"/>
      <c r="K13" s="44"/>
      <c r="L13" s="63"/>
      <c r="M13" s="63"/>
      <c r="N13" s="63"/>
      <c r="O13" s="63"/>
      <c r="P13" s="583"/>
      <c r="Q13" s="63"/>
      <c r="R13" s="63"/>
      <c r="S13" s="63"/>
      <c r="T13" s="79"/>
      <c r="U13" s="586"/>
      <c r="V13" s="592"/>
      <c r="W13" s="592"/>
      <c r="X13" s="79"/>
      <c r="Y13" s="79"/>
      <c r="Z13" s="79"/>
      <c r="AA13" s="77"/>
      <c r="AB13" s="593"/>
      <c r="AC13" s="31"/>
      <c r="AD13" s="31"/>
      <c r="AE13" s="74"/>
      <c r="AF13" s="74"/>
      <c r="AG13" s="27"/>
      <c r="AH13" s="78"/>
      <c r="AI13" s="28"/>
      <c r="AJ13" s="594"/>
      <c r="AK13" s="77"/>
      <c r="AL13" s="28"/>
      <c r="AM13" s="72"/>
      <c r="AN13" s="27"/>
      <c r="AO13" s="74"/>
      <c r="AP13" s="27"/>
      <c r="AQ13" s="92"/>
      <c r="AR13" s="27"/>
      <c r="AS13" s="27"/>
      <c r="AT13" s="28"/>
      <c r="AU13" s="28"/>
      <c r="AV13" s="28"/>
      <c r="AW13" s="79"/>
      <c r="AX13" s="78"/>
      <c r="AY13" s="79"/>
      <c r="AZ13" s="80"/>
      <c r="BA13" s="80"/>
      <c r="BB13" s="72"/>
      <c r="BC13" s="79"/>
      <c r="BD13" s="72"/>
      <c r="BE13" s="77"/>
    </row>
    <row r="14" spans="1:354" ht="15.75" customHeight="1">
      <c r="A14" s="4"/>
      <c r="B14" s="4"/>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c r="GH14" s="4"/>
      <c r="GI14" s="4"/>
      <c r="GJ14" s="4"/>
      <c r="GK14" s="4"/>
      <c r="GL14" s="4"/>
      <c r="GM14" s="4"/>
      <c r="GN14" s="4"/>
      <c r="GO14" s="4"/>
      <c r="GP14" s="4"/>
      <c r="GQ14" s="4"/>
      <c r="GR14" s="4"/>
      <c r="GS14" s="4"/>
      <c r="GT14" s="4"/>
      <c r="GU14" s="4"/>
      <c r="GV14" s="4"/>
      <c r="GW14" s="4"/>
      <c r="GX14" s="4"/>
      <c r="GY14" s="4"/>
      <c r="GZ14" s="4"/>
      <c r="HA14" s="4"/>
      <c r="HB14" s="4"/>
      <c r="HC14" s="4"/>
      <c r="HD14" s="4"/>
      <c r="HE14" s="4"/>
      <c r="HF14" s="4"/>
      <c r="HG14" s="4"/>
      <c r="HH14" s="4"/>
      <c r="HI14" s="4"/>
      <c r="HJ14" s="4"/>
      <c r="HK14" s="4"/>
      <c r="HL14" s="4"/>
      <c r="HM14" s="4"/>
      <c r="HN14" s="4"/>
      <c r="HO14" s="4"/>
      <c r="HP14" s="4"/>
      <c r="HQ14" s="4"/>
      <c r="HR14" s="4"/>
      <c r="HS14" s="4"/>
      <c r="HT14" s="4"/>
      <c r="HU14" s="4"/>
      <c r="HV14" s="4"/>
      <c r="HW14" s="4"/>
      <c r="HX14" s="4"/>
      <c r="HY14" s="4"/>
      <c r="HZ14" s="4"/>
      <c r="IA14" s="4"/>
      <c r="IB14" s="4"/>
      <c r="IC14" s="4"/>
      <c r="ID14" s="4"/>
      <c r="IE14" s="4"/>
      <c r="IF14" s="4"/>
      <c r="IG14" s="4"/>
      <c r="IH14" s="4"/>
      <c r="II14" s="4"/>
      <c r="IJ14" s="4"/>
      <c r="IK14" s="4"/>
      <c r="IL14" s="4"/>
      <c r="IM14" s="4"/>
      <c r="IN14" s="4"/>
      <c r="IO14" s="4"/>
      <c r="IP14" s="4"/>
      <c r="IQ14" s="4"/>
      <c r="IR14" s="4"/>
      <c r="IS14" s="4"/>
      <c r="IT14" s="4"/>
      <c r="IU14" s="4"/>
      <c r="IV14" s="4"/>
      <c r="IW14" s="4"/>
      <c r="IX14" s="4"/>
      <c r="IY14" s="4"/>
      <c r="IZ14" s="4"/>
      <c r="JA14" s="4"/>
      <c r="JB14" s="4"/>
      <c r="JC14" s="4"/>
      <c r="JD14" s="4"/>
      <c r="JE14" s="4"/>
      <c r="JF14" s="4"/>
      <c r="JG14" s="4"/>
      <c r="JH14" s="4"/>
      <c r="JI14" s="4"/>
      <c r="JJ14" s="4"/>
      <c r="JK14" s="4"/>
      <c r="JL14" s="4"/>
      <c r="JM14" s="4"/>
      <c r="JN14" s="4"/>
      <c r="JO14" s="4"/>
      <c r="JP14" s="4"/>
      <c r="JQ14" s="4"/>
      <c r="JR14" s="4"/>
      <c r="JS14" s="4"/>
      <c r="JT14" s="4"/>
      <c r="JU14" s="4"/>
      <c r="JV14" s="4"/>
      <c r="JW14" s="4"/>
      <c r="JX14" s="4"/>
      <c r="JY14" s="4"/>
      <c r="JZ14" s="4"/>
      <c r="KA14" s="4"/>
      <c r="KB14" s="4"/>
      <c r="KC14" s="4"/>
      <c r="KD14" s="4"/>
      <c r="KE14" s="4"/>
      <c r="KF14" s="4"/>
      <c r="KG14" s="4"/>
      <c r="KH14" s="4"/>
      <c r="KI14" s="4"/>
      <c r="KJ14" s="4"/>
      <c r="KK14" s="4"/>
      <c r="KL14" s="4"/>
      <c r="KM14" s="4"/>
      <c r="KN14" s="4"/>
      <c r="KO14" s="4"/>
      <c r="KP14" s="4"/>
      <c r="KQ14" s="4"/>
      <c r="KR14" s="4"/>
      <c r="KS14" s="4"/>
      <c r="KT14" s="4"/>
      <c r="KU14" s="4"/>
      <c r="KV14" s="4"/>
      <c r="KW14" s="4"/>
      <c r="KX14" s="4"/>
      <c r="KY14" s="4"/>
      <c r="KZ14" s="4"/>
      <c r="LA14" s="4"/>
      <c r="LB14" s="4"/>
      <c r="LC14" s="4"/>
      <c r="LD14" s="4"/>
      <c r="LE14" s="4"/>
      <c r="LF14" s="4"/>
      <c r="LG14" s="4"/>
      <c r="LH14" s="4"/>
      <c r="LI14" s="4"/>
      <c r="LJ14" s="4"/>
      <c r="LK14" s="4"/>
      <c r="LL14" s="4"/>
      <c r="LM14" s="4"/>
      <c r="LN14" s="4"/>
      <c r="LO14" s="4"/>
      <c r="LP14" s="4"/>
      <c r="LQ14" s="4"/>
      <c r="LR14" s="4"/>
      <c r="LS14" s="4"/>
      <c r="LT14" s="4"/>
      <c r="LU14" s="4"/>
      <c r="LV14" s="4"/>
      <c r="LW14" s="4"/>
      <c r="LX14" s="4"/>
      <c r="LY14" s="4"/>
      <c r="LZ14" s="4"/>
      <c r="MA14" s="4"/>
      <c r="MB14" s="4"/>
      <c r="MC14" s="4"/>
      <c r="MD14" s="4"/>
      <c r="ME14" s="4"/>
      <c r="MF14" s="4"/>
      <c r="MG14" s="4"/>
      <c r="MH14" s="4"/>
      <c r="MI14" s="4"/>
      <c r="MJ14" s="4"/>
      <c r="MK14" s="4"/>
      <c r="ML14" s="4"/>
      <c r="MM14" s="4"/>
      <c r="MN14" s="4"/>
      <c r="MO14" s="4"/>
      <c r="MP14" s="4"/>
    </row>
    <row r="15" spans="1:354">
      <c r="A15" s="4"/>
      <c r="B15" s="4"/>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c r="GH15" s="4"/>
      <c r="GI15" s="4"/>
      <c r="GJ15" s="4"/>
      <c r="GK15" s="4"/>
      <c r="GL15" s="4"/>
      <c r="GM15" s="4"/>
      <c r="GN15" s="4"/>
      <c r="GO15" s="4"/>
      <c r="GP15" s="4"/>
      <c r="GQ15" s="4"/>
      <c r="GR15" s="4"/>
      <c r="GS15" s="4"/>
      <c r="GT15" s="4"/>
      <c r="GU15" s="4"/>
      <c r="GV15" s="4"/>
      <c r="GW15" s="4"/>
      <c r="GX15" s="4"/>
      <c r="GY15" s="4"/>
      <c r="GZ15" s="4"/>
      <c r="HA15" s="4"/>
      <c r="HB15" s="4"/>
      <c r="HC15" s="4"/>
      <c r="HD15" s="4"/>
      <c r="HE15" s="4"/>
      <c r="HF15" s="4"/>
      <c r="HG15" s="4"/>
      <c r="HH15" s="4"/>
      <c r="HI15" s="4"/>
      <c r="HJ15" s="4"/>
      <c r="HK15" s="4"/>
      <c r="HL15" s="4"/>
      <c r="HM15" s="4"/>
      <c r="HN15" s="4"/>
      <c r="HO15" s="4"/>
      <c r="HP15" s="4"/>
      <c r="HQ15" s="4"/>
      <c r="HR15" s="4"/>
      <c r="HS15" s="4"/>
      <c r="HT15" s="4"/>
      <c r="HU15" s="4"/>
      <c r="HV15" s="4"/>
      <c r="HW15" s="4"/>
      <c r="HX15" s="4"/>
      <c r="HY15" s="4"/>
      <c r="HZ15" s="4"/>
      <c r="IA15" s="4"/>
      <c r="IB15" s="4"/>
      <c r="IC15" s="4"/>
      <c r="ID15" s="4"/>
      <c r="IE15" s="4"/>
      <c r="IF15" s="4"/>
      <c r="IG15" s="4"/>
      <c r="IH15" s="4"/>
      <c r="II15" s="4"/>
      <c r="IJ15" s="4"/>
      <c r="IK15" s="4"/>
      <c r="IL15" s="4"/>
      <c r="IM15" s="4"/>
      <c r="IN15" s="4"/>
      <c r="IO15" s="4"/>
      <c r="IP15" s="4"/>
      <c r="IQ15" s="4"/>
      <c r="IR15" s="4"/>
      <c r="IS15" s="4"/>
      <c r="IT15" s="4"/>
      <c r="IU15" s="4"/>
      <c r="IV15" s="4"/>
      <c r="IW15" s="4"/>
      <c r="IX15" s="4"/>
      <c r="IY15" s="4"/>
      <c r="IZ15" s="4"/>
      <c r="JA15" s="4"/>
      <c r="JB15" s="4"/>
      <c r="JC15" s="4"/>
      <c r="JD15" s="4"/>
      <c r="JE15" s="4"/>
      <c r="JF15" s="4"/>
      <c r="JG15" s="4"/>
      <c r="JH15" s="4"/>
      <c r="JI15" s="4"/>
      <c r="JJ15" s="4"/>
      <c r="JK15" s="4"/>
      <c r="JL15" s="4"/>
      <c r="JM15" s="4"/>
      <c r="JN15" s="4"/>
      <c r="JO15" s="4"/>
      <c r="JP15" s="4"/>
      <c r="JQ15" s="4"/>
      <c r="JR15" s="4"/>
      <c r="JS15" s="4"/>
      <c r="JT15" s="4"/>
      <c r="JU15" s="4"/>
      <c r="JV15" s="4"/>
      <c r="JW15" s="4"/>
      <c r="JX15" s="4"/>
      <c r="JY15" s="4"/>
      <c r="JZ15" s="4"/>
      <c r="KA15" s="4"/>
      <c r="KB15" s="4"/>
      <c r="KC15" s="4"/>
      <c r="KD15" s="4"/>
      <c r="KE15" s="4"/>
      <c r="KF15" s="4"/>
      <c r="KG15" s="4"/>
      <c r="KH15" s="4"/>
      <c r="KI15" s="4"/>
      <c r="KJ15" s="4"/>
      <c r="KK15" s="4"/>
      <c r="KL15" s="4"/>
      <c r="KM15" s="4"/>
      <c r="KN15" s="4"/>
      <c r="KO15" s="4"/>
      <c r="KP15" s="4"/>
      <c r="KQ15" s="4"/>
      <c r="KR15" s="4"/>
      <c r="KS15" s="4"/>
      <c r="KT15" s="4"/>
      <c r="KU15" s="4"/>
      <c r="KV15" s="4"/>
      <c r="KW15" s="4"/>
      <c r="KX15" s="4"/>
      <c r="KY15" s="4"/>
      <c r="KZ15" s="4"/>
      <c r="LA15" s="4"/>
      <c r="LB15" s="4"/>
      <c r="LC15" s="4"/>
      <c r="LD15" s="4"/>
      <c r="LE15" s="4"/>
      <c r="LF15" s="4"/>
      <c r="LG15" s="4"/>
      <c r="LH15" s="4"/>
      <c r="LI15" s="4"/>
      <c r="LJ15" s="4"/>
      <c r="LK15" s="4"/>
      <c r="LL15" s="4"/>
      <c r="LM15" s="4"/>
      <c r="LN15" s="4"/>
      <c r="LO15" s="4"/>
      <c r="LP15" s="4"/>
      <c r="LQ15" s="4"/>
      <c r="LR15" s="4"/>
      <c r="LS15" s="4"/>
      <c r="LT15" s="4"/>
      <c r="LU15" s="4"/>
      <c r="LV15" s="4"/>
      <c r="LW15" s="4"/>
      <c r="LX15" s="4"/>
      <c r="LY15" s="4"/>
      <c r="LZ15" s="4"/>
      <c r="MA15" s="4"/>
      <c r="MB15" s="4"/>
      <c r="MC15" s="4"/>
      <c r="MD15" s="4"/>
      <c r="ME15" s="4"/>
      <c r="MF15" s="4"/>
      <c r="MG15" s="4"/>
      <c r="MH15" s="4"/>
      <c r="MI15" s="4"/>
      <c r="MJ15" s="4"/>
      <c r="MK15" s="4"/>
      <c r="ML15" s="4"/>
      <c r="MM15" s="4"/>
      <c r="MN15" s="4"/>
      <c r="MO15" s="4"/>
      <c r="MP15" s="4"/>
    </row>
    <row r="16" spans="1:354">
      <c r="A16" s="4"/>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c r="GH16" s="4"/>
      <c r="GI16" s="4"/>
      <c r="GJ16" s="4"/>
      <c r="GK16" s="4"/>
      <c r="GL16" s="4"/>
      <c r="GM16" s="4"/>
      <c r="GN16" s="4"/>
      <c r="GO16" s="4"/>
      <c r="GP16" s="4"/>
      <c r="GQ16" s="4"/>
      <c r="GR16" s="4"/>
      <c r="GS16" s="4"/>
      <c r="GT16" s="4"/>
      <c r="GU16" s="4"/>
      <c r="GV16" s="4"/>
      <c r="GW16" s="4"/>
      <c r="GX16" s="4"/>
      <c r="GY16" s="4"/>
      <c r="GZ16" s="4"/>
      <c r="HA16" s="4"/>
      <c r="HB16" s="4"/>
      <c r="HC16" s="4"/>
      <c r="HD16" s="4"/>
      <c r="HE16" s="4"/>
      <c r="HF16" s="4"/>
      <c r="HG16" s="4"/>
      <c r="HH16" s="4"/>
      <c r="HI16" s="4"/>
      <c r="HJ16" s="4"/>
      <c r="HK16" s="4"/>
      <c r="HL16" s="4"/>
      <c r="HM16" s="4"/>
      <c r="HN16" s="4"/>
      <c r="HO16" s="4"/>
      <c r="HP16" s="4"/>
      <c r="HQ16" s="4"/>
      <c r="HR16" s="4"/>
      <c r="HS16" s="4"/>
      <c r="HT16" s="4"/>
      <c r="HU16" s="4"/>
      <c r="HV16" s="4"/>
      <c r="HW16" s="4"/>
      <c r="HX16" s="4"/>
      <c r="HY16" s="4"/>
      <c r="HZ16" s="4"/>
      <c r="IA16" s="4"/>
      <c r="IB16" s="4"/>
      <c r="IC16" s="4"/>
      <c r="ID16" s="4"/>
      <c r="IE16" s="4"/>
      <c r="IF16" s="4"/>
      <c r="IG16" s="4"/>
      <c r="IH16" s="4"/>
      <c r="II16" s="4"/>
      <c r="IJ16" s="4"/>
      <c r="IK16" s="4"/>
      <c r="IL16" s="4"/>
      <c r="IM16" s="4"/>
      <c r="IN16" s="4"/>
      <c r="IO16" s="4"/>
      <c r="IP16" s="4"/>
      <c r="IQ16" s="4"/>
      <c r="IR16" s="4"/>
      <c r="IS16" s="4"/>
      <c r="IT16" s="4"/>
      <c r="IU16" s="4"/>
      <c r="IV16" s="4"/>
      <c r="IW16" s="4"/>
      <c r="IX16" s="4"/>
      <c r="IY16" s="4"/>
      <c r="IZ16" s="4"/>
      <c r="JA16" s="4"/>
      <c r="JB16" s="4"/>
      <c r="JC16" s="4"/>
      <c r="JD16" s="4"/>
      <c r="JE16" s="4"/>
      <c r="JF16" s="4"/>
      <c r="JG16" s="4"/>
      <c r="JH16" s="4"/>
      <c r="JI16" s="4"/>
      <c r="JJ16" s="4"/>
      <c r="JK16" s="4"/>
      <c r="JL16" s="4"/>
      <c r="JM16" s="4"/>
      <c r="JN16" s="4"/>
      <c r="JO16" s="4"/>
      <c r="JP16" s="4"/>
      <c r="JQ16" s="4"/>
      <c r="JR16" s="4"/>
      <c r="JS16" s="4"/>
      <c r="JT16" s="4"/>
      <c r="JU16" s="4"/>
      <c r="JV16" s="4"/>
      <c r="JW16" s="4"/>
      <c r="JX16" s="4"/>
      <c r="JY16" s="4"/>
      <c r="JZ16" s="4"/>
      <c r="KA16" s="4"/>
      <c r="KB16" s="4"/>
      <c r="KC16" s="4"/>
      <c r="KD16" s="4"/>
      <c r="KE16" s="4"/>
      <c r="KF16" s="4"/>
      <c r="KG16" s="4"/>
      <c r="KH16" s="4"/>
      <c r="KI16" s="4"/>
      <c r="KJ16" s="4"/>
      <c r="KK16" s="4"/>
      <c r="KL16" s="4"/>
      <c r="KM16" s="4"/>
      <c r="KN16" s="4"/>
      <c r="KO16" s="4"/>
      <c r="KP16" s="4"/>
      <c r="KQ16" s="4"/>
      <c r="KR16" s="4"/>
      <c r="KS16" s="4"/>
      <c r="KT16" s="4"/>
      <c r="KU16" s="4"/>
      <c r="KV16" s="4"/>
      <c r="KW16" s="4"/>
      <c r="KX16" s="4"/>
      <c r="KY16" s="4"/>
      <c r="KZ16" s="4"/>
      <c r="LA16" s="4"/>
      <c r="LB16" s="4"/>
      <c r="LC16" s="4"/>
      <c r="LD16" s="4"/>
      <c r="LE16" s="4"/>
      <c r="LF16" s="4"/>
      <c r="LG16" s="4"/>
      <c r="LH16" s="4"/>
      <c r="LI16" s="4"/>
      <c r="LJ16" s="4"/>
      <c r="LK16" s="4"/>
      <c r="LL16" s="4"/>
      <c r="LM16" s="4"/>
      <c r="LN16" s="4"/>
      <c r="LO16" s="4"/>
      <c r="LP16" s="4"/>
      <c r="LQ16" s="4"/>
      <c r="LR16" s="4"/>
      <c r="LS16" s="4"/>
      <c r="LT16" s="4"/>
      <c r="LU16" s="4"/>
      <c r="LV16" s="4"/>
      <c r="LW16" s="4"/>
      <c r="LX16" s="4"/>
      <c r="LY16" s="4"/>
      <c r="LZ16" s="4"/>
      <c r="MA16" s="4"/>
      <c r="MB16" s="4"/>
      <c r="MC16" s="4"/>
      <c r="MD16" s="4"/>
      <c r="ME16" s="4"/>
      <c r="MF16" s="4"/>
      <c r="MG16" s="4"/>
      <c r="MH16" s="4"/>
      <c r="MI16" s="4"/>
      <c r="MJ16" s="4"/>
      <c r="MK16" s="4"/>
      <c r="ML16" s="4"/>
      <c r="MM16" s="4"/>
      <c r="MN16" s="4"/>
      <c r="MO16" s="4"/>
      <c r="MP16" s="4"/>
    </row>
    <row r="17" spans="1:354" ht="15" customHeight="1">
      <c r="A17" s="4"/>
      <c r="B17" s="4"/>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c r="AU17" s="4"/>
      <c r="AV17" s="4"/>
      <c r="AW17" s="4"/>
      <c r="AX17" s="4"/>
      <c r="AY17" s="4"/>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c r="GH17" s="4"/>
      <c r="GI17" s="4"/>
      <c r="GJ17" s="4"/>
      <c r="GK17" s="4"/>
      <c r="GL17" s="4"/>
      <c r="GM17" s="4"/>
      <c r="GN17" s="4"/>
      <c r="GO17" s="4"/>
      <c r="GP17" s="4"/>
      <c r="GQ17" s="4"/>
      <c r="GR17" s="4"/>
      <c r="GS17" s="4"/>
      <c r="GT17" s="4"/>
      <c r="GU17" s="4"/>
      <c r="GV17" s="4"/>
      <c r="GW17" s="4"/>
      <c r="GX17" s="4"/>
      <c r="GY17" s="4"/>
      <c r="GZ17" s="4"/>
      <c r="HA17" s="4"/>
      <c r="HB17" s="4"/>
      <c r="HC17" s="4"/>
      <c r="HD17" s="4"/>
      <c r="HE17" s="4"/>
      <c r="HF17" s="4"/>
      <c r="HG17" s="4"/>
      <c r="HH17" s="4"/>
      <c r="HI17" s="4"/>
      <c r="HJ17" s="4"/>
      <c r="HK17" s="4"/>
      <c r="HL17" s="4"/>
      <c r="HM17" s="4"/>
      <c r="HN17" s="4"/>
      <c r="HO17" s="4"/>
      <c r="HP17" s="4"/>
      <c r="HQ17" s="4"/>
      <c r="HR17" s="4"/>
      <c r="HS17" s="4"/>
      <c r="HT17" s="4"/>
      <c r="HU17" s="4"/>
      <c r="HV17" s="4"/>
      <c r="HW17" s="4"/>
      <c r="HX17" s="4"/>
      <c r="HY17" s="4"/>
      <c r="HZ17" s="4"/>
      <c r="IA17" s="4"/>
      <c r="IB17" s="4"/>
      <c r="IC17" s="4"/>
      <c r="ID17" s="4"/>
      <c r="IE17" s="4"/>
      <c r="IF17" s="4"/>
      <c r="IG17" s="4"/>
      <c r="IH17" s="4"/>
      <c r="II17" s="4"/>
      <c r="IJ17" s="4"/>
      <c r="IK17" s="4"/>
      <c r="IL17" s="4"/>
      <c r="IM17" s="4"/>
      <c r="IN17" s="4"/>
      <c r="IO17" s="4"/>
      <c r="IP17" s="4"/>
      <c r="IQ17" s="4"/>
      <c r="IR17" s="4"/>
      <c r="IS17" s="4"/>
      <c r="IT17" s="4"/>
      <c r="IU17" s="4"/>
      <c r="IV17" s="4"/>
      <c r="IW17" s="4"/>
      <c r="IX17" s="4"/>
      <c r="IY17" s="4"/>
      <c r="IZ17" s="4"/>
      <c r="JA17" s="4"/>
      <c r="JB17" s="4"/>
      <c r="JC17" s="4"/>
      <c r="JD17" s="4"/>
      <c r="JE17" s="4"/>
      <c r="JF17" s="4"/>
      <c r="JG17" s="4"/>
      <c r="JH17" s="4"/>
      <c r="JI17" s="4"/>
      <c r="JJ17" s="4"/>
      <c r="JK17" s="4"/>
      <c r="JL17" s="4"/>
      <c r="JM17" s="4"/>
      <c r="JN17" s="4"/>
      <c r="JO17" s="4"/>
      <c r="JP17" s="4"/>
      <c r="JQ17" s="4"/>
      <c r="JR17" s="4"/>
      <c r="JS17" s="4"/>
      <c r="JT17" s="4"/>
      <c r="JU17" s="4"/>
      <c r="JV17" s="4"/>
      <c r="JW17" s="4"/>
      <c r="JX17" s="4"/>
      <c r="JY17" s="4"/>
      <c r="JZ17" s="4"/>
      <c r="KA17" s="4"/>
      <c r="KB17" s="4"/>
      <c r="KC17" s="4"/>
      <c r="KD17" s="4"/>
      <c r="KE17" s="4"/>
      <c r="KF17" s="4"/>
      <c r="KG17" s="4"/>
      <c r="KH17" s="4"/>
      <c r="KI17" s="4"/>
      <c r="KJ17" s="4"/>
      <c r="KK17" s="4"/>
      <c r="KL17" s="4"/>
      <c r="KM17" s="4"/>
      <c r="KN17" s="4"/>
      <c r="KO17" s="4"/>
      <c r="KP17" s="4"/>
      <c r="KQ17" s="4"/>
      <c r="KR17" s="4"/>
      <c r="KS17" s="4"/>
      <c r="KT17" s="4"/>
      <c r="KU17" s="4"/>
      <c r="KV17" s="4"/>
      <c r="KW17" s="4"/>
      <c r="KX17" s="4"/>
      <c r="KY17" s="4"/>
      <c r="KZ17" s="4"/>
      <c r="LA17" s="4"/>
      <c r="LB17" s="4"/>
      <c r="LC17" s="4"/>
      <c r="LD17" s="4"/>
      <c r="LE17" s="4"/>
      <c r="LF17" s="4"/>
      <c r="LG17" s="4"/>
      <c r="LH17" s="4"/>
      <c r="LI17" s="4"/>
      <c r="LJ17" s="4"/>
      <c r="LK17" s="4"/>
      <c r="LL17" s="4"/>
      <c r="LM17" s="4"/>
      <c r="LN17" s="4"/>
      <c r="LO17" s="4"/>
      <c r="LP17" s="4"/>
      <c r="LQ17" s="4"/>
      <c r="LR17" s="4"/>
      <c r="LS17" s="4"/>
      <c r="LT17" s="4"/>
      <c r="LU17" s="4"/>
      <c r="LV17" s="4"/>
      <c r="LW17" s="4"/>
      <c r="LX17" s="4"/>
      <c r="LY17" s="4"/>
      <c r="LZ17" s="4"/>
      <c r="MA17" s="4"/>
      <c r="MB17" s="4"/>
      <c r="MC17" s="4"/>
      <c r="MD17" s="4"/>
      <c r="ME17" s="4"/>
      <c r="MF17" s="4"/>
      <c r="MG17" s="4"/>
      <c r="MH17" s="4"/>
      <c r="MI17" s="4"/>
      <c r="MJ17" s="4"/>
      <c r="MK17" s="4"/>
      <c r="ML17" s="4"/>
      <c r="MM17" s="4"/>
      <c r="MN17" s="4"/>
      <c r="MO17" s="4"/>
      <c r="MP17" s="4"/>
    </row>
    <row r="18" spans="1:354">
      <c r="A18" s="4"/>
      <c r="B18" s="4"/>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c r="AU18" s="4"/>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c r="GH18" s="4"/>
      <c r="GI18" s="4"/>
      <c r="GJ18" s="4"/>
      <c r="GK18" s="4"/>
      <c r="GL18" s="4"/>
      <c r="GM18" s="4"/>
      <c r="GN18" s="4"/>
      <c r="GO18" s="4"/>
      <c r="GP18" s="4"/>
      <c r="GQ18" s="4"/>
      <c r="GR18" s="4"/>
      <c r="GS18" s="4"/>
      <c r="GT18" s="4"/>
      <c r="GU18" s="4"/>
      <c r="GV18" s="4"/>
      <c r="GW18" s="4"/>
      <c r="GX18" s="4"/>
      <c r="GY18" s="4"/>
      <c r="GZ18" s="4"/>
      <c r="HA18" s="4"/>
      <c r="HB18" s="4"/>
      <c r="HC18" s="4"/>
      <c r="HD18" s="4"/>
      <c r="HE18" s="4"/>
      <c r="HF18" s="4"/>
      <c r="HG18" s="4"/>
      <c r="HH18" s="4"/>
      <c r="HI18" s="4"/>
      <c r="HJ18" s="4"/>
      <c r="HK18" s="4"/>
      <c r="HL18" s="4"/>
      <c r="HM18" s="4"/>
      <c r="HN18" s="4"/>
      <c r="HO18" s="4"/>
      <c r="HP18" s="4"/>
      <c r="HQ18" s="4"/>
      <c r="HR18" s="4"/>
      <c r="HS18" s="4"/>
      <c r="HT18" s="4"/>
      <c r="HU18" s="4"/>
      <c r="HV18" s="4"/>
      <c r="HW18" s="4"/>
      <c r="HX18" s="4"/>
      <c r="HY18" s="4"/>
      <c r="HZ18" s="4"/>
      <c r="IA18" s="4"/>
      <c r="IB18" s="4"/>
      <c r="IC18" s="4"/>
      <c r="ID18" s="4"/>
      <c r="IE18" s="4"/>
      <c r="IF18" s="4"/>
      <c r="IG18" s="4"/>
      <c r="IH18" s="4"/>
      <c r="II18" s="4"/>
      <c r="IJ18" s="4"/>
      <c r="IK18" s="4"/>
      <c r="IL18" s="4"/>
      <c r="IM18" s="4"/>
      <c r="IN18" s="4"/>
      <c r="IO18" s="4"/>
      <c r="IP18" s="4"/>
      <c r="IQ18" s="4"/>
      <c r="IR18" s="4"/>
      <c r="IS18" s="4"/>
      <c r="IT18" s="4"/>
      <c r="IU18" s="4"/>
      <c r="IV18" s="4"/>
      <c r="IW18" s="4"/>
      <c r="IX18" s="4"/>
      <c r="IY18" s="4"/>
      <c r="IZ18" s="4"/>
      <c r="JA18" s="4"/>
      <c r="JB18" s="4"/>
      <c r="JC18" s="4"/>
      <c r="JD18" s="4"/>
      <c r="JE18" s="4"/>
      <c r="JF18" s="4"/>
      <c r="JG18" s="4"/>
      <c r="JH18" s="4"/>
      <c r="JI18" s="4"/>
      <c r="JJ18" s="4"/>
      <c r="JK18" s="4"/>
      <c r="JL18" s="4"/>
      <c r="JM18" s="4"/>
      <c r="JN18" s="4"/>
      <c r="JO18" s="4"/>
      <c r="JP18" s="4"/>
      <c r="JQ18" s="4"/>
      <c r="JR18" s="4"/>
      <c r="JS18" s="4"/>
      <c r="JT18" s="4"/>
      <c r="JU18" s="4"/>
      <c r="JV18" s="4"/>
      <c r="JW18" s="4"/>
      <c r="JX18" s="4"/>
      <c r="JY18" s="4"/>
      <c r="JZ18" s="4"/>
      <c r="KA18" s="4"/>
      <c r="KB18" s="4"/>
      <c r="KC18" s="4"/>
      <c r="KD18" s="4"/>
      <c r="KE18" s="4"/>
      <c r="KF18" s="4"/>
      <c r="KG18" s="4"/>
      <c r="KH18" s="4"/>
      <c r="KI18" s="4"/>
      <c r="KJ18" s="4"/>
      <c r="KK18" s="4"/>
      <c r="KL18" s="4"/>
      <c r="KM18" s="4"/>
      <c r="KN18" s="4"/>
      <c r="KO18" s="4"/>
      <c r="KP18" s="4"/>
      <c r="KQ18" s="4"/>
      <c r="KR18" s="4"/>
      <c r="KS18" s="4"/>
      <c r="KT18" s="4"/>
      <c r="KU18" s="4"/>
      <c r="KV18" s="4"/>
      <c r="KW18" s="4"/>
      <c r="KX18" s="4"/>
      <c r="KY18" s="4"/>
      <c r="KZ18" s="4"/>
      <c r="LA18" s="4"/>
      <c r="LB18" s="4"/>
      <c r="LC18" s="4"/>
      <c r="LD18" s="4"/>
      <c r="LE18" s="4"/>
      <c r="LF18" s="4"/>
      <c r="LG18" s="4"/>
      <c r="LH18" s="4"/>
      <c r="LI18" s="4"/>
      <c r="LJ18" s="4"/>
      <c r="LK18" s="4"/>
      <c r="LL18" s="4"/>
      <c r="LM18" s="4"/>
      <c r="LN18" s="4"/>
      <c r="LO18" s="4"/>
      <c r="LP18" s="4"/>
      <c r="LQ18" s="4"/>
      <c r="LR18" s="4"/>
      <c r="LS18" s="4"/>
      <c r="LT18" s="4"/>
      <c r="LU18" s="4"/>
      <c r="LV18" s="4"/>
      <c r="LW18" s="4"/>
      <c r="LX18" s="4"/>
      <c r="LY18" s="4"/>
      <c r="LZ18" s="4"/>
      <c r="MA18" s="4"/>
      <c r="MB18" s="4"/>
      <c r="MC18" s="4"/>
      <c r="MD18" s="4"/>
      <c r="ME18" s="4"/>
      <c r="MF18" s="4"/>
      <c r="MG18" s="4"/>
      <c r="MH18" s="4"/>
      <c r="MI18" s="4"/>
      <c r="MJ18" s="4"/>
      <c r="MK18" s="4"/>
      <c r="ML18" s="4"/>
      <c r="MM18" s="4"/>
      <c r="MN18" s="4"/>
      <c r="MO18" s="4"/>
      <c r="MP18" s="4"/>
    </row>
    <row r="19" spans="1:354">
      <c r="A19" s="4"/>
      <c r="B19" s="4"/>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c r="AU19" s="4"/>
      <c r="AV19" s="4"/>
      <c r="AW19" s="4"/>
      <c r="AX19" s="4"/>
      <c r="AY19" s="4"/>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c r="GH19" s="4"/>
      <c r="GI19" s="4"/>
      <c r="GJ19" s="4"/>
      <c r="GK19" s="4"/>
      <c r="GL19" s="4"/>
      <c r="GM19" s="4"/>
      <c r="GN19" s="4"/>
      <c r="GO19" s="4"/>
      <c r="GP19" s="4"/>
      <c r="GQ19" s="4"/>
      <c r="GR19" s="4"/>
      <c r="GS19" s="4"/>
      <c r="GT19" s="4"/>
      <c r="GU19" s="4"/>
      <c r="GV19" s="4"/>
      <c r="GW19" s="4"/>
      <c r="GX19" s="4"/>
      <c r="GY19" s="4"/>
      <c r="GZ19" s="4"/>
      <c r="HA19" s="4"/>
      <c r="HB19" s="4"/>
      <c r="HC19" s="4"/>
      <c r="HD19" s="4"/>
      <c r="HE19" s="4"/>
      <c r="HF19" s="4"/>
      <c r="HG19" s="4"/>
      <c r="HH19" s="4"/>
      <c r="HI19" s="4"/>
      <c r="HJ19" s="4"/>
      <c r="HK19" s="4"/>
      <c r="HL19" s="4"/>
      <c r="HM19" s="4"/>
      <c r="HN19" s="4"/>
      <c r="HO19" s="4"/>
      <c r="HP19" s="4"/>
      <c r="HQ19" s="4"/>
      <c r="HR19" s="4"/>
      <c r="HS19" s="4"/>
      <c r="HT19" s="4"/>
      <c r="HU19" s="4"/>
      <c r="HV19" s="4"/>
      <c r="HW19" s="4"/>
      <c r="HX19" s="4"/>
      <c r="HY19" s="4"/>
      <c r="HZ19" s="4"/>
      <c r="IA19" s="4"/>
      <c r="IB19" s="4"/>
      <c r="IC19" s="4"/>
      <c r="ID19" s="4"/>
      <c r="IE19" s="4"/>
      <c r="IF19" s="4"/>
      <c r="IG19" s="4"/>
      <c r="IH19" s="4"/>
      <c r="II19" s="4"/>
      <c r="IJ19" s="4"/>
      <c r="IK19" s="4"/>
      <c r="IL19" s="4"/>
      <c r="IM19" s="4"/>
      <c r="IN19" s="4"/>
      <c r="IO19" s="4"/>
      <c r="IP19" s="4"/>
      <c r="IQ19" s="4"/>
      <c r="IR19" s="4"/>
      <c r="IS19" s="4"/>
      <c r="IT19" s="4"/>
      <c r="IU19" s="4"/>
      <c r="IV19" s="4"/>
      <c r="IW19" s="4"/>
      <c r="IX19" s="4"/>
      <c r="IY19" s="4"/>
      <c r="IZ19" s="4"/>
      <c r="JA19" s="4"/>
      <c r="JB19" s="4"/>
      <c r="JC19" s="4"/>
      <c r="JD19" s="4"/>
      <c r="JE19" s="4"/>
      <c r="JF19" s="4"/>
      <c r="JG19" s="4"/>
      <c r="JH19" s="4"/>
      <c r="JI19" s="4"/>
      <c r="JJ19" s="4"/>
      <c r="JK19" s="4"/>
      <c r="JL19" s="4"/>
      <c r="JM19" s="4"/>
      <c r="JN19" s="4"/>
      <c r="JO19" s="4"/>
      <c r="JP19" s="4"/>
      <c r="JQ19" s="4"/>
      <c r="JR19" s="4"/>
      <c r="JS19" s="4"/>
      <c r="JT19" s="4"/>
      <c r="JU19" s="4"/>
      <c r="JV19" s="4"/>
      <c r="JW19" s="4"/>
      <c r="JX19" s="4"/>
      <c r="JY19" s="4"/>
      <c r="JZ19" s="4"/>
      <c r="KA19" s="4"/>
      <c r="KB19" s="4"/>
      <c r="KC19" s="4"/>
      <c r="KD19" s="4"/>
      <c r="KE19" s="4"/>
      <c r="KF19" s="4"/>
      <c r="KG19" s="4"/>
      <c r="KH19" s="4"/>
      <c r="KI19" s="4"/>
      <c r="KJ19" s="4"/>
      <c r="KK19" s="4"/>
      <c r="KL19" s="4"/>
      <c r="KM19" s="4"/>
      <c r="KN19" s="4"/>
      <c r="KO19" s="4"/>
      <c r="KP19" s="4"/>
      <c r="KQ19" s="4"/>
      <c r="KR19" s="4"/>
      <c r="KS19" s="4"/>
      <c r="KT19" s="4"/>
      <c r="KU19" s="4"/>
      <c r="KV19" s="4"/>
      <c r="KW19" s="4"/>
      <c r="KX19" s="4"/>
      <c r="KY19" s="4"/>
      <c r="KZ19" s="4"/>
      <c r="LA19" s="4"/>
      <c r="LB19" s="4"/>
      <c r="LC19" s="4"/>
      <c r="LD19" s="4"/>
      <c r="LE19" s="4"/>
      <c r="LF19" s="4"/>
      <c r="LG19" s="4"/>
      <c r="LH19" s="4"/>
      <c r="LI19" s="4"/>
      <c r="LJ19" s="4"/>
      <c r="LK19" s="4"/>
      <c r="LL19" s="4"/>
      <c r="LM19" s="4"/>
      <c r="LN19" s="4"/>
      <c r="LO19" s="4"/>
      <c r="LP19" s="4"/>
      <c r="LQ19" s="4"/>
      <c r="LR19" s="4"/>
      <c r="LS19" s="4"/>
      <c r="LT19" s="4"/>
      <c r="LU19" s="4"/>
      <c r="LV19" s="4"/>
      <c r="LW19" s="4"/>
      <c r="LX19" s="4"/>
      <c r="LY19" s="4"/>
      <c r="LZ19" s="4"/>
      <c r="MA19" s="4"/>
      <c r="MB19" s="4"/>
      <c r="MC19" s="4"/>
      <c r="MD19" s="4"/>
      <c r="ME19" s="4"/>
      <c r="MF19" s="4"/>
      <c r="MG19" s="4"/>
      <c r="MH19" s="4"/>
      <c r="MI19" s="4"/>
      <c r="MJ19" s="4"/>
      <c r="MK19" s="4"/>
      <c r="ML19" s="4"/>
      <c r="MM19" s="4"/>
      <c r="MN19" s="4"/>
      <c r="MO19" s="4"/>
      <c r="MP19" s="4"/>
    </row>
    <row r="20" spans="1:354">
      <c r="A20" s="4"/>
      <c r="B20" s="4"/>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c r="AU20" s="4"/>
      <c r="AV20" s="4"/>
      <c r="AW20" s="4"/>
      <c r="AX20" s="4"/>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c r="GH20" s="4"/>
      <c r="GI20" s="4"/>
      <c r="GJ20" s="4"/>
      <c r="GK20" s="4"/>
      <c r="GL20" s="4"/>
      <c r="GM20" s="4"/>
      <c r="GN20" s="4"/>
      <c r="GO20" s="4"/>
      <c r="GP20" s="4"/>
      <c r="GQ20" s="4"/>
      <c r="GR20" s="4"/>
      <c r="GS20" s="4"/>
      <c r="GT20" s="4"/>
      <c r="GU20" s="4"/>
      <c r="GV20" s="4"/>
      <c r="GW20" s="4"/>
      <c r="GX20" s="4"/>
      <c r="GY20" s="4"/>
      <c r="GZ20" s="4"/>
      <c r="HA20" s="4"/>
      <c r="HB20" s="4"/>
      <c r="HC20" s="4"/>
      <c r="HD20" s="4"/>
      <c r="HE20" s="4"/>
      <c r="HF20" s="4"/>
      <c r="HG20" s="4"/>
      <c r="HH20" s="4"/>
      <c r="HI20" s="4"/>
      <c r="HJ20" s="4"/>
      <c r="HK20" s="4"/>
      <c r="HL20" s="4"/>
      <c r="HM20" s="4"/>
      <c r="HN20" s="4"/>
      <c r="HO20" s="4"/>
      <c r="HP20" s="4"/>
      <c r="HQ20" s="4"/>
      <c r="HR20" s="4"/>
      <c r="HS20" s="4"/>
      <c r="HT20" s="4"/>
      <c r="HU20" s="4"/>
      <c r="HV20" s="4"/>
      <c r="HW20" s="4"/>
      <c r="HX20" s="4"/>
      <c r="HY20" s="4"/>
      <c r="HZ20" s="4"/>
      <c r="IA20" s="4"/>
      <c r="IB20" s="4"/>
      <c r="IC20" s="4"/>
      <c r="ID20" s="4"/>
      <c r="IE20" s="4"/>
      <c r="IF20" s="4"/>
      <c r="IG20" s="4"/>
      <c r="IH20" s="4"/>
      <c r="II20" s="4"/>
      <c r="IJ20" s="4"/>
      <c r="IK20" s="4"/>
      <c r="IL20" s="4"/>
      <c r="IM20" s="4"/>
      <c r="IN20" s="4"/>
      <c r="IO20" s="4"/>
      <c r="IP20" s="4"/>
      <c r="IQ20" s="4"/>
      <c r="IR20" s="4"/>
      <c r="IS20" s="4"/>
      <c r="IT20" s="4"/>
      <c r="IU20" s="4"/>
      <c r="IV20" s="4"/>
      <c r="IW20" s="4"/>
      <c r="IX20" s="4"/>
      <c r="IY20" s="4"/>
      <c r="IZ20" s="4"/>
      <c r="JA20" s="4"/>
      <c r="JB20" s="4"/>
      <c r="JC20" s="4"/>
      <c r="JD20" s="4"/>
      <c r="JE20" s="4"/>
      <c r="JF20" s="4"/>
      <c r="JG20" s="4"/>
      <c r="JH20" s="4"/>
      <c r="JI20" s="4"/>
      <c r="JJ20" s="4"/>
      <c r="JK20" s="4"/>
      <c r="JL20" s="4"/>
      <c r="JM20" s="4"/>
      <c r="JN20" s="4"/>
      <c r="JO20" s="4"/>
      <c r="JP20" s="4"/>
      <c r="JQ20" s="4"/>
      <c r="JR20" s="4"/>
      <c r="JS20" s="4"/>
      <c r="JT20" s="4"/>
      <c r="JU20" s="4"/>
      <c r="JV20" s="4"/>
      <c r="JW20" s="4"/>
      <c r="JX20" s="4"/>
      <c r="JY20" s="4"/>
      <c r="JZ20" s="4"/>
      <c r="KA20" s="4"/>
      <c r="KB20" s="4"/>
      <c r="KC20" s="4"/>
      <c r="KD20" s="4"/>
      <c r="KE20" s="4"/>
      <c r="KF20" s="4"/>
      <c r="KG20" s="4"/>
      <c r="KH20" s="4"/>
      <c r="KI20" s="4"/>
      <c r="KJ20" s="4"/>
      <c r="KK20" s="4"/>
      <c r="KL20" s="4"/>
      <c r="KM20" s="4"/>
      <c r="KN20" s="4"/>
      <c r="KO20" s="4"/>
      <c r="KP20" s="4"/>
      <c r="KQ20" s="4"/>
      <c r="KR20" s="4"/>
      <c r="KS20" s="4"/>
      <c r="KT20" s="4"/>
      <c r="KU20" s="4"/>
      <c r="KV20" s="4"/>
      <c r="KW20" s="4"/>
      <c r="KX20" s="4"/>
      <c r="KY20" s="4"/>
      <c r="KZ20" s="4"/>
      <c r="LA20" s="4"/>
      <c r="LB20" s="4"/>
      <c r="LC20" s="4"/>
      <c r="LD20" s="4"/>
      <c r="LE20" s="4"/>
      <c r="LF20" s="4"/>
      <c r="LG20" s="4"/>
      <c r="LH20" s="4"/>
      <c r="LI20" s="4"/>
      <c r="LJ20" s="4"/>
      <c r="LK20" s="4"/>
      <c r="LL20" s="4"/>
      <c r="LM20" s="4"/>
      <c r="LN20" s="4"/>
      <c r="LO20" s="4"/>
      <c r="LP20" s="4"/>
      <c r="LQ20" s="4"/>
      <c r="LR20" s="4"/>
      <c r="LS20" s="4"/>
      <c r="LT20" s="4"/>
      <c r="LU20" s="4"/>
      <c r="LV20" s="4"/>
      <c r="LW20" s="4"/>
      <c r="LX20" s="4"/>
      <c r="LY20" s="4"/>
      <c r="LZ20" s="4"/>
      <c r="MA20" s="4"/>
      <c r="MB20" s="4"/>
      <c r="MC20" s="4"/>
      <c r="MD20" s="4"/>
      <c r="ME20" s="4"/>
      <c r="MF20" s="4"/>
      <c r="MG20" s="4"/>
      <c r="MH20" s="4"/>
      <c r="MI20" s="4"/>
      <c r="MJ20" s="4"/>
      <c r="MK20" s="4"/>
      <c r="ML20" s="4"/>
      <c r="MM20" s="4"/>
      <c r="MN20" s="4"/>
      <c r="MO20" s="4"/>
      <c r="MP20" s="4"/>
    </row>
    <row r="21" spans="1:354">
      <c r="A21" s="4"/>
      <c r="B21" s="4"/>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c r="AU21" s="4"/>
      <c r="AV21" s="4"/>
      <c r="AW21" s="4"/>
      <c r="AX21" s="4"/>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c r="GH21" s="4"/>
      <c r="GI21" s="4"/>
      <c r="GJ21" s="4"/>
      <c r="GK21" s="4"/>
      <c r="GL21" s="4"/>
      <c r="GM21" s="4"/>
      <c r="GN21" s="4"/>
      <c r="GO21" s="4"/>
      <c r="GP21" s="4"/>
      <c r="GQ21" s="4"/>
      <c r="GR21" s="4"/>
      <c r="GS21" s="4"/>
      <c r="GT21" s="4"/>
      <c r="GU21" s="4"/>
      <c r="GV21" s="4"/>
      <c r="GW21" s="4"/>
      <c r="GX21" s="4"/>
      <c r="GY21" s="4"/>
      <c r="GZ21" s="4"/>
      <c r="HA21" s="4"/>
      <c r="HB21" s="4"/>
      <c r="HC21" s="4"/>
      <c r="HD21" s="4"/>
      <c r="HE21" s="4"/>
      <c r="HF21" s="4"/>
      <c r="HG21" s="4"/>
      <c r="HH21" s="4"/>
      <c r="HI21" s="4"/>
      <c r="HJ21" s="4"/>
      <c r="HK21" s="4"/>
      <c r="HL21" s="4"/>
      <c r="HM21" s="4"/>
      <c r="HN21" s="4"/>
      <c r="HO21" s="4"/>
      <c r="HP21" s="4"/>
      <c r="HQ21" s="4"/>
      <c r="HR21" s="4"/>
      <c r="HS21" s="4"/>
      <c r="HT21" s="4"/>
      <c r="HU21" s="4"/>
      <c r="HV21" s="4"/>
      <c r="HW21" s="4"/>
      <c r="HX21" s="4"/>
      <c r="HY21" s="4"/>
      <c r="HZ21" s="4"/>
      <c r="IA21" s="4"/>
      <c r="IB21" s="4"/>
      <c r="IC21" s="4"/>
      <c r="ID21" s="4"/>
      <c r="IE21" s="4"/>
      <c r="IF21" s="4"/>
      <c r="IG21" s="4"/>
      <c r="IH21" s="4"/>
      <c r="II21" s="4"/>
      <c r="IJ21" s="4"/>
      <c r="IK21" s="4"/>
      <c r="IL21" s="4"/>
      <c r="IM21" s="4"/>
      <c r="IN21" s="4"/>
      <c r="IO21" s="4"/>
      <c r="IP21" s="4"/>
      <c r="IQ21" s="4"/>
      <c r="IR21" s="4"/>
      <c r="IS21" s="4"/>
      <c r="IT21" s="4"/>
      <c r="IU21" s="4"/>
      <c r="IV21" s="4"/>
      <c r="IW21" s="4"/>
      <c r="IX21" s="4"/>
      <c r="IY21" s="4"/>
      <c r="IZ21" s="4"/>
      <c r="JA21" s="4"/>
      <c r="JB21" s="4"/>
      <c r="JC21" s="4"/>
      <c r="JD21" s="4"/>
      <c r="JE21" s="4"/>
      <c r="JF21" s="4"/>
      <c r="JG21" s="4"/>
      <c r="JH21" s="4"/>
      <c r="JI21" s="4"/>
      <c r="JJ21" s="4"/>
      <c r="JK21" s="4"/>
      <c r="JL21" s="4"/>
      <c r="JM21" s="4"/>
      <c r="JN21" s="4"/>
      <c r="JO21" s="4"/>
      <c r="JP21" s="4"/>
      <c r="JQ21" s="4"/>
      <c r="JR21" s="4"/>
      <c r="JS21" s="4"/>
      <c r="JT21" s="4"/>
      <c r="JU21" s="4"/>
      <c r="JV21" s="4"/>
      <c r="JW21" s="4"/>
      <c r="JX21" s="4"/>
      <c r="JY21" s="4"/>
      <c r="JZ21" s="4"/>
      <c r="KA21" s="4"/>
      <c r="KB21" s="4"/>
      <c r="KC21" s="4"/>
      <c r="KD21" s="4"/>
      <c r="KE21" s="4"/>
      <c r="KF21" s="4"/>
      <c r="KG21" s="4"/>
      <c r="KH21" s="4"/>
      <c r="KI21" s="4"/>
      <c r="KJ21" s="4"/>
      <c r="KK21" s="4"/>
      <c r="KL21" s="4"/>
      <c r="KM21" s="4"/>
      <c r="KN21" s="4"/>
      <c r="KO21" s="4"/>
      <c r="KP21" s="4"/>
      <c r="KQ21" s="4"/>
      <c r="KR21" s="4"/>
      <c r="KS21" s="4"/>
      <c r="KT21" s="4"/>
      <c r="KU21" s="4"/>
      <c r="KV21" s="4"/>
      <c r="KW21" s="4"/>
      <c r="KX21" s="4"/>
      <c r="KY21" s="4"/>
      <c r="KZ21" s="4"/>
      <c r="LA21" s="4"/>
      <c r="LB21" s="4"/>
      <c r="LC21" s="4"/>
      <c r="LD21" s="4"/>
      <c r="LE21" s="4"/>
      <c r="LF21" s="4"/>
      <c r="LG21" s="4"/>
      <c r="LH21" s="4"/>
      <c r="LI21" s="4"/>
      <c r="LJ21" s="4"/>
      <c r="LK21" s="4"/>
      <c r="LL21" s="4"/>
      <c r="LM21" s="4"/>
      <c r="LN21" s="4"/>
      <c r="LO21" s="4"/>
      <c r="LP21" s="4"/>
      <c r="LQ21" s="4"/>
      <c r="LR21" s="4"/>
      <c r="LS21" s="4"/>
      <c r="LT21" s="4"/>
      <c r="LU21" s="4"/>
      <c r="LV21" s="4"/>
      <c r="LW21" s="4"/>
      <c r="LX21" s="4"/>
      <c r="LY21" s="4"/>
      <c r="LZ21" s="4"/>
      <c r="MA21" s="4"/>
      <c r="MB21" s="4"/>
      <c r="MC21" s="4"/>
      <c r="MD21" s="4"/>
      <c r="ME21" s="4"/>
      <c r="MF21" s="4"/>
      <c r="MG21" s="4"/>
      <c r="MH21" s="4"/>
      <c r="MI21" s="4"/>
      <c r="MJ21" s="4"/>
      <c r="MK21" s="4"/>
      <c r="ML21" s="4"/>
      <c r="MM21" s="4"/>
      <c r="MN21" s="4"/>
      <c r="MO21" s="4"/>
      <c r="MP21" s="4"/>
    </row>
    <row r="22" spans="1:354">
      <c r="A22" s="4"/>
      <c r="B22" s="4"/>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c r="AU22" s="4"/>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c r="GH22" s="4"/>
      <c r="GI22" s="4"/>
      <c r="GJ22" s="4"/>
      <c r="GK22" s="4"/>
      <c r="GL22" s="4"/>
      <c r="GM22" s="4"/>
      <c r="GN22" s="4"/>
      <c r="GO22" s="4"/>
      <c r="GP22" s="4"/>
      <c r="GQ22" s="4"/>
      <c r="GR22" s="4"/>
      <c r="GS22" s="4"/>
      <c r="GT22" s="4"/>
      <c r="GU22" s="4"/>
      <c r="GV22" s="4"/>
      <c r="GW22" s="4"/>
      <c r="GX22" s="4"/>
      <c r="GY22" s="4"/>
      <c r="GZ22" s="4"/>
      <c r="HA22" s="4"/>
      <c r="HB22" s="4"/>
      <c r="HC22" s="4"/>
      <c r="HD22" s="4"/>
      <c r="HE22" s="4"/>
      <c r="HF22" s="4"/>
      <c r="HG22" s="4"/>
      <c r="HH22" s="4"/>
      <c r="HI22" s="4"/>
      <c r="HJ22" s="4"/>
      <c r="HK22" s="4"/>
      <c r="HL22" s="4"/>
      <c r="HM22" s="4"/>
      <c r="HN22" s="4"/>
      <c r="HO22" s="4"/>
      <c r="HP22" s="4"/>
      <c r="HQ22" s="4"/>
      <c r="HR22" s="4"/>
      <c r="HS22" s="4"/>
      <c r="HT22" s="4"/>
      <c r="HU22" s="4"/>
      <c r="HV22" s="4"/>
      <c r="HW22" s="4"/>
      <c r="HX22" s="4"/>
      <c r="HY22" s="4"/>
      <c r="HZ22" s="4"/>
      <c r="IA22" s="4"/>
      <c r="IB22" s="4"/>
      <c r="IC22" s="4"/>
      <c r="ID22" s="4"/>
      <c r="IE22" s="4"/>
      <c r="IF22" s="4"/>
      <c r="IG22" s="4"/>
      <c r="IH22" s="4"/>
      <c r="II22" s="4"/>
      <c r="IJ22" s="4"/>
      <c r="IK22" s="4"/>
      <c r="IL22" s="4"/>
      <c r="IM22" s="4"/>
      <c r="IN22" s="4"/>
      <c r="IO22" s="4"/>
      <c r="IP22" s="4"/>
      <c r="IQ22" s="4"/>
      <c r="IR22" s="4"/>
      <c r="IS22" s="4"/>
      <c r="IT22" s="4"/>
      <c r="IU22" s="4"/>
      <c r="IV22" s="4"/>
      <c r="IW22" s="4"/>
      <c r="IX22" s="4"/>
      <c r="IY22" s="4"/>
      <c r="IZ22" s="4"/>
      <c r="JA22" s="4"/>
      <c r="JB22" s="4"/>
      <c r="JC22" s="4"/>
      <c r="JD22" s="4"/>
      <c r="JE22" s="4"/>
      <c r="JF22" s="4"/>
      <c r="JG22" s="4"/>
      <c r="JH22" s="4"/>
      <c r="JI22" s="4"/>
      <c r="JJ22" s="4"/>
      <c r="JK22" s="4"/>
      <c r="JL22" s="4"/>
      <c r="JM22" s="4"/>
      <c r="JN22" s="4"/>
      <c r="JO22" s="4"/>
      <c r="JP22" s="4"/>
      <c r="JQ22" s="4"/>
      <c r="JR22" s="4"/>
      <c r="JS22" s="4"/>
      <c r="JT22" s="4"/>
      <c r="JU22" s="4"/>
      <c r="JV22" s="4"/>
      <c r="JW22" s="4"/>
      <c r="JX22" s="4"/>
      <c r="JY22" s="4"/>
      <c r="JZ22" s="4"/>
      <c r="KA22" s="4"/>
      <c r="KB22" s="4"/>
      <c r="KC22" s="4"/>
      <c r="KD22" s="4"/>
      <c r="KE22" s="4"/>
      <c r="KF22" s="4"/>
      <c r="KG22" s="4"/>
      <c r="KH22" s="4"/>
      <c r="KI22" s="4"/>
      <c r="KJ22" s="4"/>
      <c r="KK22" s="4"/>
      <c r="KL22" s="4"/>
      <c r="KM22" s="4"/>
      <c r="KN22" s="4"/>
      <c r="KO22" s="4"/>
      <c r="KP22" s="4"/>
      <c r="KQ22" s="4"/>
      <c r="KR22" s="4"/>
      <c r="KS22" s="4"/>
      <c r="KT22" s="4"/>
      <c r="KU22" s="4"/>
      <c r="KV22" s="4"/>
      <c r="KW22" s="4"/>
      <c r="KX22" s="4"/>
      <c r="KY22" s="4"/>
      <c r="KZ22" s="4"/>
      <c r="LA22" s="4"/>
      <c r="LB22" s="4"/>
      <c r="LC22" s="4"/>
      <c r="LD22" s="4"/>
      <c r="LE22" s="4"/>
      <c r="LF22" s="4"/>
      <c r="LG22" s="4"/>
      <c r="LH22" s="4"/>
      <c r="LI22" s="4"/>
      <c r="LJ22" s="4"/>
      <c r="LK22" s="4"/>
      <c r="LL22" s="4"/>
      <c r="LM22" s="4"/>
      <c r="LN22" s="4"/>
      <c r="LO22" s="4"/>
      <c r="LP22" s="4"/>
      <c r="LQ22" s="4"/>
      <c r="LR22" s="4"/>
      <c r="LS22" s="4"/>
      <c r="LT22" s="4"/>
      <c r="LU22" s="4"/>
      <c r="LV22" s="4"/>
      <c r="LW22" s="4"/>
      <c r="LX22" s="4"/>
      <c r="LY22" s="4"/>
      <c r="LZ22" s="4"/>
      <c r="MA22" s="4"/>
      <c r="MB22" s="4"/>
      <c r="MC22" s="4"/>
      <c r="MD22" s="4"/>
      <c r="ME22" s="4"/>
      <c r="MF22" s="4"/>
      <c r="MG22" s="4"/>
      <c r="MH22" s="4"/>
      <c r="MI22" s="4"/>
      <c r="MJ22" s="4"/>
      <c r="MK22" s="4"/>
      <c r="ML22" s="4"/>
      <c r="MM22" s="4"/>
      <c r="MN22" s="4"/>
      <c r="MO22" s="4"/>
      <c r="MP22" s="4"/>
    </row>
    <row r="23" spans="1:354">
      <c r="A23" s="4"/>
      <c r="B23" s="4"/>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c r="GH23" s="4"/>
      <c r="GI23" s="4"/>
      <c r="GJ23" s="4"/>
      <c r="GK23" s="4"/>
      <c r="GL23" s="4"/>
      <c r="GM23" s="4"/>
      <c r="GN23" s="4"/>
      <c r="GO23" s="4"/>
      <c r="GP23" s="4"/>
      <c r="GQ23" s="4"/>
      <c r="GR23" s="4"/>
      <c r="GS23" s="4"/>
      <c r="GT23" s="4"/>
      <c r="GU23" s="4"/>
      <c r="GV23" s="4"/>
      <c r="GW23" s="4"/>
      <c r="GX23" s="4"/>
      <c r="GY23" s="4"/>
      <c r="GZ23" s="4"/>
      <c r="HA23" s="4"/>
      <c r="HB23" s="4"/>
      <c r="HC23" s="4"/>
      <c r="HD23" s="4"/>
      <c r="HE23" s="4"/>
      <c r="HF23" s="4"/>
      <c r="HG23" s="4"/>
      <c r="HH23" s="4"/>
      <c r="HI23" s="4"/>
      <c r="HJ23" s="4"/>
      <c r="HK23" s="4"/>
      <c r="HL23" s="4"/>
      <c r="HM23" s="4"/>
      <c r="HN23" s="4"/>
      <c r="HO23" s="4"/>
      <c r="HP23" s="4"/>
      <c r="HQ23" s="4"/>
      <c r="HR23" s="4"/>
      <c r="HS23" s="4"/>
      <c r="HT23" s="4"/>
      <c r="HU23" s="4"/>
      <c r="HV23" s="4"/>
      <c r="HW23" s="4"/>
      <c r="HX23" s="4"/>
      <c r="HY23" s="4"/>
      <c r="HZ23" s="4"/>
      <c r="IA23" s="4"/>
      <c r="IB23" s="4"/>
      <c r="IC23" s="4"/>
      <c r="ID23" s="4"/>
      <c r="IE23" s="4"/>
      <c r="IF23" s="4"/>
      <c r="IG23" s="4"/>
      <c r="IH23" s="4"/>
      <c r="II23" s="4"/>
      <c r="IJ23" s="4"/>
      <c r="IK23" s="4"/>
      <c r="IL23" s="4"/>
      <c r="IM23" s="4"/>
      <c r="IN23" s="4"/>
      <c r="IO23" s="4"/>
      <c r="IP23" s="4"/>
      <c r="IQ23" s="4"/>
      <c r="IR23" s="4"/>
      <c r="IS23" s="4"/>
      <c r="IT23" s="4"/>
      <c r="IU23" s="4"/>
      <c r="IV23" s="4"/>
      <c r="IW23" s="4"/>
      <c r="IX23" s="4"/>
      <c r="IY23" s="4"/>
      <c r="IZ23" s="4"/>
      <c r="JA23" s="4"/>
      <c r="JB23" s="4"/>
      <c r="JC23" s="4"/>
      <c r="JD23" s="4"/>
      <c r="JE23" s="4"/>
      <c r="JF23" s="4"/>
      <c r="JG23" s="4"/>
      <c r="JH23" s="4"/>
      <c r="JI23" s="4"/>
      <c r="JJ23" s="4"/>
      <c r="JK23" s="4"/>
      <c r="JL23" s="4"/>
      <c r="JM23" s="4"/>
      <c r="JN23" s="4"/>
      <c r="JO23" s="4"/>
      <c r="JP23" s="4"/>
      <c r="JQ23" s="4"/>
      <c r="JR23" s="4"/>
      <c r="JS23" s="4"/>
      <c r="JT23" s="4"/>
      <c r="JU23" s="4"/>
      <c r="JV23" s="4"/>
      <c r="JW23" s="4"/>
      <c r="JX23" s="4"/>
      <c r="JY23" s="4"/>
      <c r="JZ23" s="4"/>
      <c r="KA23" s="4"/>
      <c r="KB23" s="4"/>
      <c r="KC23" s="4"/>
      <c r="KD23" s="4"/>
      <c r="KE23" s="4"/>
      <c r="KF23" s="4"/>
      <c r="KG23" s="4"/>
      <c r="KH23" s="4"/>
      <c r="KI23" s="4"/>
      <c r="KJ23" s="4"/>
      <c r="KK23" s="4"/>
      <c r="KL23" s="4"/>
      <c r="KM23" s="4"/>
      <c r="KN23" s="4"/>
      <c r="KO23" s="4"/>
      <c r="KP23" s="4"/>
      <c r="KQ23" s="4"/>
      <c r="KR23" s="4"/>
      <c r="KS23" s="4"/>
      <c r="KT23" s="4"/>
      <c r="KU23" s="4"/>
      <c r="KV23" s="4"/>
      <c r="KW23" s="4"/>
      <c r="KX23" s="4"/>
      <c r="KY23" s="4"/>
      <c r="KZ23" s="4"/>
      <c r="LA23" s="4"/>
      <c r="LB23" s="4"/>
      <c r="LC23" s="4"/>
      <c r="LD23" s="4"/>
      <c r="LE23" s="4"/>
      <c r="LF23" s="4"/>
      <c r="LG23" s="4"/>
      <c r="LH23" s="4"/>
      <c r="LI23" s="4"/>
      <c r="LJ23" s="4"/>
      <c r="LK23" s="4"/>
      <c r="LL23" s="4"/>
      <c r="LM23" s="4"/>
      <c r="LN23" s="4"/>
      <c r="LO23" s="4"/>
      <c r="LP23" s="4"/>
      <c r="LQ23" s="4"/>
      <c r="LR23" s="4"/>
      <c r="LS23" s="4"/>
      <c r="LT23" s="4"/>
      <c r="LU23" s="4"/>
      <c r="LV23" s="4"/>
      <c r="LW23" s="4"/>
      <c r="LX23" s="4"/>
      <c r="LY23" s="4"/>
      <c r="LZ23" s="4"/>
      <c r="MA23" s="4"/>
      <c r="MB23" s="4"/>
      <c r="MC23" s="4"/>
      <c r="MD23" s="4"/>
      <c r="ME23" s="4"/>
      <c r="MF23" s="4"/>
      <c r="MG23" s="4"/>
      <c r="MH23" s="4"/>
      <c r="MI23" s="4"/>
      <c r="MJ23" s="4"/>
      <c r="MK23" s="4"/>
      <c r="ML23" s="4"/>
      <c r="MM23" s="4"/>
      <c r="MN23" s="4"/>
      <c r="MO23" s="4"/>
      <c r="MP23" s="4"/>
    </row>
    <row r="24" spans="1:354">
      <c r="A24" s="4"/>
      <c r="B24" s="4"/>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c r="GH24" s="4"/>
      <c r="GI24" s="4"/>
      <c r="GJ24" s="4"/>
      <c r="GK24" s="4"/>
      <c r="GL24" s="4"/>
      <c r="GM24" s="4"/>
      <c r="GN24" s="4"/>
      <c r="GO24" s="4"/>
      <c r="GP24" s="4"/>
      <c r="GQ24" s="4"/>
      <c r="GR24" s="4"/>
      <c r="GS24" s="4"/>
      <c r="GT24" s="4"/>
      <c r="GU24" s="4"/>
      <c r="GV24" s="4"/>
      <c r="GW24" s="4"/>
      <c r="GX24" s="4"/>
      <c r="GY24" s="4"/>
      <c r="GZ24" s="4"/>
      <c r="HA24" s="4"/>
      <c r="HB24" s="4"/>
      <c r="HC24" s="4"/>
      <c r="HD24" s="4"/>
      <c r="HE24" s="4"/>
      <c r="HF24" s="4"/>
      <c r="HG24" s="4"/>
      <c r="HH24" s="4"/>
      <c r="HI24" s="4"/>
      <c r="HJ24" s="4"/>
      <c r="HK24" s="4"/>
      <c r="HL24" s="4"/>
      <c r="HM24" s="4"/>
      <c r="HN24" s="4"/>
      <c r="HO24" s="4"/>
      <c r="HP24" s="4"/>
      <c r="HQ24" s="4"/>
      <c r="HR24" s="4"/>
      <c r="HS24" s="4"/>
      <c r="HT24" s="4"/>
      <c r="HU24" s="4"/>
      <c r="HV24" s="4"/>
      <c r="HW24" s="4"/>
      <c r="HX24" s="4"/>
      <c r="HY24" s="4"/>
      <c r="HZ24" s="4"/>
      <c r="IA24" s="4"/>
      <c r="IB24" s="4"/>
      <c r="IC24" s="4"/>
      <c r="ID24" s="4"/>
      <c r="IE24" s="4"/>
      <c r="IF24" s="4"/>
      <c r="IG24" s="4"/>
      <c r="IH24" s="4"/>
      <c r="II24" s="4"/>
      <c r="IJ24" s="4"/>
      <c r="IK24" s="4"/>
      <c r="IL24" s="4"/>
      <c r="IM24" s="4"/>
      <c r="IN24" s="4"/>
      <c r="IO24" s="4"/>
      <c r="IP24" s="4"/>
      <c r="IQ24" s="4"/>
      <c r="IR24" s="4"/>
      <c r="IS24" s="4"/>
      <c r="IT24" s="4"/>
      <c r="IU24" s="4"/>
      <c r="IV24" s="4"/>
      <c r="IW24" s="4"/>
      <c r="IX24" s="4"/>
      <c r="IY24" s="4"/>
      <c r="IZ24" s="4"/>
      <c r="JA24" s="4"/>
      <c r="JB24" s="4"/>
      <c r="JC24" s="4"/>
      <c r="JD24" s="4"/>
      <c r="JE24" s="4"/>
      <c r="JF24" s="4"/>
      <c r="JG24" s="4"/>
      <c r="JH24" s="4"/>
      <c r="JI24" s="4"/>
      <c r="JJ24" s="4"/>
      <c r="JK24" s="4"/>
      <c r="JL24" s="4"/>
      <c r="JM24" s="4"/>
      <c r="JN24" s="4"/>
      <c r="JO24" s="4"/>
      <c r="JP24" s="4"/>
      <c r="JQ24" s="4"/>
      <c r="JR24" s="4"/>
      <c r="JS24" s="4"/>
      <c r="JT24" s="4"/>
      <c r="JU24" s="4"/>
      <c r="JV24" s="4"/>
      <c r="JW24" s="4"/>
      <c r="JX24" s="4"/>
      <c r="JY24" s="4"/>
      <c r="JZ24" s="4"/>
      <c r="KA24" s="4"/>
      <c r="KB24" s="4"/>
      <c r="KC24" s="4"/>
      <c r="KD24" s="4"/>
      <c r="KE24" s="4"/>
      <c r="KF24" s="4"/>
      <c r="KG24" s="4"/>
      <c r="KH24" s="4"/>
      <c r="KI24" s="4"/>
      <c r="KJ24" s="4"/>
      <c r="KK24" s="4"/>
      <c r="KL24" s="4"/>
      <c r="KM24" s="4"/>
      <c r="KN24" s="4"/>
      <c r="KO24" s="4"/>
      <c r="KP24" s="4"/>
      <c r="KQ24" s="4"/>
      <c r="KR24" s="4"/>
      <c r="KS24" s="4"/>
      <c r="KT24" s="4"/>
      <c r="KU24" s="4"/>
      <c r="KV24" s="4"/>
      <c r="KW24" s="4"/>
      <c r="KX24" s="4"/>
      <c r="KY24" s="4"/>
      <c r="KZ24" s="4"/>
      <c r="LA24" s="4"/>
      <c r="LB24" s="4"/>
      <c r="LC24" s="4"/>
      <c r="LD24" s="4"/>
      <c r="LE24" s="4"/>
      <c r="LF24" s="4"/>
      <c r="LG24" s="4"/>
      <c r="LH24" s="4"/>
      <c r="LI24" s="4"/>
      <c r="LJ24" s="4"/>
      <c r="LK24" s="4"/>
      <c r="LL24" s="4"/>
      <c r="LM24" s="4"/>
      <c r="LN24" s="4"/>
      <c r="LO24" s="4"/>
      <c r="LP24" s="4"/>
      <c r="LQ24" s="4"/>
      <c r="LR24" s="4"/>
      <c r="LS24" s="4"/>
      <c r="LT24" s="4"/>
      <c r="LU24" s="4"/>
      <c r="LV24" s="4"/>
      <c r="LW24" s="4"/>
      <c r="LX24" s="4"/>
      <c r="LY24" s="4"/>
      <c r="LZ24" s="4"/>
      <c r="MA24" s="4"/>
      <c r="MB24" s="4"/>
      <c r="MC24" s="4"/>
      <c r="MD24" s="4"/>
      <c r="ME24" s="4"/>
      <c r="MF24" s="4"/>
      <c r="MG24" s="4"/>
      <c r="MH24" s="4"/>
      <c r="MI24" s="4"/>
      <c r="MJ24" s="4"/>
      <c r="MK24" s="4"/>
      <c r="ML24" s="4"/>
      <c r="MM24" s="4"/>
      <c r="MN24" s="4"/>
      <c r="MO24" s="4"/>
      <c r="MP24" s="4"/>
    </row>
    <row r="25" spans="1:354">
      <c r="A25" s="4"/>
      <c r="B25" s="4"/>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c r="GH25" s="4"/>
      <c r="GI25" s="4"/>
      <c r="GJ25" s="4"/>
      <c r="GK25" s="4"/>
      <c r="GL25" s="4"/>
      <c r="GM25" s="4"/>
      <c r="GN25" s="4"/>
      <c r="GO25" s="4"/>
      <c r="GP25" s="4"/>
      <c r="GQ25" s="4"/>
      <c r="GR25" s="4"/>
      <c r="GS25" s="4"/>
      <c r="GT25" s="4"/>
      <c r="GU25" s="4"/>
      <c r="GV25" s="4"/>
      <c r="GW25" s="4"/>
      <c r="GX25" s="4"/>
      <c r="GY25" s="4"/>
      <c r="GZ25" s="4"/>
      <c r="HA25" s="4"/>
      <c r="HB25" s="4"/>
      <c r="HC25" s="4"/>
      <c r="HD25" s="4"/>
      <c r="HE25" s="4"/>
      <c r="HF25" s="4"/>
      <c r="HG25" s="4"/>
      <c r="HH25" s="4"/>
      <c r="HI25" s="4"/>
      <c r="HJ25" s="4"/>
      <c r="HK25" s="4"/>
      <c r="HL25" s="4"/>
      <c r="HM25" s="4"/>
      <c r="HN25" s="4"/>
      <c r="HO25" s="4"/>
      <c r="HP25" s="4"/>
      <c r="HQ25" s="4"/>
      <c r="HR25" s="4"/>
      <c r="HS25" s="4"/>
      <c r="HT25" s="4"/>
      <c r="HU25" s="4"/>
      <c r="HV25" s="4"/>
      <c r="HW25" s="4"/>
      <c r="HX25" s="4"/>
      <c r="HY25" s="4"/>
      <c r="HZ25" s="4"/>
      <c r="IA25" s="4"/>
      <c r="IB25" s="4"/>
      <c r="IC25" s="4"/>
      <c r="ID25" s="4"/>
      <c r="IE25" s="4"/>
      <c r="IF25" s="4"/>
      <c r="IG25" s="4"/>
      <c r="IH25" s="4"/>
      <c r="II25" s="4"/>
      <c r="IJ25" s="4"/>
      <c r="IK25" s="4"/>
      <c r="IL25" s="4"/>
      <c r="IM25" s="4"/>
      <c r="IN25" s="4"/>
      <c r="IO25" s="4"/>
      <c r="IP25" s="4"/>
      <c r="IQ25" s="4"/>
      <c r="IR25" s="4"/>
      <c r="IS25" s="4"/>
      <c r="IT25" s="4"/>
      <c r="IU25" s="4"/>
      <c r="IV25" s="4"/>
      <c r="IW25" s="4"/>
      <c r="IX25" s="4"/>
      <c r="IY25" s="4"/>
      <c r="IZ25" s="4"/>
      <c r="JA25" s="4"/>
      <c r="JB25" s="4"/>
      <c r="JC25" s="4"/>
      <c r="JD25" s="4"/>
      <c r="JE25" s="4"/>
      <c r="JF25" s="4"/>
      <c r="JG25" s="4"/>
      <c r="JH25" s="4"/>
      <c r="JI25" s="4"/>
      <c r="JJ25" s="4"/>
      <c r="JK25" s="4"/>
      <c r="JL25" s="4"/>
      <c r="JM25" s="4"/>
      <c r="JN25" s="4"/>
      <c r="JO25" s="4"/>
      <c r="JP25" s="4"/>
      <c r="JQ25" s="4"/>
      <c r="JR25" s="4"/>
      <c r="JS25" s="4"/>
      <c r="JT25" s="4"/>
      <c r="JU25" s="4"/>
      <c r="JV25" s="4"/>
      <c r="JW25" s="4"/>
      <c r="JX25" s="4"/>
      <c r="JY25" s="4"/>
      <c r="JZ25" s="4"/>
      <c r="KA25" s="4"/>
      <c r="KB25" s="4"/>
      <c r="KC25" s="4"/>
      <c r="KD25" s="4"/>
      <c r="KE25" s="4"/>
      <c r="KF25" s="4"/>
      <c r="KG25" s="4"/>
      <c r="KH25" s="4"/>
      <c r="KI25" s="4"/>
      <c r="KJ25" s="4"/>
      <c r="KK25" s="4"/>
      <c r="KL25" s="4"/>
      <c r="KM25" s="4"/>
      <c r="KN25" s="4"/>
      <c r="KO25" s="4"/>
      <c r="KP25" s="4"/>
      <c r="KQ25" s="4"/>
      <c r="KR25" s="4"/>
      <c r="KS25" s="4"/>
      <c r="KT25" s="4"/>
      <c r="KU25" s="4"/>
      <c r="KV25" s="4"/>
      <c r="KW25" s="4"/>
      <c r="KX25" s="4"/>
      <c r="KY25" s="4"/>
      <c r="KZ25" s="4"/>
      <c r="LA25" s="4"/>
      <c r="LB25" s="4"/>
      <c r="LC25" s="4"/>
      <c r="LD25" s="4"/>
      <c r="LE25" s="4"/>
      <c r="LF25" s="4"/>
      <c r="LG25" s="4"/>
      <c r="LH25" s="4"/>
      <c r="LI25" s="4"/>
      <c r="LJ25" s="4"/>
      <c r="LK25" s="4"/>
      <c r="LL25" s="4"/>
      <c r="LM25" s="4"/>
      <c r="LN25" s="4"/>
      <c r="LO25" s="4"/>
      <c r="LP25" s="4"/>
      <c r="LQ25" s="4"/>
      <c r="LR25" s="4"/>
      <c r="LS25" s="4"/>
      <c r="LT25" s="4"/>
      <c r="LU25" s="4"/>
      <c r="LV25" s="4"/>
      <c r="LW25" s="4"/>
      <c r="LX25" s="4"/>
      <c r="LY25" s="4"/>
      <c r="LZ25" s="4"/>
      <c r="MA25" s="4"/>
      <c r="MB25" s="4"/>
      <c r="MC25" s="4"/>
      <c r="MD25" s="4"/>
      <c r="ME25" s="4"/>
      <c r="MF25" s="4"/>
      <c r="MG25" s="4"/>
      <c r="MH25" s="4"/>
      <c r="MI25" s="4"/>
      <c r="MJ25" s="4"/>
      <c r="MK25" s="4"/>
      <c r="ML25" s="4"/>
      <c r="MM25" s="4"/>
      <c r="MN25" s="4"/>
      <c r="MO25" s="4"/>
      <c r="MP25" s="4"/>
    </row>
    <row r="26" spans="1:354">
      <c r="A26" s="4"/>
      <c r="B26" s="4"/>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c r="GH26" s="4"/>
      <c r="GI26" s="4"/>
      <c r="GJ26" s="4"/>
      <c r="GK26" s="4"/>
      <c r="GL26" s="4"/>
      <c r="GM26" s="4"/>
      <c r="GN26" s="4"/>
      <c r="GO26" s="4"/>
      <c r="GP26" s="4"/>
      <c r="GQ26" s="4"/>
      <c r="GR26" s="4"/>
      <c r="GS26" s="4"/>
      <c r="GT26" s="4"/>
      <c r="GU26" s="4"/>
      <c r="GV26" s="4"/>
      <c r="GW26" s="4"/>
      <c r="GX26" s="4"/>
      <c r="GY26" s="4"/>
      <c r="GZ26" s="4"/>
      <c r="HA26" s="4"/>
      <c r="HB26" s="4"/>
      <c r="HC26" s="4"/>
      <c r="HD26" s="4"/>
      <c r="HE26" s="4"/>
      <c r="HF26" s="4"/>
      <c r="HG26" s="4"/>
      <c r="HH26" s="4"/>
      <c r="HI26" s="4"/>
      <c r="HJ26" s="4"/>
      <c r="HK26" s="4"/>
      <c r="HL26" s="4"/>
      <c r="HM26" s="4"/>
      <c r="HN26" s="4"/>
      <c r="HO26" s="4"/>
      <c r="HP26" s="4"/>
      <c r="HQ26" s="4"/>
      <c r="HR26" s="4"/>
      <c r="HS26" s="4"/>
      <c r="HT26" s="4"/>
      <c r="HU26" s="4"/>
      <c r="HV26" s="4"/>
      <c r="HW26" s="4"/>
      <c r="HX26" s="4"/>
      <c r="HY26" s="4"/>
      <c r="HZ26" s="4"/>
      <c r="IA26" s="4"/>
      <c r="IB26" s="4"/>
      <c r="IC26" s="4"/>
      <c r="ID26" s="4"/>
      <c r="IE26" s="4"/>
      <c r="IF26" s="4"/>
      <c r="IG26" s="4"/>
      <c r="IH26" s="4"/>
      <c r="II26" s="4"/>
      <c r="IJ26" s="4"/>
      <c r="IK26" s="4"/>
      <c r="IL26" s="4"/>
      <c r="IM26" s="4"/>
      <c r="IN26" s="4"/>
      <c r="IO26" s="4"/>
      <c r="IP26" s="4"/>
      <c r="IQ26" s="4"/>
      <c r="IR26" s="4"/>
      <c r="IS26" s="4"/>
      <c r="IT26" s="4"/>
      <c r="IU26" s="4"/>
      <c r="IV26" s="4"/>
      <c r="IW26" s="4"/>
      <c r="IX26" s="4"/>
      <c r="IY26" s="4"/>
      <c r="IZ26" s="4"/>
      <c r="JA26" s="4"/>
      <c r="JB26" s="4"/>
      <c r="JC26" s="4"/>
      <c r="JD26" s="4"/>
      <c r="JE26" s="4"/>
      <c r="JF26" s="4"/>
      <c r="JG26" s="4"/>
      <c r="JH26" s="4"/>
      <c r="JI26" s="4"/>
      <c r="JJ26" s="4"/>
      <c r="JK26" s="4"/>
      <c r="JL26" s="4"/>
      <c r="JM26" s="4"/>
      <c r="JN26" s="4"/>
      <c r="JO26" s="4"/>
      <c r="JP26" s="4"/>
      <c r="JQ26" s="4"/>
      <c r="JR26" s="4"/>
      <c r="JS26" s="4"/>
      <c r="JT26" s="4"/>
      <c r="JU26" s="4"/>
      <c r="JV26" s="4"/>
      <c r="JW26" s="4"/>
      <c r="JX26" s="4"/>
      <c r="JY26" s="4"/>
      <c r="JZ26" s="4"/>
      <c r="KA26" s="4"/>
      <c r="KB26" s="4"/>
      <c r="KC26" s="4"/>
      <c r="KD26" s="4"/>
      <c r="KE26" s="4"/>
      <c r="KF26" s="4"/>
      <c r="KG26" s="4"/>
      <c r="KH26" s="4"/>
      <c r="KI26" s="4"/>
      <c r="KJ26" s="4"/>
      <c r="KK26" s="4"/>
      <c r="KL26" s="4"/>
      <c r="KM26" s="4"/>
      <c r="KN26" s="4"/>
      <c r="KO26" s="4"/>
      <c r="KP26" s="4"/>
      <c r="KQ26" s="4"/>
      <c r="KR26" s="4"/>
      <c r="KS26" s="4"/>
      <c r="KT26" s="4"/>
      <c r="KU26" s="4"/>
      <c r="KV26" s="4"/>
      <c r="KW26" s="4"/>
      <c r="KX26" s="4"/>
      <c r="KY26" s="4"/>
      <c r="KZ26" s="4"/>
      <c r="LA26" s="4"/>
      <c r="LB26" s="4"/>
      <c r="LC26" s="4"/>
      <c r="LD26" s="4"/>
      <c r="LE26" s="4"/>
      <c r="LF26" s="4"/>
      <c r="LG26" s="4"/>
      <c r="LH26" s="4"/>
      <c r="LI26" s="4"/>
      <c r="LJ26" s="4"/>
      <c r="LK26" s="4"/>
      <c r="LL26" s="4"/>
      <c r="LM26" s="4"/>
      <c r="LN26" s="4"/>
      <c r="LO26" s="4"/>
      <c r="LP26" s="4"/>
      <c r="LQ26" s="4"/>
      <c r="LR26" s="4"/>
      <c r="LS26" s="4"/>
      <c r="LT26" s="4"/>
      <c r="LU26" s="4"/>
      <c r="LV26" s="4"/>
      <c r="LW26" s="4"/>
      <c r="LX26" s="4"/>
      <c r="LY26" s="4"/>
      <c r="LZ26" s="4"/>
      <c r="MA26" s="4"/>
      <c r="MB26" s="4"/>
      <c r="MC26" s="4"/>
      <c r="MD26" s="4"/>
      <c r="ME26" s="4"/>
      <c r="MF26" s="4"/>
      <c r="MG26" s="4"/>
      <c r="MH26" s="4"/>
      <c r="MI26" s="4"/>
      <c r="MJ26" s="4"/>
      <c r="MK26" s="4"/>
      <c r="ML26" s="4"/>
      <c r="MM26" s="4"/>
      <c r="MN26" s="4"/>
      <c r="MO26" s="4"/>
      <c r="MP26" s="4"/>
    </row>
    <row r="27" spans="1:354">
      <c r="A27" s="4"/>
      <c r="B27" s="4"/>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c r="GH27" s="4"/>
      <c r="GI27" s="4"/>
      <c r="GJ27" s="4"/>
      <c r="GK27" s="4"/>
      <c r="GL27" s="4"/>
      <c r="GM27" s="4"/>
      <c r="GN27" s="4"/>
      <c r="GO27" s="4"/>
      <c r="GP27" s="4"/>
      <c r="GQ27" s="4"/>
      <c r="GR27" s="4"/>
      <c r="GS27" s="4"/>
      <c r="GT27" s="4"/>
      <c r="GU27" s="4"/>
      <c r="GV27" s="4"/>
      <c r="GW27" s="4"/>
      <c r="GX27" s="4"/>
      <c r="GY27" s="4"/>
      <c r="GZ27" s="4"/>
      <c r="HA27" s="4"/>
      <c r="HB27" s="4"/>
      <c r="HC27" s="4"/>
      <c r="HD27" s="4"/>
      <c r="HE27" s="4"/>
      <c r="HF27" s="4"/>
      <c r="HG27" s="4"/>
      <c r="HH27" s="4"/>
      <c r="HI27" s="4"/>
      <c r="HJ27" s="4"/>
      <c r="HK27" s="4"/>
      <c r="HL27" s="4"/>
      <c r="HM27" s="4"/>
      <c r="HN27" s="4"/>
      <c r="HO27" s="4"/>
      <c r="HP27" s="4"/>
      <c r="HQ27" s="4"/>
      <c r="HR27" s="4"/>
      <c r="HS27" s="4"/>
      <c r="HT27" s="4"/>
      <c r="HU27" s="4"/>
      <c r="HV27" s="4"/>
      <c r="HW27" s="4"/>
      <c r="HX27" s="4"/>
      <c r="HY27" s="4"/>
      <c r="HZ27" s="4"/>
      <c r="IA27" s="4"/>
      <c r="IB27" s="4"/>
      <c r="IC27" s="4"/>
      <c r="ID27" s="4"/>
      <c r="IE27" s="4"/>
      <c r="IF27" s="4"/>
      <c r="IG27" s="4"/>
      <c r="IH27" s="4"/>
      <c r="II27" s="4"/>
      <c r="IJ27" s="4"/>
      <c r="IK27" s="4"/>
      <c r="IL27" s="4"/>
      <c r="IM27" s="4"/>
      <c r="IN27" s="4"/>
      <c r="IO27" s="4"/>
      <c r="IP27" s="4"/>
      <c r="IQ27" s="4"/>
      <c r="IR27" s="4"/>
      <c r="IS27" s="4"/>
      <c r="IT27" s="4"/>
      <c r="IU27" s="4"/>
      <c r="IV27" s="4"/>
      <c r="IW27" s="4"/>
      <c r="IX27" s="4"/>
      <c r="IY27" s="4"/>
      <c r="IZ27" s="4"/>
      <c r="JA27" s="4"/>
      <c r="JB27" s="4"/>
      <c r="JC27" s="4"/>
      <c r="JD27" s="4"/>
      <c r="JE27" s="4"/>
      <c r="JF27" s="4"/>
      <c r="JG27" s="4"/>
      <c r="JH27" s="4"/>
      <c r="JI27" s="4"/>
      <c r="JJ27" s="4"/>
      <c r="JK27" s="4"/>
      <c r="JL27" s="4"/>
      <c r="JM27" s="4"/>
      <c r="JN27" s="4"/>
      <c r="JO27" s="4"/>
      <c r="JP27" s="4"/>
      <c r="JQ27" s="4"/>
      <c r="JR27" s="4"/>
      <c r="JS27" s="4"/>
      <c r="JT27" s="4"/>
      <c r="JU27" s="4"/>
      <c r="JV27" s="4"/>
      <c r="JW27" s="4"/>
      <c r="JX27" s="4"/>
      <c r="JY27" s="4"/>
      <c r="JZ27" s="4"/>
      <c r="KA27" s="4"/>
      <c r="KB27" s="4"/>
      <c r="KC27" s="4"/>
      <c r="KD27" s="4"/>
      <c r="KE27" s="4"/>
      <c r="KF27" s="4"/>
      <c r="KG27" s="4"/>
      <c r="KH27" s="4"/>
      <c r="KI27" s="4"/>
      <c r="KJ27" s="4"/>
      <c r="KK27" s="4"/>
      <c r="KL27" s="4"/>
      <c r="KM27" s="4"/>
      <c r="KN27" s="4"/>
      <c r="KO27" s="4"/>
      <c r="KP27" s="4"/>
      <c r="KQ27" s="4"/>
      <c r="KR27" s="4"/>
      <c r="KS27" s="4"/>
      <c r="KT27" s="4"/>
      <c r="KU27" s="4"/>
      <c r="KV27" s="4"/>
      <c r="KW27" s="4"/>
      <c r="KX27" s="4"/>
      <c r="KY27" s="4"/>
      <c r="KZ27" s="4"/>
      <c r="LA27" s="4"/>
      <c r="LB27" s="4"/>
      <c r="LC27" s="4"/>
      <c r="LD27" s="4"/>
      <c r="LE27" s="4"/>
      <c r="LF27" s="4"/>
      <c r="LG27" s="4"/>
      <c r="LH27" s="4"/>
      <c r="LI27" s="4"/>
      <c r="LJ27" s="4"/>
      <c r="LK27" s="4"/>
      <c r="LL27" s="4"/>
      <c r="LM27" s="4"/>
      <c r="LN27" s="4"/>
      <c r="LO27" s="4"/>
      <c r="LP27" s="4"/>
      <c r="LQ27" s="4"/>
      <c r="LR27" s="4"/>
      <c r="LS27" s="4"/>
      <c r="LT27" s="4"/>
      <c r="LU27" s="4"/>
      <c r="LV27" s="4"/>
      <c r="LW27" s="4"/>
      <c r="LX27" s="4"/>
      <c r="LY27" s="4"/>
      <c r="LZ27" s="4"/>
      <c r="MA27" s="4"/>
      <c r="MB27" s="4"/>
      <c r="MC27" s="4"/>
      <c r="MD27" s="4"/>
      <c r="ME27" s="4"/>
      <c r="MF27" s="4"/>
      <c r="MG27" s="4"/>
      <c r="MH27" s="4"/>
      <c r="MI27" s="4"/>
      <c r="MJ27" s="4"/>
      <c r="MK27" s="4"/>
      <c r="ML27" s="4"/>
      <c r="MM27" s="4"/>
      <c r="MN27" s="4"/>
      <c r="MO27" s="4"/>
      <c r="MP27" s="4"/>
    </row>
    <row r="28" spans="1:354">
      <c r="A28" s="4"/>
      <c r="B28" s="4"/>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c r="GH28" s="4"/>
      <c r="GI28" s="4"/>
      <c r="GJ28" s="4"/>
      <c r="GK28" s="4"/>
      <c r="GL28" s="4"/>
      <c r="GM28" s="4"/>
      <c r="GN28" s="4"/>
      <c r="GO28" s="4"/>
      <c r="GP28" s="4"/>
      <c r="GQ28" s="4"/>
      <c r="GR28" s="4"/>
      <c r="GS28" s="4"/>
      <c r="GT28" s="4"/>
      <c r="GU28" s="4"/>
      <c r="GV28" s="4"/>
      <c r="GW28" s="4"/>
      <c r="GX28" s="4"/>
      <c r="GY28" s="4"/>
      <c r="GZ28" s="4"/>
      <c r="HA28" s="4"/>
      <c r="HB28" s="4"/>
      <c r="HC28" s="4"/>
      <c r="HD28" s="4"/>
      <c r="HE28" s="4"/>
      <c r="HF28" s="4"/>
      <c r="HG28" s="4"/>
      <c r="HH28" s="4"/>
      <c r="HI28" s="4"/>
      <c r="HJ28" s="4"/>
      <c r="HK28" s="4"/>
      <c r="HL28" s="4"/>
      <c r="HM28" s="4"/>
      <c r="HN28" s="4"/>
      <c r="HO28" s="4"/>
      <c r="HP28" s="4"/>
      <c r="HQ28" s="4"/>
      <c r="HR28" s="4"/>
      <c r="HS28" s="4"/>
      <c r="HT28" s="4"/>
      <c r="HU28" s="4"/>
      <c r="HV28" s="4"/>
      <c r="HW28" s="4"/>
      <c r="HX28" s="4"/>
      <c r="HY28" s="4"/>
      <c r="HZ28" s="4"/>
      <c r="IA28" s="4"/>
      <c r="IB28" s="4"/>
      <c r="IC28" s="4"/>
      <c r="ID28" s="4"/>
      <c r="IE28" s="4"/>
      <c r="IF28" s="4"/>
      <c r="IG28" s="4"/>
      <c r="IH28" s="4"/>
      <c r="II28" s="4"/>
      <c r="IJ28" s="4"/>
      <c r="IK28" s="4"/>
      <c r="IL28" s="4"/>
      <c r="IM28" s="4"/>
      <c r="IN28" s="4"/>
      <c r="IO28" s="4"/>
      <c r="IP28" s="4"/>
      <c r="IQ28" s="4"/>
      <c r="IR28" s="4"/>
      <c r="IS28" s="4"/>
      <c r="IT28" s="4"/>
      <c r="IU28" s="4"/>
      <c r="IV28" s="4"/>
      <c r="IW28" s="4"/>
      <c r="IX28" s="4"/>
      <c r="IY28" s="4"/>
      <c r="IZ28" s="4"/>
      <c r="JA28" s="4"/>
      <c r="JB28" s="4"/>
      <c r="JC28" s="4"/>
      <c r="JD28" s="4"/>
      <c r="JE28" s="4"/>
      <c r="JF28" s="4"/>
      <c r="JG28" s="4"/>
      <c r="JH28" s="4"/>
      <c r="JI28" s="4"/>
      <c r="JJ28" s="4"/>
      <c r="JK28" s="4"/>
      <c r="JL28" s="4"/>
      <c r="JM28" s="4"/>
      <c r="JN28" s="4"/>
      <c r="JO28" s="4"/>
      <c r="JP28" s="4"/>
      <c r="JQ28" s="4"/>
      <c r="JR28" s="4"/>
      <c r="JS28" s="4"/>
      <c r="JT28" s="4"/>
      <c r="JU28" s="4"/>
      <c r="JV28" s="4"/>
      <c r="JW28" s="4"/>
      <c r="JX28" s="4"/>
      <c r="JY28" s="4"/>
      <c r="JZ28" s="4"/>
      <c r="KA28" s="4"/>
      <c r="KB28" s="4"/>
      <c r="KC28" s="4"/>
      <c r="KD28" s="4"/>
      <c r="KE28" s="4"/>
      <c r="KF28" s="4"/>
      <c r="KG28" s="4"/>
      <c r="KH28" s="4"/>
      <c r="KI28" s="4"/>
      <c r="KJ28" s="4"/>
      <c r="KK28" s="4"/>
      <c r="KL28" s="4"/>
      <c r="KM28" s="4"/>
      <c r="KN28" s="4"/>
      <c r="KO28" s="4"/>
      <c r="KP28" s="4"/>
      <c r="KQ28" s="4"/>
      <c r="KR28" s="4"/>
      <c r="KS28" s="4"/>
      <c r="KT28" s="4"/>
      <c r="KU28" s="4"/>
      <c r="KV28" s="4"/>
      <c r="KW28" s="4"/>
      <c r="KX28" s="4"/>
      <c r="KY28" s="4"/>
      <c r="KZ28" s="4"/>
      <c r="LA28" s="4"/>
      <c r="LB28" s="4"/>
      <c r="LC28" s="4"/>
      <c r="LD28" s="4"/>
      <c r="LE28" s="4"/>
      <c r="LF28" s="4"/>
      <c r="LG28" s="4"/>
      <c r="LH28" s="4"/>
      <c r="LI28" s="4"/>
      <c r="LJ28" s="4"/>
      <c r="LK28" s="4"/>
      <c r="LL28" s="4"/>
      <c r="LM28" s="4"/>
      <c r="LN28" s="4"/>
      <c r="LO28" s="4"/>
      <c r="LP28" s="4"/>
      <c r="LQ28" s="4"/>
      <c r="LR28" s="4"/>
      <c r="LS28" s="4"/>
      <c r="LT28" s="4"/>
      <c r="LU28" s="4"/>
      <c r="LV28" s="4"/>
      <c r="LW28" s="4"/>
      <c r="LX28" s="4"/>
      <c r="LY28" s="4"/>
      <c r="LZ28" s="4"/>
      <c r="MA28" s="4"/>
      <c r="MB28" s="4"/>
      <c r="MC28" s="4"/>
      <c r="MD28" s="4"/>
      <c r="ME28" s="4"/>
      <c r="MF28" s="4"/>
      <c r="MG28" s="4"/>
      <c r="MH28" s="4"/>
      <c r="MI28" s="4"/>
      <c r="MJ28" s="4"/>
      <c r="MK28" s="4"/>
      <c r="ML28" s="4"/>
      <c r="MM28" s="4"/>
      <c r="MN28" s="4"/>
      <c r="MO28" s="4"/>
      <c r="MP28" s="4"/>
    </row>
    <row r="29" spans="1:354">
      <c r="A29" s="4"/>
      <c r="B29" s="4"/>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c r="GH29" s="4"/>
      <c r="GI29" s="4"/>
      <c r="GJ29" s="4"/>
      <c r="GK29" s="4"/>
      <c r="GL29" s="4"/>
      <c r="GM29" s="4"/>
      <c r="GN29" s="4"/>
      <c r="GO29" s="4"/>
      <c r="GP29" s="4"/>
      <c r="GQ29" s="4"/>
      <c r="GR29" s="4"/>
      <c r="GS29" s="4"/>
      <c r="GT29" s="4"/>
      <c r="GU29" s="4"/>
      <c r="GV29" s="4"/>
      <c r="GW29" s="4"/>
      <c r="GX29" s="4"/>
      <c r="GY29" s="4"/>
      <c r="GZ29" s="4"/>
      <c r="HA29" s="4"/>
      <c r="HB29" s="4"/>
      <c r="HC29" s="4"/>
      <c r="HD29" s="4"/>
      <c r="HE29" s="4"/>
      <c r="HF29" s="4"/>
      <c r="HG29" s="4"/>
      <c r="HH29" s="4"/>
      <c r="HI29" s="4"/>
      <c r="HJ29" s="4"/>
      <c r="HK29" s="4"/>
      <c r="HL29" s="4"/>
      <c r="HM29" s="4"/>
      <c r="HN29" s="4"/>
      <c r="HO29" s="4"/>
      <c r="HP29" s="4"/>
      <c r="HQ29" s="4"/>
      <c r="HR29" s="4"/>
      <c r="HS29" s="4"/>
      <c r="HT29" s="4"/>
      <c r="HU29" s="4"/>
      <c r="HV29" s="4"/>
      <c r="HW29" s="4"/>
      <c r="HX29" s="4"/>
      <c r="HY29" s="4"/>
      <c r="HZ29" s="4"/>
      <c r="IA29" s="4"/>
      <c r="IB29" s="4"/>
      <c r="IC29" s="4"/>
      <c r="ID29" s="4"/>
      <c r="IE29" s="4"/>
      <c r="IF29" s="4"/>
      <c r="IG29" s="4"/>
      <c r="IH29" s="4"/>
      <c r="II29" s="4"/>
      <c r="IJ29" s="4"/>
      <c r="IK29" s="4"/>
      <c r="IL29" s="4"/>
      <c r="IM29" s="4"/>
      <c r="IN29" s="4"/>
      <c r="IO29" s="4"/>
      <c r="IP29" s="4"/>
      <c r="IQ29" s="4"/>
      <c r="IR29" s="4"/>
      <c r="IS29" s="4"/>
      <c r="IT29" s="4"/>
      <c r="IU29" s="4"/>
      <c r="IV29" s="4"/>
      <c r="IW29" s="4"/>
      <c r="IX29" s="4"/>
      <c r="IY29" s="4"/>
      <c r="IZ29" s="4"/>
      <c r="JA29" s="4"/>
      <c r="JB29" s="4"/>
      <c r="JC29" s="4"/>
      <c r="JD29" s="4"/>
      <c r="JE29" s="4"/>
      <c r="JF29" s="4"/>
      <c r="JG29" s="4"/>
      <c r="JH29" s="4"/>
      <c r="JI29" s="4"/>
      <c r="JJ29" s="4"/>
      <c r="JK29" s="4"/>
      <c r="JL29" s="4"/>
      <c r="JM29" s="4"/>
      <c r="JN29" s="4"/>
      <c r="JO29" s="4"/>
      <c r="JP29" s="4"/>
      <c r="JQ29" s="4"/>
      <c r="JR29" s="4"/>
      <c r="JS29" s="4"/>
      <c r="JT29" s="4"/>
      <c r="JU29" s="4"/>
      <c r="JV29" s="4"/>
      <c r="JW29" s="4"/>
      <c r="JX29" s="4"/>
      <c r="JY29" s="4"/>
      <c r="JZ29" s="4"/>
      <c r="KA29" s="4"/>
      <c r="KB29" s="4"/>
      <c r="KC29" s="4"/>
      <c r="KD29" s="4"/>
      <c r="KE29" s="4"/>
      <c r="KF29" s="4"/>
      <c r="KG29" s="4"/>
      <c r="KH29" s="4"/>
      <c r="KI29" s="4"/>
      <c r="KJ29" s="4"/>
      <c r="KK29" s="4"/>
      <c r="KL29" s="4"/>
      <c r="KM29" s="4"/>
      <c r="KN29" s="4"/>
      <c r="KO29" s="4"/>
      <c r="KP29" s="4"/>
      <c r="KQ29" s="4"/>
      <c r="KR29" s="4"/>
      <c r="KS29" s="4"/>
      <c r="KT29" s="4"/>
      <c r="KU29" s="4"/>
      <c r="KV29" s="4"/>
      <c r="KW29" s="4"/>
      <c r="KX29" s="4"/>
      <c r="KY29" s="4"/>
      <c r="KZ29" s="4"/>
      <c r="LA29" s="4"/>
      <c r="LB29" s="4"/>
      <c r="LC29" s="4"/>
      <c r="LD29" s="4"/>
      <c r="LE29" s="4"/>
      <c r="LF29" s="4"/>
      <c r="LG29" s="4"/>
      <c r="LH29" s="4"/>
      <c r="LI29" s="4"/>
      <c r="LJ29" s="4"/>
      <c r="LK29" s="4"/>
      <c r="LL29" s="4"/>
      <c r="LM29" s="4"/>
      <c r="LN29" s="4"/>
      <c r="LO29" s="4"/>
      <c r="LP29" s="4"/>
      <c r="LQ29" s="4"/>
      <c r="LR29" s="4"/>
      <c r="LS29" s="4"/>
      <c r="LT29" s="4"/>
      <c r="LU29" s="4"/>
      <c r="LV29" s="4"/>
      <c r="LW29" s="4"/>
      <c r="LX29" s="4"/>
      <c r="LY29" s="4"/>
      <c r="LZ29" s="4"/>
      <c r="MA29" s="4"/>
      <c r="MB29" s="4"/>
      <c r="MC29" s="4"/>
      <c r="MD29" s="4"/>
      <c r="ME29" s="4"/>
      <c r="MF29" s="4"/>
      <c r="MG29" s="4"/>
      <c r="MH29" s="4"/>
      <c r="MI29" s="4"/>
      <c r="MJ29" s="4"/>
      <c r="MK29" s="4"/>
      <c r="ML29" s="4"/>
      <c r="MM29" s="4"/>
      <c r="MN29" s="4"/>
      <c r="MO29" s="4"/>
      <c r="MP29" s="4"/>
    </row>
    <row r="30" spans="1:354">
      <c r="A30" s="4"/>
      <c r="B30" s="4"/>
      <c r="C30" s="4"/>
      <c r="D30" s="4"/>
      <c r="E30" s="4"/>
      <c r="F30" s="4"/>
      <c r="G30" s="4"/>
      <c r="H30" s="4"/>
      <c r="I30" s="4"/>
      <c r="J30" s="4"/>
      <c r="K30" s="4"/>
      <c r="L30" s="4"/>
      <c r="M30" s="4"/>
      <c r="N30" s="4"/>
      <c r="O30" s="4"/>
      <c r="P30" s="4"/>
      <c r="Q30" s="4"/>
      <c r="R30" s="4"/>
      <c r="S30" s="4"/>
      <c r="T30" s="4"/>
      <c r="U30" s="4"/>
      <c r="V30" s="4"/>
      <c r="W30" s="4"/>
      <c r="X30" s="4"/>
      <c r="Y30" s="4"/>
      <c r="Z30" s="4"/>
      <c r="AA30" s="4"/>
      <c r="AB30" s="4"/>
      <c r="AC30" s="4"/>
      <c r="AD30" s="4"/>
      <c r="AE30" s="4"/>
      <c r="AF30" s="4"/>
      <c r="AG30" s="4"/>
      <c r="AH30" s="4"/>
      <c r="AI30" s="4"/>
      <c r="AJ30" s="4"/>
      <c r="AK30" s="4"/>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c r="GH30" s="4"/>
      <c r="GI30" s="4"/>
      <c r="GJ30" s="4"/>
      <c r="GK30" s="4"/>
      <c r="GL30" s="4"/>
      <c r="GM30" s="4"/>
      <c r="GN30" s="4"/>
      <c r="GO30" s="4"/>
      <c r="GP30" s="4"/>
      <c r="GQ30" s="4"/>
      <c r="GR30" s="4"/>
      <c r="GS30" s="4"/>
      <c r="GT30" s="4"/>
      <c r="GU30" s="4"/>
      <c r="GV30" s="4"/>
      <c r="GW30" s="4"/>
      <c r="GX30" s="4"/>
      <c r="GY30" s="4"/>
      <c r="GZ30" s="4"/>
      <c r="HA30" s="4"/>
      <c r="HB30" s="4"/>
      <c r="HC30" s="4"/>
      <c r="HD30" s="4"/>
      <c r="HE30" s="4"/>
      <c r="HF30" s="4"/>
      <c r="HG30" s="4"/>
      <c r="HH30" s="4"/>
      <c r="HI30" s="4"/>
      <c r="HJ30" s="4"/>
      <c r="HK30" s="4"/>
      <c r="HL30" s="4"/>
      <c r="HM30" s="4"/>
      <c r="HN30" s="4"/>
      <c r="HO30" s="4"/>
      <c r="HP30" s="4"/>
      <c r="HQ30" s="4"/>
      <c r="HR30" s="4"/>
      <c r="HS30" s="4"/>
      <c r="HT30" s="4"/>
      <c r="HU30" s="4"/>
      <c r="HV30" s="4"/>
      <c r="HW30" s="4"/>
      <c r="HX30" s="4"/>
      <c r="HY30" s="4"/>
      <c r="HZ30" s="4"/>
      <c r="IA30" s="4"/>
      <c r="IB30" s="4"/>
      <c r="IC30" s="4"/>
      <c r="ID30" s="4"/>
      <c r="IE30" s="4"/>
      <c r="IF30" s="4"/>
      <c r="IG30" s="4"/>
      <c r="IH30" s="4"/>
      <c r="II30" s="4"/>
      <c r="IJ30" s="4"/>
      <c r="IK30" s="4"/>
      <c r="IL30" s="4"/>
      <c r="IM30" s="4"/>
      <c r="IN30" s="4"/>
      <c r="IO30" s="4"/>
      <c r="IP30" s="4"/>
      <c r="IQ30" s="4"/>
      <c r="IR30" s="4"/>
      <c r="IS30" s="4"/>
      <c r="IT30" s="4"/>
      <c r="IU30" s="4"/>
      <c r="IV30" s="4"/>
      <c r="IW30" s="4"/>
      <c r="IX30" s="4"/>
      <c r="IY30" s="4"/>
      <c r="IZ30" s="4"/>
      <c r="JA30" s="4"/>
      <c r="JB30" s="4"/>
      <c r="JC30" s="4"/>
      <c r="JD30" s="4"/>
      <c r="JE30" s="4"/>
      <c r="JF30" s="4"/>
      <c r="JG30" s="4"/>
      <c r="JH30" s="4"/>
      <c r="JI30" s="4"/>
      <c r="JJ30" s="4"/>
      <c r="JK30" s="4"/>
      <c r="JL30" s="4"/>
      <c r="JM30" s="4"/>
      <c r="JN30" s="4"/>
      <c r="JO30" s="4"/>
      <c r="JP30" s="4"/>
      <c r="JQ30" s="4"/>
      <c r="JR30" s="4"/>
      <c r="JS30" s="4"/>
      <c r="JT30" s="4"/>
      <c r="JU30" s="4"/>
      <c r="JV30" s="4"/>
      <c r="JW30" s="4"/>
      <c r="JX30" s="4"/>
      <c r="JY30" s="4"/>
      <c r="JZ30" s="4"/>
      <c r="KA30" s="4"/>
      <c r="KB30" s="4"/>
      <c r="KC30" s="4"/>
      <c r="KD30" s="4"/>
      <c r="KE30" s="4"/>
      <c r="KF30" s="4"/>
      <c r="KG30" s="4"/>
      <c r="KH30" s="4"/>
      <c r="KI30" s="4"/>
      <c r="KJ30" s="4"/>
      <c r="KK30" s="4"/>
      <c r="KL30" s="4"/>
      <c r="KM30" s="4"/>
      <c r="KN30" s="4"/>
      <c r="KO30" s="4"/>
      <c r="KP30" s="4"/>
      <c r="KQ30" s="4"/>
      <c r="KR30" s="4"/>
      <c r="KS30" s="4"/>
      <c r="KT30" s="4"/>
      <c r="KU30" s="4"/>
      <c r="KV30" s="4"/>
      <c r="KW30" s="4"/>
      <c r="KX30" s="4"/>
      <c r="KY30" s="4"/>
      <c r="KZ30" s="4"/>
      <c r="LA30" s="4"/>
      <c r="LB30" s="4"/>
      <c r="LC30" s="4"/>
      <c r="LD30" s="4"/>
      <c r="LE30" s="4"/>
      <c r="LF30" s="4"/>
      <c r="LG30" s="4"/>
      <c r="LH30" s="4"/>
      <c r="LI30" s="4"/>
      <c r="LJ30" s="4"/>
      <c r="LK30" s="4"/>
      <c r="LL30" s="4"/>
      <c r="LM30" s="4"/>
      <c r="LN30" s="4"/>
      <c r="LO30" s="4"/>
      <c r="LP30" s="4"/>
      <c r="LQ30" s="4"/>
      <c r="LR30" s="4"/>
      <c r="LS30" s="4"/>
      <c r="LT30" s="4"/>
      <c r="LU30" s="4"/>
      <c r="LV30" s="4"/>
      <c r="LW30" s="4"/>
      <c r="LX30" s="4"/>
      <c r="LY30" s="4"/>
      <c r="LZ30" s="4"/>
      <c r="MA30" s="4"/>
      <c r="MB30" s="4"/>
      <c r="MC30" s="4"/>
      <c r="MD30" s="4"/>
      <c r="ME30" s="4"/>
      <c r="MF30" s="4"/>
      <c r="MG30" s="4"/>
      <c r="MH30" s="4"/>
      <c r="MI30" s="4"/>
      <c r="MJ30" s="4"/>
      <c r="MK30" s="4"/>
      <c r="ML30" s="4"/>
      <c r="MM30" s="4"/>
      <c r="MN30" s="4"/>
      <c r="MO30" s="4"/>
      <c r="MP30" s="4"/>
    </row>
    <row r="31" spans="1:354">
      <c r="A31" s="4"/>
      <c r="B31" s="4"/>
      <c r="C31" s="4"/>
      <c r="D31" s="4"/>
      <c r="E31" s="4"/>
      <c r="F31" s="4"/>
      <c r="G31" s="4"/>
      <c r="H31" s="4"/>
      <c r="I31" s="4"/>
      <c r="J31" s="4"/>
      <c r="K31" s="4"/>
      <c r="L31" s="4"/>
      <c r="M31" s="4"/>
      <c r="N31" s="4"/>
      <c r="O31" s="4"/>
      <c r="P31" s="4"/>
      <c r="Q31" s="4"/>
      <c r="R31" s="4"/>
      <c r="S31" s="4"/>
      <c r="T31" s="4"/>
      <c r="U31" s="4"/>
      <c r="V31" s="4"/>
      <c r="W31" s="4"/>
      <c r="X31" s="4"/>
      <c r="Y31" s="4"/>
      <c r="Z31" s="4"/>
      <c r="AA31" s="4"/>
      <c r="AB31" s="4"/>
      <c r="AC31" s="4"/>
      <c r="AD31" s="4"/>
      <c r="AE31" s="4"/>
      <c r="AF31" s="4"/>
      <c r="AG31" s="4"/>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c r="GH31" s="4"/>
      <c r="GI31" s="4"/>
      <c r="GJ31" s="4"/>
      <c r="GK31" s="4"/>
      <c r="GL31" s="4"/>
      <c r="GM31" s="4"/>
      <c r="GN31" s="4"/>
      <c r="GO31" s="4"/>
      <c r="GP31" s="4"/>
      <c r="GQ31" s="4"/>
      <c r="GR31" s="4"/>
      <c r="GS31" s="4"/>
      <c r="GT31" s="4"/>
      <c r="GU31" s="4"/>
      <c r="GV31" s="4"/>
      <c r="GW31" s="4"/>
      <c r="GX31" s="4"/>
      <c r="GY31" s="4"/>
      <c r="GZ31" s="4"/>
      <c r="HA31" s="4"/>
      <c r="HB31" s="4"/>
      <c r="HC31" s="4"/>
      <c r="HD31" s="4"/>
      <c r="HE31" s="4"/>
      <c r="HF31" s="4"/>
      <c r="HG31" s="4"/>
      <c r="HH31" s="4"/>
      <c r="HI31" s="4"/>
      <c r="HJ31" s="4"/>
      <c r="HK31" s="4"/>
      <c r="HL31" s="4"/>
      <c r="HM31" s="4"/>
      <c r="HN31" s="4"/>
      <c r="HO31" s="4"/>
      <c r="HP31" s="4"/>
      <c r="HQ31" s="4"/>
      <c r="HR31" s="4"/>
      <c r="HS31" s="4"/>
      <c r="HT31" s="4"/>
      <c r="HU31" s="4"/>
      <c r="HV31" s="4"/>
      <c r="HW31" s="4"/>
      <c r="HX31" s="4"/>
      <c r="HY31" s="4"/>
      <c r="HZ31" s="4"/>
      <c r="IA31" s="4"/>
      <c r="IB31" s="4"/>
      <c r="IC31" s="4"/>
      <c r="ID31" s="4"/>
      <c r="IE31" s="4"/>
      <c r="IF31" s="4"/>
      <c r="IG31" s="4"/>
      <c r="IH31" s="4"/>
      <c r="II31" s="4"/>
      <c r="IJ31" s="4"/>
      <c r="IK31" s="4"/>
      <c r="IL31" s="4"/>
      <c r="IM31" s="4"/>
      <c r="IN31" s="4"/>
      <c r="IO31" s="4"/>
      <c r="IP31" s="4"/>
      <c r="IQ31" s="4"/>
      <c r="IR31" s="4"/>
      <c r="IS31" s="4"/>
      <c r="IT31" s="4"/>
      <c r="IU31" s="4"/>
      <c r="IV31" s="4"/>
      <c r="IW31" s="4"/>
      <c r="IX31" s="4"/>
      <c r="IY31" s="4"/>
      <c r="IZ31" s="4"/>
      <c r="JA31" s="4"/>
      <c r="JB31" s="4"/>
      <c r="JC31" s="4"/>
      <c r="JD31" s="4"/>
      <c r="JE31" s="4"/>
      <c r="JF31" s="4"/>
      <c r="JG31" s="4"/>
      <c r="JH31" s="4"/>
      <c r="JI31" s="4"/>
      <c r="JJ31" s="4"/>
      <c r="JK31" s="4"/>
      <c r="JL31" s="4"/>
      <c r="JM31" s="4"/>
      <c r="JN31" s="4"/>
      <c r="JO31" s="4"/>
      <c r="JP31" s="4"/>
      <c r="JQ31" s="4"/>
      <c r="JR31" s="4"/>
      <c r="JS31" s="4"/>
      <c r="JT31" s="4"/>
      <c r="JU31" s="4"/>
      <c r="JV31" s="4"/>
      <c r="JW31" s="4"/>
      <c r="JX31" s="4"/>
      <c r="JY31" s="4"/>
      <c r="JZ31" s="4"/>
      <c r="KA31" s="4"/>
      <c r="KB31" s="4"/>
      <c r="KC31" s="4"/>
      <c r="KD31" s="4"/>
      <c r="KE31" s="4"/>
      <c r="KF31" s="4"/>
      <c r="KG31" s="4"/>
      <c r="KH31" s="4"/>
      <c r="KI31" s="4"/>
      <c r="KJ31" s="4"/>
      <c r="KK31" s="4"/>
      <c r="KL31" s="4"/>
      <c r="KM31" s="4"/>
      <c r="KN31" s="4"/>
      <c r="KO31" s="4"/>
      <c r="KP31" s="4"/>
      <c r="KQ31" s="4"/>
      <c r="KR31" s="4"/>
      <c r="KS31" s="4"/>
      <c r="KT31" s="4"/>
      <c r="KU31" s="4"/>
      <c r="KV31" s="4"/>
      <c r="KW31" s="4"/>
      <c r="KX31" s="4"/>
      <c r="KY31" s="4"/>
      <c r="KZ31" s="4"/>
      <c r="LA31" s="4"/>
      <c r="LB31" s="4"/>
      <c r="LC31" s="4"/>
      <c r="LD31" s="4"/>
      <c r="LE31" s="4"/>
      <c r="LF31" s="4"/>
      <c r="LG31" s="4"/>
      <c r="LH31" s="4"/>
      <c r="LI31" s="4"/>
      <c r="LJ31" s="4"/>
      <c r="LK31" s="4"/>
      <c r="LL31" s="4"/>
      <c r="LM31" s="4"/>
      <c r="LN31" s="4"/>
      <c r="LO31" s="4"/>
      <c r="LP31" s="4"/>
      <c r="LQ31" s="4"/>
      <c r="LR31" s="4"/>
      <c r="LS31" s="4"/>
      <c r="LT31" s="4"/>
      <c r="LU31" s="4"/>
      <c r="LV31" s="4"/>
      <c r="LW31" s="4"/>
      <c r="LX31" s="4"/>
      <c r="LY31" s="4"/>
      <c r="LZ31" s="4"/>
      <c r="MA31" s="4"/>
      <c r="MB31" s="4"/>
      <c r="MC31" s="4"/>
      <c r="MD31" s="4"/>
      <c r="ME31" s="4"/>
      <c r="MF31" s="4"/>
      <c r="MG31" s="4"/>
      <c r="MH31" s="4"/>
      <c r="MI31" s="4"/>
      <c r="MJ31" s="4"/>
      <c r="MK31" s="4"/>
      <c r="ML31" s="4"/>
      <c r="MM31" s="4"/>
      <c r="MN31" s="4"/>
      <c r="MO31" s="4"/>
      <c r="MP31" s="4"/>
    </row>
    <row r="32" spans="1:354">
      <c r="A32" s="4"/>
      <c r="B32" s="4"/>
      <c r="C32" s="4"/>
      <c r="D32" s="4"/>
      <c r="E32" s="4"/>
      <c r="F32" s="4"/>
      <c r="G32" s="4"/>
      <c r="H32" s="4"/>
      <c r="I32" s="4"/>
      <c r="J32" s="4"/>
      <c r="K32" s="4"/>
      <c r="L32" s="4"/>
      <c r="M32" s="4"/>
      <c r="N32" s="4"/>
      <c r="O32" s="4"/>
      <c r="P32" s="4"/>
      <c r="Q32" s="4"/>
      <c r="R32" s="4"/>
      <c r="S32" s="4"/>
      <c r="T32" s="4"/>
      <c r="U32" s="4"/>
      <c r="V32" s="4"/>
      <c r="W32" s="4"/>
      <c r="X32" s="4"/>
      <c r="Y32" s="4"/>
      <c r="Z32" s="4"/>
      <c r="AA32" s="4"/>
      <c r="AB32" s="4"/>
      <c r="AC32" s="4"/>
      <c r="AD32" s="4"/>
      <c r="AE32" s="4"/>
      <c r="AF32" s="4"/>
      <c r="AG32" s="4"/>
      <c r="AH32" s="4"/>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c r="GH32" s="4"/>
      <c r="GI32" s="4"/>
      <c r="GJ32" s="4"/>
      <c r="GK32" s="4"/>
      <c r="GL32" s="4"/>
      <c r="GM32" s="4"/>
      <c r="GN32" s="4"/>
      <c r="GO32" s="4"/>
      <c r="GP32" s="4"/>
      <c r="GQ32" s="4"/>
      <c r="GR32" s="4"/>
      <c r="GS32" s="4"/>
      <c r="GT32" s="4"/>
      <c r="GU32" s="4"/>
      <c r="GV32" s="4"/>
      <c r="GW32" s="4"/>
      <c r="GX32" s="4"/>
      <c r="GY32" s="4"/>
      <c r="GZ32" s="4"/>
      <c r="HA32" s="4"/>
      <c r="HB32" s="4"/>
      <c r="HC32" s="4"/>
      <c r="HD32" s="4"/>
      <c r="HE32" s="4"/>
      <c r="HF32" s="4"/>
      <c r="HG32" s="4"/>
      <c r="HH32" s="4"/>
      <c r="HI32" s="4"/>
      <c r="HJ32" s="4"/>
      <c r="HK32" s="4"/>
      <c r="HL32" s="4"/>
      <c r="HM32" s="4"/>
      <c r="HN32" s="4"/>
      <c r="HO32" s="4"/>
      <c r="HP32" s="4"/>
      <c r="HQ32" s="4"/>
      <c r="HR32" s="4"/>
      <c r="HS32" s="4"/>
      <c r="HT32" s="4"/>
      <c r="HU32" s="4"/>
      <c r="HV32" s="4"/>
      <c r="HW32" s="4"/>
      <c r="HX32" s="4"/>
      <c r="HY32" s="4"/>
      <c r="HZ32" s="4"/>
      <c r="IA32" s="4"/>
      <c r="IB32" s="4"/>
      <c r="IC32" s="4"/>
      <c r="ID32" s="4"/>
      <c r="IE32" s="4"/>
      <c r="IF32" s="4"/>
      <c r="IG32" s="4"/>
      <c r="IH32" s="4"/>
      <c r="II32" s="4"/>
      <c r="IJ32" s="4"/>
      <c r="IK32" s="4"/>
      <c r="IL32" s="4"/>
      <c r="IM32" s="4"/>
      <c r="IN32" s="4"/>
      <c r="IO32" s="4"/>
      <c r="IP32" s="4"/>
      <c r="IQ32" s="4"/>
      <c r="IR32" s="4"/>
      <c r="IS32" s="4"/>
      <c r="IT32" s="4"/>
      <c r="IU32" s="4"/>
      <c r="IV32" s="4"/>
      <c r="IW32" s="4"/>
      <c r="IX32" s="4"/>
      <c r="IY32" s="4"/>
      <c r="IZ32" s="4"/>
      <c r="JA32" s="4"/>
      <c r="JB32" s="4"/>
      <c r="JC32" s="4"/>
      <c r="JD32" s="4"/>
      <c r="JE32" s="4"/>
      <c r="JF32" s="4"/>
      <c r="JG32" s="4"/>
      <c r="JH32" s="4"/>
      <c r="JI32" s="4"/>
      <c r="JJ32" s="4"/>
      <c r="JK32" s="4"/>
      <c r="JL32" s="4"/>
      <c r="JM32" s="4"/>
      <c r="JN32" s="4"/>
      <c r="JO32" s="4"/>
      <c r="JP32" s="4"/>
      <c r="JQ32" s="4"/>
      <c r="JR32" s="4"/>
      <c r="JS32" s="4"/>
      <c r="JT32" s="4"/>
      <c r="JU32" s="4"/>
      <c r="JV32" s="4"/>
      <c r="JW32" s="4"/>
      <c r="JX32" s="4"/>
      <c r="JY32" s="4"/>
      <c r="JZ32" s="4"/>
      <c r="KA32" s="4"/>
      <c r="KB32" s="4"/>
      <c r="KC32" s="4"/>
      <c r="KD32" s="4"/>
      <c r="KE32" s="4"/>
      <c r="KF32" s="4"/>
      <c r="KG32" s="4"/>
      <c r="KH32" s="4"/>
      <c r="KI32" s="4"/>
      <c r="KJ32" s="4"/>
      <c r="KK32" s="4"/>
      <c r="KL32" s="4"/>
      <c r="KM32" s="4"/>
      <c r="KN32" s="4"/>
      <c r="KO32" s="4"/>
      <c r="KP32" s="4"/>
      <c r="KQ32" s="4"/>
      <c r="KR32" s="4"/>
      <c r="KS32" s="4"/>
      <c r="KT32" s="4"/>
      <c r="KU32" s="4"/>
      <c r="KV32" s="4"/>
      <c r="KW32" s="4"/>
      <c r="KX32" s="4"/>
      <c r="KY32" s="4"/>
      <c r="KZ32" s="4"/>
      <c r="LA32" s="4"/>
      <c r="LB32" s="4"/>
      <c r="LC32" s="4"/>
      <c r="LD32" s="4"/>
      <c r="LE32" s="4"/>
      <c r="LF32" s="4"/>
      <c r="LG32" s="4"/>
      <c r="LH32" s="4"/>
      <c r="LI32" s="4"/>
      <c r="LJ32" s="4"/>
      <c r="LK32" s="4"/>
      <c r="LL32" s="4"/>
      <c r="LM32" s="4"/>
      <c r="LN32" s="4"/>
      <c r="LO32" s="4"/>
      <c r="LP32" s="4"/>
      <c r="LQ32" s="4"/>
      <c r="LR32" s="4"/>
      <c r="LS32" s="4"/>
      <c r="LT32" s="4"/>
      <c r="LU32" s="4"/>
      <c r="LV32" s="4"/>
      <c r="LW32" s="4"/>
      <c r="LX32" s="4"/>
      <c r="LY32" s="4"/>
      <c r="LZ32" s="4"/>
      <c r="MA32" s="4"/>
      <c r="MB32" s="4"/>
      <c r="MC32" s="4"/>
      <c r="MD32" s="4"/>
      <c r="ME32" s="4"/>
      <c r="MF32" s="4"/>
      <c r="MG32" s="4"/>
      <c r="MH32" s="4"/>
      <c r="MI32" s="4"/>
      <c r="MJ32" s="4"/>
      <c r="MK32" s="4"/>
      <c r="ML32" s="4"/>
      <c r="MM32" s="4"/>
      <c r="MN32" s="4"/>
      <c r="MO32" s="4"/>
      <c r="MP32" s="4"/>
    </row>
    <row r="33" spans="1:354">
      <c r="A33" s="4"/>
      <c r="B33" s="4"/>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c r="GH33" s="4"/>
      <c r="GI33" s="4"/>
      <c r="GJ33" s="4"/>
      <c r="GK33" s="4"/>
      <c r="GL33" s="4"/>
      <c r="GM33" s="4"/>
      <c r="GN33" s="4"/>
      <c r="GO33" s="4"/>
      <c r="GP33" s="4"/>
      <c r="GQ33" s="4"/>
      <c r="GR33" s="4"/>
      <c r="GS33" s="4"/>
      <c r="GT33" s="4"/>
      <c r="GU33" s="4"/>
      <c r="GV33" s="4"/>
      <c r="GW33" s="4"/>
      <c r="GX33" s="4"/>
      <c r="GY33" s="4"/>
      <c r="GZ33" s="4"/>
      <c r="HA33" s="4"/>
      <c r="HB33" s="4"/>
      <c r="HC33" s="4"/>
      <c r="HD33" s="4"/>
      <c r="HE33" s="4"/>
      <c r="HF33" s="4"/>
      <c r="HG33" s="4"/>
      <c r="HH33" s="4"/>
      <c r="HI33" s="4"/>
      <c r="HJ33" s="4"/>
      <c r="HK33" s="4"/>
      <c r="HL33" s="4"/>
      <c r="HM33" s="4"/>
      <c r="HN33" s="4"/>
      <c r="HO33" s="4"/>
      <c r="HP33" s="4"/>
      <c r="HQ33" s="4"/>
      <c r="HR33" s="4"/>
      <c r="HS33" s="4"/>
      <c r="HT33" s="4"/>
      <c r="HU33" s="4"/>
      <c r="HV33" s="4"/>
      <c r="HW33" s="4"/>
      <c r="HX33" s="4"/>
      <c r="HY33" s="4"/>
      <c r="HZ33" s="4"/>
      <c r="IA33" s="4"/>
      <c r="IB33" s="4"/>
      <c r="IC33" s="4"/>
      <c r="ID33" s="4"/>
      <c r="IE33" s="4"/>
      <c r="IF33" s="4"/>
      <c r="IG33" s="4"/>
      <c r="IH33" s="4"/>
      <c r="II33" s="4"/>
      <c r="IJ33" s="4"/>
      <c r="IK33" s="4"/>
      <c r="IL33" s="4"/>
      <c r="IM33" s="4"/>
      <c r="IN33" s="4"/>
      <c r="IO33" s="4"/>
      <c r="IP33" s="4"/>
      <c r="IQ33" s="4"/>
      <c r="IR33" s="4"/>
      <c r="IS33" s="4"/>
      <c r="IT33" s="4"/>
      <c r="IU33" s="4"/>
      <c r="IV33" s="4"/>
      <c r="IW33" s="4"/>
      <c r="IX33" s="4"/>
      <c r="IY33" s="4"/>
      <c r="IZ33" s="4"/>
      <c r="JA33" s="4"/>
      <c r="JB33" s="4"/>
      <c r="JC33" s="4"/>
      <c r="JD33" s="4"/>
      <c r="JE33" s="4"/>
      <c r="JF33" s="4"/>
      <c r="JG33" s="4"/>
      <c r="JH33" s="4"/>
      <c r="JI33" s="4"/>
      <c r="JJ33" s="4"/>
      <c r="JK33" s="4"/>
      <c r="JL33" s="4"/>
      <c r="JM33" s="4"/>
      <c r="JN33" s="4"/>
      <c r="JO33" s="4"/>
      <c r="JP33" s="4"/>
      <c r="JQ33" s="4"/>
      <c r="JR33" s="4"/>
      <c r="JS33" s="4"/>
      <c r="JT33" s="4"/>
      <c r="JU33" s="4"/>
      <c r="JV33" s="4"/>
      <c r="JW33" s="4"/>
      <c r="JX33" s="4"/>
      <c r="JY33" s="4"/>
      <c r="JZ33" s="4"/>
      <c r="KA33" s="4"/>
      <c r="KB33" s="4"/>
      <c r="KC33" s="4"/>
      <c r="KD33" s="4"/>
      <c r="KE33" s="4"/>
      <c r="KF33" s="4"/>
      <c r="KG33" s="4"/>
      <c r="KH33" s="4"/>
      <c r="KI33" s="4"/>
      <c r="KJ33" s="4"/>
      <c r="KK33" s="4"/>
      <c r="KL33" s="4"/>
      <c r="KM33" s="4"/>
      <c r="KN33" s="4"/>
      <c r="KO33" s="4"/>
      <c r="KP33" s="4"/>
      <c r="KQ33" s="4"/>
      <c r="KR33" s="4"/>
      <c r="KS33" s="4"/>
      <c r="KT33" s="4"/>
      <c r="KU33" s="4"/>
      <c r="KV33" s="4"/>
      <c r="KW33" s="4"/>
      <c r="KX33" s="4"/>
      <c r="KY33" s="4"/>
      <c r="KZ33" s="4"/>
      <c r="LA33" s="4"/>
      <c r="LB33" s="4"/>
      <c r="LC33" s="4"/>
      <c r="LD33" s="4"/>
      <c r="LE33" s="4"/>
      <c r="LF33" s="4"/>
      <c r="LG33" s="4"/>
      <c r="LH33" s="4"/>
      <c r="LI33" s="4"/>
      <c r="LJ33" s="4"/>
      <c r="LK33" s="4"/>
      <c r="LL33" s="4"/>
      <c r="LM33" s="4"/>
      <c r="LN33" s="4"/>
      <c r="LO33" s="4"/>
      <c r="LP33" s="4"/>
      <c r="LQ33" s="4"/>
      <c r="LR33" s="4"/>
      <c r="LS33" s="4"/>
      <c r="LT33" s="4"/>
      <c r="LU33" s="4"/>
      <c r="LV33" s="4"/>
      <c r="LW33" s="4"/>
      <c r="LX33" s="4"/>
      <c r="LY33" s="4"/>
      <c r="LZ33" s="4"/>
      <c r="MA33" s="4"/>
      <c r="MB33" s="4"/>
      <c r="MC33" s="4"/>
      <c r="MD33" s="4"/>
      <c r="ME33" s="4"/>
      <c r="MF33" s="4"/>
      <c r="MG33" s="4"/>
      <c r="MH33" s="4"/>
      <c r="MI33" s="4"/>
      <c r="MJ33" s="4"/>
      <c r="MK33" s="4"/>
      <c r="ML33" s="4"/>
      <c r="MM33" s="4"/>
      <c r="MN33" s="4"/>
      <c r="MO33" s="4"/>
      <c r="MP33" s="4"/>
    </row>
    <row r="34" spans="1:354">
      <c r="A34" s="4"/>
      <c r="B34" s="4"/>
      <c r="C34" s="4"/>
      <c r="D34" s="4"/>
      <c r="E34" s="4"/>
      <c r="F34" s="4"/>
      <c r="G34" s="4"/>
      <c r="H34" s="4"/>
      <c r="I34" s="4"/>
      <c r="J34" s="4"/>
      <c r="K34" s="4"/>
      <c r="L34" s="4"/>
      <c r="M34" s="4"/>
      <c r="N34" s="4"/>
      <c r="O34" s="4"/>
      <c r="P34" s="4"/>
      <c r="Q34" s="4"/>
      <c r="R34" s="4"/>
      <c r="S34" s="4"/>
      <c r="T34" s="4"/>
      <c r="U34" s="4"/>
      <c r="V34" s="4"/>
      <c r="W34" s="4"/>
      <c r="X34" s="4"/>
      <c r="Y34" s="4"/>
      <c r="Z34" s="4"/>
      <c r="AA34" s="4"/>
      <c r="AB34" s="4"/>
      <c r="AC34" s="4"/>
      <c r="AD34" s="4"/>
      <c r="AE34" s="4"/>
      <c r="AF34" s="4"/>
      <c r="AG34" s="4"/>
      <c r="AH34" s="4"/>
      <c r="AI34" s="4"/>
      <c r="AJ34" s="4"/>
      <c r="AK34" s="4"/>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c r="GH34" s="4"/>
      <c r="GI34" s="4"/>
      <c r="GJ34" s="4"/>
      <c r="GK34" s="4"/>
      <c r="GL34" s="4"/>
      <c r="GM34" s="4"/>
      <c r="GN34" s="4"/>
      <c r="GO34" s="4"/>
      <c r="GP34" s="4"/>
      <c r="GQ34" s="4"/>
      <c r="GR34" s="4"/>
      <c r="GS34" s="4"/>
      <c r="GT34" s="4"/>
      <c r="GU34" s="4"/>
      <c r="GV34" s="4"/>
      <c r="GW34" s="4"/>
      <c r="GX34" s="4"/>
      <c r="GY34" s="4"/>
      <c r="GZ34" s="4"/>
      <c r="HA34" s="4"/>
      <c r="HB34" s="4"/>
      <c r="HC34" s="4"/>
      <c r="HD34" s="4"/>
      <c r="HE34" s="4"/>
      <c r="HF34" s="4"/>
      <c r="HG34" s="4"/>
      <c r="HH34" s="4"/>
      <c r="HI34" s="4"/>
      <c r="HJ34" s="4"/>
      <c r="HK34" s="4"/>
      <c r="HL34" s="4"/>
      <c r="HM34" s="4"/>
      <c r="HN34" s="4"/>
      <c r="HO34" s="4"/>
      <c r="HP34" s="4"/>
      <c r="HQ34" s="4"/>
      <c r="HR34" s="4"/>
      <c r="HS34" s="4"/>
      <c r="HT34" s="4"/>
      <c r="HU34" s="4"/>
      <c r="HV34" s="4"/>
      <c r="HW34" s="4"/>
      <c r="HX34" s="4"/>
      <c r="HY34" s="4"/>
      <c r="HZ34" s="4"/>
      <c r="IA34" s="4"/>
      <c r="IB34" s="4"/>
      <c r="IC34" s="4"/>
      <c r="ID34" s="4"/>
      <c r="IE34" s="4"/>
      <c r="IF34" s="4"/>
      <c r="IG34" s="4"/>
      <c r="IH34" s="4"/>
      <c r="II34" s="4"/>
      <c r="IJ34" s="4"/>
      <c r="IK34" s="4"/>
      <c r="IL34" s="4"/>
      <c r="IM34" s="4"/>
      <c r="IN34" s="4"/>
      <c r="IO34" s="4"/>
      <c r="IP34" s="4"/>
      <c r="IQ34" s="4"/>
      <c r="IR34" s="4"/>
      <c r="IS34" s="4"/>
      <c r="IT34" s="4"/>
      <c r="IU34" s="4"/>
      <c r="IV34" s="4"/>
      <c r="IW34" s="4"/>
      <c r="IX34" s="4"/>
      <c r="IY34" s="4"/>
      <c r="IZ34" s="4"/>
      <c r="JA34" s="4"/>
      <c r="JB34" s="4"/>
      <c r="JC34" s="4"/>
      <c r="JD34" s="4"/>
      <c r="JE34" s="4"/>
      <c r="JF34" s="4"/>
      <c r="JG34" s="4"/>
      <c r="JH34" s="4"/>
      <c r="JI34" s="4"/>
      <c r="JJ34" s="4"/>
      <c r="JK34" s="4"/>
      <c r="JL34" s="4"/>
      <c r="JM34" s="4"/>
      <c r="JN34" s="4"/>
      <c r="JO34" s="4"/>
      <c r="JP34" s="4"/>
      <c r="JQ34" s="4"/>
      <c r="JR34" s="4"/>
      <c r="JS34" s="4"/>
      <c r="JT34" s="4"/>
      <c r="JU34" s="4"/>
      <c r="JV34" s="4"/>
      <c r="JW34" s="4"/>
      <c r="JX34" s="4"/>
      <c r="JY34" s="4"/>
      <c r="JZ34" s="4"/>
      <c r="KA34" s="4"/>
      <c r="KB34" s="4"/>
      <c r="KC34" s="4"/>
      <c r="KD34" s="4"/>
      <c r="KE34" s="4"/>
      <c r="KF34" s="4"/>
      <c r="KG34" s="4"/>
      <c r="KH34" s="4"/>
      <c r="KI34" s="4"/>
      <c r="KJ34" s="4"/>
      <c r="KK34" s="4"/>
      <c r="KL34" s="4"/>
      <c r="KM34" s="4"/>
      <c r="KN34" s="4"/>
      <c r="KO34" s="4"/>
      <c r="KP34" s="4"/>
      <c r="KQ34" s="4"/>
      <c r="KR34" s="4"/>
      <c r="KS34" s="4"/>
      <c r="KT34" s="4"/>
      <c r="KU34" s="4"/>
      <c r="KV34" s="4"/>
      <c r="KW34" s="4"/>
      <c r="KX34" s="4"/>
      <c r="KY34" s="4"/>
      <c r="KZ34" s="4"/>
      <c r="LA34" s="4"/>
      <c r="LB34" s="4"/>
      <c r="LC34" s="4"/>
      <c r="LD34" s="4"/>
      <c r="LE34" s="4"/>
      <c r="LF34" s="4"/>
      <c r="LG34" s="4"/>
      <c r="LH34" s="4"/>
      <c r="LI34" s="4"/>
      <c r="LJ34" s="4"/>
      <c r="LK34" s="4"/>
      <c r="LL34" s="4"/>
      <c r="LM34" s="4"/>
      <c r="LN34" s="4"/>
      <c r="LO34" s="4"/>
      <c r="LP34" s="4"/>
      <c r="LQ34" s="4"/>
      <c r="LR34" s="4"/>
      <c r="LS34" s="4"/>
      <c r="LT34" s="4"/>
      <c r="LU34" s="4"/>
      <c r="LV34" s="4"/>
      <c r="LW34" s="4"/>
      <c r="LX34" s="4"/>
      <c r="LY34" s="4"/>
      <c r="LZ34" s="4"/>
      <c r="MA34" s="4"/>
      <c r="MB34" s="4"/>
      <c r="MC34" s="4"/>
      <c r="MD34" s="4"/>
      <c r="ME34" s="4"/>
      <c r="MF34" s="4"/>
      <c r="MG34" s="4"/>
      <c r="MH34" s="4"/>
      <c r="MI34" s="4"/>
      <c r="MJ34" s="4"/>
      <c r="MK34" s="4"/>
      <c r="ML34" s="4"/>
      <c r="MM34" s="4"/>
      <c r="MN34" s="4"/>
      <c r="MO34" s="4"/>
      <c r="MP34" s="4"/>
    </row>
    <row r="35" spans="1:354">
      <c r="A35" s="4"/>
      <c r="B35" s="4"/>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c r="AQ35" s="4"/>
      <c r="AR35" s="4"/>
      <c r="AS35" s="4"/>
      <c r="AT35" s="4"/>
      <c r="AU35" s="4"/>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c r="GH35" s="4"/>
      <c r="GI35" s="4"/>
      <c r="GJ35" s="4"/>
      <c r="GK35" s="4"/>
      <c r="GL35" s="4"/>
      <c r="GM35" s="4"/>
      <c r="GN35" s="4"/>
      <c r="GO35" s="4"/>
      <c r="GP35" s="4"/>
      <c r="GQ35" s="4"/>
      <c r="GR35" s="4"/>
      <c r="GS35" s="4"/>
      <c r="GT35" s="4"/>
      <c r="GU35" s="4"/>
      <c r="GV35" s="4"/>
      <c r="GW35" s="4"/>
      <c r="GX35" s="4"/>
      <c r="GY35" s="4"/>
      <c r="GZ35" s="4"/>
      <c r="HA35" s="4"/>
      <c r="HB35" s="4"/>
      <c r="HC35" s="4"/>
      <c r="HD35" s="4"/>
      <c r="HE35" s="4"/>
      <c r="HF35" s="4"/>
      <c r="HG35" s="4"/>
      <c r="HH35" s="4"/>
      <c r="HI35" s="4"/>
      <c r="HJ35" s="4"/>
      <c r="HK35" s="4"/>
      <c r="HL35" s="4"/>
      <c r="HM35" s="4"/>
      <c r="HN35" s="4"/>
      <c r="HO35" s="4"/>
      <c r="HP35" s="4"/>
      <c r="HQ35" s="4"/>
      <c r="HR35" s="4"/>
      <c r="HS35" s="4"/>
      <c r="HT35" s="4"/>
      <c r="HU35" s="4"/>
      <c r="HV35" s="4"/>
      <c r="HW35" s="4"/>
      <c r="HX35" s="4"/>
      <c r="HY35" s="4"/>
      <c r="HZ35" s="4"/>
      <c r="IA35" s="4"/>
      <c r="IB35" s="4"/>
      <c r="IC35" s="4"/>
      <c r="ID35" s="4"/>
      <c r="IE35" s="4"/>
      <c r="IF35" s="4"/>
      <c r="IG35" s="4"/>
      <c r="IH35" s="4"/>
      <c r="II35" s="4"/>
      <c r="IJ35" s="4"/>
      <c r="IK35" s="4"/>
      <c r="IL35" s="4"/>
      <c r="IM35" s="4"/>
      <c r="IN35" s="4"/>
      <c r="IO35" s="4"/>
      <c r="IP35" s="4"/>
      <c r="IQ35" s="4"/>
      <c r="IR35" s="4"/>
      <c r="IS35" s="4"/>
      <c r="IT35" s="4"/>
      <c r="IU35" s="4"/>
      <c r="IV35" s="4"/>
      <c r="IW35" s="4"/>
      <c r="IX35" s="4"/>
      <c r="IY35" s="4"/>
      <c r="IZ35" s="4"/>
      <c r="JA35" s="4"/>
      <c r="JB35" s="4"/>
      <c r="JC35" s="4"/>
      <c r="JD35" s="4"/>
      <c r="JE35" s="4"/>
      <c r="JF35" s="4"/>
      <c r="JG35" s="4"/>
      <c r="JH35" s="4"/>
      <c r="JI35" s="4"/>
      <c r="JJ35" s="4"/>
      <c r="JK35" s="4"/>
      <c r="JL35" s="4"/>
      <c r="JM35" s="4"/>
      <c r="JN35" s="4"/>
      <c r="JO35" s="4"/>
      <c r="JP35" s="4"/>
      <c r="JQ35" s="4"/>
      <c r="JR35" s="4"/>
      <c r="JS35" s="4"/>
      <c r="JT35" s="4"/>
      <c r="JU35" s="4"/>
      <c r="JV35" s="4"/>
      <c r="JW35" s="4"/>
      <c r="JX35" s="4"/>
      <c r="JY35" s="4"/>
      <c r="JZ35" s="4"/>
      <c r="KA35" s="4"/>
      <c r="KB35" s="4"/>
      <c r="KC35" s="4"/>
      <c r="KD35" s="4"/>
      <c r="KE35" s="4"/>
      <c r="KF35" s="4"/>
      <c r="KG35" s="4"/>
      <c r="KH35" s="4"/>
      <c r="KI35" s="4"/>
      <c r="KJ35" s="4"/>
      <c r="KK35" s="4"/>
      <c r="KL35" s="4"/>
      <c r="KM35" s="4"/>
      <c r="KN35" s="4"/>
      <c r="KO35" s="4"/>
      <c r="KP35" s="4"/>
      <c r="KQ35" s="4"/>
      <c r="KR35" s="4"/>
      <c r="KS35" s="4"/>
      <c r="KT35" s="4"/>
      <c r="KU35" s="4"/>
      <c r="KV35" s="4"/>
      <c r="KW35" s="4"/>
      <c r="KX35" s="4"/>
      <c r="KY35" s="4"/>
      <c r="KZ35" s="4"/>
      <c r="LA35" s="4"/>
      <c r="LB35" s="4"/>
      <c r="LC35" s="4"/>
      <c r="LD35" s="4"/>
      <c r="LE35" s="4"/>
      <c r="LF35" s="4"/>
      <c r="LG35" s="4"/>
      <c r="LH35" s="4"/>
      <c r="LI35" s="4"/>
      <c r="LJ35" s="4"/>
      <c r="LK35" s="4"/>
      <c r="LL35" s="4"/>
      <c r="LM35" s="4"/>
      <c r="LN35" s="4"/>
      <c r="LO35" s="4"/>
      <c r="LP35" s="4"/>
      <c r="LQ35" s="4"/>
      <c r="LR35" s="4"/>
      <c r="LS35" s="4"/>
      <c r="LT35" s="4"/>
      <c r="LU35" s="4"/>
      <c r="LV35" s="4"/>
      <c r="LW35" s="4"/>
      <c r="LX35" s="4"/>
      <c r="LY35" s="4"/>
      <c r="LZ35" s="4"/>
      <c r="MA35" s="4"/>
      <c r="MB35" s="4"/>
      <c r="MC35" s="4"/>
      <c r="MD35" s="4"/>
      <c r="ME35" s="4"/>
      <c r="MF35" s="4"/>
      <c r="MG35" s="4"/>
      <c r="MH35" s="4"/>
      <c r="MI35" s="4"/>
      <c r="MJ35" s="4"/>
      <c r="MK35" s="4"/>
      <c r="ML35" s="4"/>
      <c r="MM35" s="4"/>
      <c r="MN35" s="4"/>
      <c r="MO35" s="4"/>
      <c r="MP35" s="4"/>
    </row>
    <row r="36" spans="1:354">
      <c r="A36" s="4"/>
      <c r="B36" s="4"/>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c r="AQ36" s="4"/>
      <c r="AR36" s="4"/>
      <c r="AS36" s="4"/>
      <c r="AT36" s="4"/>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c r="GH36" s="4"/>
      <c r="GI36" s="4"/>
      <c r="GJ36" s="4"/>
      <c r="GK36" s="4"/>
      <c r="GL36" s="4"/>
      <c r="GM36" s="4"/>
      <c r="GN36" s="4"/>
      <c r="GO36" s="4"/>
      <c r="GP36" s="4"/>
      <c r="GQ36" s="4"/>
      <c r="GR36" s="4"/>
      <c r="GS36" s="4"/>
      <c r="GT36" s="4"/>
      <c r="GU36" s="4"/>
      <c r="GV36" s="4"/>
      <c r="GW36" s="4"/>
      <c r="GX36" s="4"/>
      <c r="GY36" s="4"/>
      <c r="GZ36" s="4"/>
      <c r="HA36" s="4"/>
      <c r="HB36" s="4"/>
      <c r="HC36" s="4"/>
      <c r="HD36" s="4"/>
      <c r="HE36" s="4"/>
      <c r="HF36" s="4"/>
      <c r="HG36" s="4"/>
      <c r="HH36" s="4"/>
      <c r="HI36" s="4"/>
      <c r="HJ36" s="4"/>
      <c r="HK36" s="4"/>
      <c r="HL36" s="4"/>
      <c r="HM36" s="4"/>
      <c r="HN36" s="4"/>
      <c r="HO36" s="4"/>
      <c r="HP36" s="4"/>
      <c r="HQ36" s="4"/>
      <c r="HR36" s="4"/>
      <c r="HS36" s="4"/>
      <c r="HT36" s="4"/>
      <c r="HU36" s="4"/>
      <c r="HV36" s="4"/>
      <c r="HW36" s="4"/>
      <c r="HX36" s="4"/>
      <c r="HY36" s="4"/>
      <c r="HZ36" s="4"/>
      <c r="IA36" s="4"/>
      <c r="IB36" s="4"/>
      <c r="IC36" s="4"/>
      <c r="ID36" s="4"/>
      <c r="IE36" s="4"/>
      <c r="IF36" s="4"/>
      <c r="IG36" s="4"/>
      <c r="IH36" s="4"/>
      <c r="II36" s="4"/>
      <c r="IJ36" s="4"/>
      <c r="IK36" s="4"/>
      <c r="IL36" s="4"/>
      <c r="IM36" s="4"/>
      <c r="IN36" s="4"/>
      <c r="IO36" s="4"/>
      <c r="IP36" s="4"/>
      <c r="IQ36" s="4"/>
      <c r="IR36" s="4"/>
      <c r="IS36" s="4"/>
      <c r="IT36" s="4"/>
      <c r="IU36" s="4"/>
      <c r="IV36" s="4"/>
      <c r="IW36" s="4"/>
      <c r="IX36" s="4"/>
      <c r="IY36" s="4"/>
      <c r="IZ36" s="4"/>
      <c r="JA36" s="4"/>
      <c r="JB36" s="4"/>
      <c r="JC36" s="4"/>
      <c r="JD36" s="4"/>
      <c r="JE36" s="4"/>
      <c r="JF36" s="4"/>
      <c r="JG36" s="4"/>
      <c r="JH36" s="4"/>
      <c r="JI36" s="4"/>
      <c r="JJ36" s="4"/>
      <c r="JK36" s="4"/>
      <c r="JL36" s="4"/>
      <c r="JM36" s="4"/>
      <c r="JN36" s="4"/>
      <c r="JO36" s="4"/>
      <c r="JP36" s="4"/>
      <c r="JQ36" s="4"/>
      <c r="JR36" s="4"/>
      <c r="JS36" s="4"/>
      <c r="JT36" s="4"/>
      <c r="JU36" s="4"/>
      <c r="JV36" s="4"/>
      <c r="JW36" s="4"/>
      <c r="JX36" s="4"/>
      <c r="JY36" s="4"/>
      <c r="JZ36" s="4"/>
      <c r="KA36" s="4"/>
      <c r="KB36" s="4"/>
      <c r="KC36" s="4"/>
      <c r="KD36" s="4"/>
      <c r="KE36" s="4"/>
      <c r="KF36" s="4"/>
      <c r="KG36" s="4"/>
      <c r="KH36" s="4"/>
      <c r="KI36" s="4"/>
      <c r="KJ36" s="4"/>
      <c r="KK36" s="4"/>
      <c r="KL36" s="4"/>
      <c r="KM36" s="4"/>
      <c r="KN36" s="4"/>
      <c r="KO36" s="4"/>
      <c r="KP36" s="4"/>
      <c r="KQ36" s="4"/>
      <c r="KR36" s="4"/>
      <c r="KS36" s="4"/>
      <c r="KT36" s="4"/>
      <c r="KU36" s="4"/>
      <c r="KV36" s="4"/>
      <c r="KW36" s="4"/>
      <c r="KX36" s="4"/>
      <c r="KY36" s="4"/>
      <c r="KZ36" s="4"/>
      <c r="LA36" s="4"/>
      <c r="LB36" s="4"/>
      <c r="LC36" s="4"/>
      <c r="LD36" s="4"/>
      <c r="LE36" s="4"/>
      <c r="LF36" s="4"/>
      <c r="LG36" s="4"/>
      <c r="LH36" s="4"/>
      <c r="LI36" s="4"/>
      <c r="LJ36" s="4"/>
      <c r="LK36" s="4"/>
      <c r="LL36" s="4"/>
      <c r="LM36" s="4"/>
      <c r="LN36" s="4"/>
      <c r="LO36" s="4"/>
      <c r="LP36" s="4"/>
      <c r="LQ36" s="4"/>
      <c r="LR36" s="4"/>
      <c r="LS36" s="4"/>
      <c r="LT36" s="4"/>
      <c r="LU36" s="4"/>
      <c r="LV36" s="4"/>
      <c r="LW36" s="4"/>
      <c r="LX36" s="4"/>
      <c r="LY36" s="4"/>
      <c r="LZ36" s="4"/>
      <c r="MA36" s="4"/>
      <c r="MB36" s="4"/>
      <c r="MC36" s="4"/>
      <c r="MD36" s="4"/>
      <c r="ME36" s="4"/>
      <c r="MF36" s="4"/>
      <c r="MG36" s="4"/>
      <c r="MH36" s="4"/>
      <c r="MI36" s="4"/>
      <c r="MJ36" s="4"/>
      <c r="MK36" s="4"/>
      <c r="ML36" s="4"/>
      <c r="MM36" s="4"/>
      <c r="MN36" s="4"/>
      <c r="MO36" s="4"/>
      <c r="MP36" s="4"/>
    </row>
    <row r="37" spans="1:354">
      <c r="A37" s="4"/>
      <c r="B37" s="4"/>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c r="GH37" s="4"/>
      <c r="GI37" s="4"/>
      <c r="GJ37" s="4"/>
      <c r="GK37" s="4"/>
      <c r="GL37" s="4"/>
      <c r="GM37" s="4"/>
      <c r="GN37" s="4"/>
      <c r="GO37" s="4"/>
      <c r="GP37" s="4"/>
      <c r="GQ37" s="4"/>
      <c r="GR37" s="4"/>
      <c r="GS37" s="4"/>
      <c r="GT37" s="4"/>
      <c r="GU37" s="4"/>
      <c r="GV37" s="4"/>
      <c r="GW37" s="4"/>
      <c r="GX37" s="4"/>
      <c r="GY37" s="4"/>
      <c r="GZ37" s="4"/>
      <c r="HA37" s="4"/>
      <c r="HB37" s="4"/>
      <c r="HC37" s="4"/>
      <c r="HD37" s="4"/>
      <c r="HE37" s="4"/>
      <c r="HF37" s="4"/>
      <c r="HG37" s="4"/>
      <c r="HH37" s="4"/>
      <c r="HI37" s="4"/>
      <c r="HJ37" s="4"/>
      <c r="HK37" s="4"/>
      <c r="HL37" s="4"/>
      <c r="HM37" s="4"/>
      <c r="HN37" s="4"/>
      <c r="HO37" s="4"/>
      <c r="HP37" s="4"/>
      <c r="HQ37" s="4"/>
      <c r="HR37" s="4"/>
      <c r="HS37" s="4"/>
      <c r="HT37" s="4"/>
      <c r="HU37" s="4"/>
      <c r="HV37" s="4"/>
      <c r="HW37" s="4"/>
      <c r="HX37" s="4"/>
      <c r="HY37" s="4"/>
      <c r="HZ37" s="4"/>
      <c r="IA37" s="4"/>
      <c r="IB37" s="4"/>
      <c r="IC37" s="4"/>
      <c r="ID37" s="4"/>
      <c r="IE37" s="4"/>
      <c r="IF37" s="4"/>
      <c r="IG37" s="4"/>
      <c r="IH37" s="4"/>
      <c r="II37" s="4"/>
      <c r="IJ37" s="4"/>
      <c r="IK37" s="4"/>
      <c r="IL37" s="4"/>
      <c r="IM37" s="4"/>
      <c r="IN37" s="4"/>
      <c r="IO37" s="4"/>
      <c r="IP37" s="4"/>
      <c r="IQ37" s="4"/>
      <c r="IR37" s="4"/>
      <c r="IS37" s="4"/>
      <c r="IT37" s="4"/>
      <c r="IU37" s="4"/>
      <c r="IV37" s="4"/>
      <c r="IW37" s="4"/>
      <c r="IX37" s="4"/>
      <c r="IY37" s="4"/>
      <c r="IZ37" s="4"/>
      <c r="JA37" s="4"/>
      <c r="JB37" s="4"/>
      <c r="JC37" s="4"/>
      <c r="JD37" s="4"/>
      <c r="JE37" s="4"/>
      <c r="JF37" s="4"/>
      <c r="JG37" s="4"/>
      <c r="JH37" s="4"/>
      <c r="JI37" s="4"/>
      <c r="JJ37" s="4"/>
      <c r="JK37" s="4"/>
      <c r="JL37" s="4"/>
      <c r="JM37" s="4"/>
      <c r="JN37" s="4"/>
      <c r="JO37" s="4"/>
      <c r="JP37" s="4"/>
      <c r="JQ37" s="4"/>
      <c r="JR37" s="4"/>
      <c r="JS37" s="4"/>
      <c r="JT37" s="4"/>
      <c r="JU37" s="4"/>
      <c r="JV37" s="4"/>
      <c r="JW37" s="4"/>
      <c r="JX37" s="4"/>
      <c r="JY37" s="4"/>
      <c r="JZ37" s="4"/>
      <c r="KA37" s="4"/>
      <c r="KB37" s="4"/>
      <c r="KC37" s="4"/>
      <c r="KD37" s="4"/>
      <c r="KE37" s="4"/>
      <c r="KF37" s="4"/>
      <c r="KG37" s="4"/>
      <c r="KH37" s="4"/>
      <c r="KI37" s="4"/>
      <c r="KJ37" s="4"/>
      <c r="KK37" s="4"/>
      <c r="KL37" s="4"/>
      <c r="KM37" s="4"/>
      <c r="KN37" s="4"/>
      <c r="KO37" s="4"/>
      <c r="KP37" s="4"/>
      <c r="KQ37" s="4"/>
      <c r="KR37" s="4"/>
      <c r="KS37" s="4"/>
      <c r="KT37" s="4"/>
      <c r="KU37" s="4"/>
      <c r="KV37" s="4"/>
      <c r="KW37" s="4"/>
      <c r="KX37" s="4"/>
      <c r="KY37" s="4"/>
      <c r="KZ37" s="4"/>
      <c r="LA37" s="4"/>
      <c r="LB37" s="4"/>
      <c r="LC37" s="4"/>
      <c r="LD37" s="4"/>
      <c r="LE37" s="4"/>
      <c r="LF37" s="4"/>
      <c r="LG37" s="4"/>
      <c r="LH37" s="4"/>
      <c r="LI37" s="4"/>
      <c r="LJ37" s="4"/>
      <c r="LK37" s="4"/>
      <c r="LL37" s="4"/>
      <c r="LM37" s="4"/>
      <c r="LN37" s="4"/>
      <c r="LO37" s="4"/>
      <c r="LP37" s="4"/>
      <c r="LQ37" s="4"/>
      <c r="LR37" s="4"/>
      <c r="LS37" s="4"/>
      <c r="LT37" s="4"/>
      <c r="LU37" s="4"/>
      <c r="LV37" s="4"/>
      <c r="LW37" s="4"/>
      <c r="LX37" s="4"/>
      <c r="LY37" s="4"/>
      <c r="LZ37" s="4"/>
      <c r="MA37" s="4"/>
      <c r="MB37" s="4"/>
      <c r="MC37" s="4"/>
      <c r="MD37" s="4"/>
      <c r="ME37" s="4"/>
      <c r="MF37" s="4"/>
      <c r="MG37" s="4"/>
      <c r="MH37" s="4"/>
      <c r="MI37" s="4"/>
      <c r="MJ37" s="4"/>
      <c r="MK37" s="4"/>
      <c r="ML37" s="4"/>
      <c r="MM37" s="4"/>
      <c r="MN37" s="4"/>
      <c r="MO37" s="4"/>
      <c r="MP37" s="4"/>
    </row>
    <row r="38" spans="1:354">
      <c r="A38" s="4"/>
      <c r="B38" s="4"/>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c r="AQ38" s="4"/>
      <c r="AR38" s="4"/>
      <c r="AS38" s="4"/>
      <c r="AT38" s="4"/>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c r="GH38" s="4"/>
      <c r="GI38" s="4"/>
      <c r="GJ38" s="4"/>
      <c r="GK38" s="4"/>
      <c r="GL38" s="4"/>
      <c r="GM38" s="4"/>
      <c r="GN38" s="4"/>
      <c r="GO38" s="4"/>
      <c r="GP38" s="4"/>
      <c r="GQ38" s="4"/>
      <c r="GR38" s="4"/>
      <c r="GS38" s="4"/>
      <c r="GT38" s="4"/>
      <c r="GU38" s="4"/>
      <c r="GV38" s="4"/>
      <c r="GW38" s="4"/>
      <c r="GX38" s="4"/>
      <c r="GY38" s="4"/>
      <c r="GZ38" s="4"/>
      <c r="HA38" s="4"/>
      <c r="HB38" s="4"/>
      <c r="HC38" s="4"/>
      <c r="HD38" s="4"/>
      <c r="HE38" s="4"/>
      <c r="HF38" s="4"/>
      <c r="HG38" s="4"/>
      <c r="HH38" s="4"/>
      <c r="HI38" s="4"/>
      <c r="HJ38" s="4"/>
      <c r="HK38" s="4"/>
      <c r="HL38" s="4"/>
      <c r="HM38" s="4"/>
      <c r="HN38" s="4"/>
      <c r="HO38" s="4"/>
      <c r="HP38" s="4"/>
      <c r="HQ38" s="4"/>
      <c r="HR38" s="4"/>
      <c r="HS38" s="4"/>
      <c r="HT38" s="4"/>
      <c r="HU38" s="4"/>
      <c r="HV38" s="4"/>
      <c r="HW38" s="4"/>
      <c r="HX38" s="4"/>
      <c r="HY38" s="4"/>
      <c r="HZ38" s="4"/>
      <c r="IA38" s="4"/>
      <c r="IB38" s="4"/>
      <c r="IC38" s="4"/>
      <c r="ID38" s="4"/>
      <c r="IE38" s="4"/>
      <c r="IF38" s="4"/>
      <c r="IG38" s="4"/>
      <c r="IH38" s="4"/>
      <c r="II38" s="4"/>
      <c r="IJ38" s="4"/>
      <c r="IK38" s="4"/>
      <c r="IL38" s="4"/>
      <c r="IM38" s="4"/>
      <c r="IN38" s="4"/>
      <c r="IO38" s="4"/>
      <c r="IP38" s="4"/>
      <c r="IQ38" s="4"/>
      <c r="IR38" s="4"/>
      <c r="IS38" s="4"/>
      <c r="IT38" s="4"/>
      <c r="IU38" s="4"/>
      <c r="IV38" s="4"/>
      <c r="IW38" s="4"/>
      <c r="IX38" s="4"/>
      <c r="IY38" s="4"/>
      <c r="IZ38" s="4"/>
      <c r="JA38" s="4"/>
      <c r="JB38" s="4"/>
      <c r="JC38" s="4"/>
      <c r="JD38" s="4"/>
      <c r="JE38" s="4"/>
      <c r="JF38" s="4"/>
      <c r="JG38" s="4"/>
      <c r="JH38" s="4"/>
      <c r="JI38" s="4"/>
      <c r="JJ38" s="4"/>
      <c r="JK38" s="4"/>
      <c r="JL38" s="4"/>
      <c r="JM38" s="4"/>
      <c r="JN38" s="4"/>
      <c r="JO38" s="4"/>
      <c r="JP38" s="4"/>
      <c r="JQ38" s="4"/>
      <c r="JR38" s="4"/>
      <c r="JS38" s="4"/>
      <c r="JT38" s="4"/>
      <c r="JU38" s="4"/>
      <c r="JV38" s="4"/>
      <c r="JW38" s="4"/>
      <c r="JX38" s="4"/>
      <c r="JY38" s="4"/>
      <c r="JZ38" s="4"/>
      <c r="KA38" s="4"/>
      <c r="KB38" s="4"/>
      <c r="KC38" s="4"/>
      <c r="KD38" s="4"/>
      <c r="KE38" s="4"/>
      <c r="KF38" s="4"/>
      <c r="KG38" s="4"/>
      <c r="KH38" s="4"/>
      <c r="KI38" s="4"/>
      <c r="KJ38" s="4"/>
      <c r="KK38" s="4"/>
      <c r="KL38" s="4"/>
      <c r="KM38" s="4"/>
      <c r="KN38" s="4"/>
      <c r="KO38" s="4"/>
      <c r="KP38" s="4"/>
      <c r="KQ38" s="4"/>
      <c r="KR38" s="4"/>
      <c r="KS38" s="4"/>
      <c r="KT38" s="4"/>
      <c r="KU38" s="4"/>
      <c r="KV38" s="4"/>
      <c r="KW38" s="4"/>
      <c r="KX38" s="4"/>
      <c r="KY38" s="4"/>
      <c r="KZ38" s="4"/>
      <c r="LA38" s="4"/>
      <c r="LB38" s="4"/>
      <c r="LC38" s="4"/>
      <c r="LD38" s="4"/>
      <c r="LE38" s="4"/>
      <c r="LF38" s="4"/>
      <c r="LG38" s="4"/>
      <c r="LH38" s="4"/>
      <c r="LI38" s="4"/>
      <c r="LJ38" s="4"/>
      <c r="LK38" s="4"/>
      <c r="LL38" s="4"/>
      <c r="LM38" s="4"/>
      <c r="LN38" s="4"/>
      <c r="LO38" s="4"/>
      <c r="LP38" s="4"/>
      <c r="LQ38" s="4"/>
      <c r="LR38" s="4"/>
      <c r="LS38" s="4"/>
      <c r="LT38" s="4"/>
      <c r="LU38" s="4"/>
      <c r="LV38" s="4"/>
      <c r="LW38" s="4"/>
      <c r="LX38" s="4"/>
      <c r="LY38" s="4"/>
      <c r="LZ38" s="4"/>
      <c r="MA38" s="4"/>
      <c r="MB38" s="4"/>
      <c r="MC38" s="4"/>
      <c r="MD38" s="4"/>
      <c r="ME38" s="4"/>
      <c r="MF38" s="4"/>
      <c r="MG38" s="4"/>
      <c r="MH38" s="4"/>
      <c r="MI38" s="4"/>
      <c r="MJ38" s="4"/>
      <c r="MK38" s="4"/>
      <c r="ML38" s="4"/>
      <c r="MM38" s="4"/>
      <c r="MN38" s="4"/>
      <c r="MO38" s="4"/>
      <c r="MP38" s="4"/>
    </row>
    <row r="39" spans="1:354">
      <c r="A39" s="4"/>
      <c r="B39" s="4"/>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c r="FN39" s="4"/>
      <c r="FO39" s="4"/>
      <c r="FP39" s="4"/>
      <c r="FQ39" s="4"/>
      <c r="FR39" s="4"/>
      <c r="FS39" s="4"/>
      <c r="FT39" s="4"/>
      <c r="FU39" s="4"/>
      <c r="FV39" s="4"/>
      <c r="FW39" s="4"/>
      <c r="FX39" s="4"/>
      <c r="FY39" s="4"/>
      <c r="FZ39" s="4"/>
      <c r="GA39" s="4"/>
      <c r="GB39" s="4"/>
      <c r="GC39" s="4"/>
      <c r="GD39" s="4"/>
      <c r="GE39" s="4"/>
      <c r="GF39" s="4"/>
      <c r="GG39" s="4"/>
      <c r="GH39" s="4"/>
      <c r="GI39" s="4"/>
      <c r="GJ39" s="4"/>
      <c r="GK39" s="4"/>
      <c r="GL39" s="4"/>
      <c r="GM39" s="4"/>
      <c r="GN39" s="4"/>
      <c r="GO39" s="4"/>
      <c r="GP39" s="4"/>
      <c r="GQ39" s="4"/>
      <c r="GR39" s="4"/>
      <c r="GS39" s="4"/>
      <c r="GT39" s="4"/>
      <c r="GU39" s="4"/>
      <c r="GV39" s="4"/>
      <c r="GW39" s="4"/>
      <c r="GX39" s="4"/>
      <c r="GY39" s="4"/>
      <c r="GZ39" s="4"/>
      <c r="HA39" s="4"/>
      <c r="HB39" s="4"/>
      <c r="HC39" s="4"/>
      <c r="HD39" s="4"/>
      <c r="HE39" s="4"/>
      <c r="HF39" s="4"/>
      <c r="HG39" s="4"/>
      <c r="HH39" s="4"/>
      <c r="HI39" s="4"/>
      <c r="HJ39" s="4"/>
      <c r="HK39" s="4"/>
      <c r="HL39" s="4"/>
      <c r="HM39" s="4"/>
      <c r="HN39" s="4"/>
      <c r="HO39" s="4"/>
      <c r="HP39" s="4"/>
      <c r="HQ39" s="4"/>
      <c r="HR39" s="4"/>
      <c r="HS39" s="4"/>
      <c r="HT39" s="4"/>
      <c r="HU39" s="4"/>
      <c r="HV39" s="4"/>
      <c r="HW39" s="4"/>
      <c r="HX39" s="4"/>
      <c r="HY39" s="4"/>
      <c r="HZ39" s="4"/>
      <c r="IA39" s="4"/>
      <c r="IB39" s="4"/>
      <c r="IC39" s="4"/>
      <c r="ID39" s="4"/>
      <c r="IE39" s="4"/>
      <c r="IF39" s="4"/>
      <c r="IG39" s="4"/>
      <c r="IH39" s="4"/>
      <c r="II39" s="4"/>
      <c r="IJ39" s="4"/>
      <c r="IK39" s="4"/>
      <c r="IL39" s="4"/>
      <c r="IM39" s="4"/>
      <c r="IN39" s="4"/>
      <c r="IO39" s="4"/>
      <c r="IP39" s="4"/>
      <c r="IQ39" s="4"/>
      <c r="IR39" s="4"/>
      <c r="IS39" s="4"/>
      <c r="IT39" s="4"/>
      <c r="IU39" s="4"/>
      <c r="IV39" s="4"/>
      <c r="IW39" s="4"/>
      <c r="IX39" s="4"/>
      <c r="IY39" s="4"/>
      <c r="IZ39" s="4"/>
      <c r="JA39" s="4"/>
      <c r="JB39" s="4"/>
      <c r="JC39" s="4"/>
      <c r="JD39" s="4"/>
      <c r="JE39" s="4"/>
      <c r="JF39" s="4"/>
      <c r="JG39" s="4"/>
      <c r="JH39" s="4"/>
      <c r="JI39" s="4"/>
      <c r="JJ39" s="4"/>
      <c r="JK39" s="4"/>
      <c r="JL39" s="4"/>
      <c r="JM39" s="4"/>
      <c r="JN39" s="4"/>
      <c r="JO39" s="4"/>
      <c r="JP39" s="4"/>
      <c r="JQ39" s="4"/>
      <c r="JR39" s="4"/>
      <c r="JS39" s="4"/>
      <c r="JT39" s="4"/>
      <c r="JU39" s="4"/>
      <c r="JV39" s="4"/>
      <c r="JW39" s="4"/>
      <c r="JX39" s="4"/>
      <c r="JY39" s="4"/>
      <c r="JZ39" s="4"/>
      <c r="KA39" s="4"/>
      <c r="KB39" s="4"/>
      <c r="KC39" s="4"/>
      <c r="KD39" s="4"/>
      <c r="KE39" s="4"/>
      <c r="KF39" s="4"/>
      <c r="KG39" s="4"/>
      <c r="KH39" s="4"/>
      <c r="KI39" s="4"/>
      <c r="KJ39" s="4"/>
      <c r="KK39" s="4"/>
      <c r="KL39" s="4"/>
      <c r="KM39" s="4"/>
      <c r="KN39" s="4"/>
      <c r="KO39" s="4"/>
      <c r="KP39" s="4"/>
      <c r="KQ39" s="4"/>
      <c r="KR39" s="4"/>
      <c r="KS39" s="4"/>
      <c r="KT39" s="4"/>
      <c r="KU39" s="4"/>
      <c r="KV39" s="4"/>
      <c r="KW39" s="4"/>
      <c r="KX39" s="4"/>
      <c r="KY39" s="4"/>
      <c r="KZ39" s="4"/>
      <c r="LA39" s="4"/>
      <c r="LB39" s="4"/>
      <c r="LC39" s="4"/>
      <c r="LD39" s="4"/>
      <c r="LE39" s="4"/>
      <c r="LF39" s="4"/>
      <c r="LG39" s="4"/>
      <c r="LH39" s="4"/>
      <c r="LI39" s="4"/>
      <c r="LJ39" s="4"/>
      <c r="LK39" s="4"/>
      <c r="LL39" s="4"/>
      <c r="LM39" s="4"/>
      <c r="LN39" s="4"/>
      <c r="LO39" s="4"/>
      <c r="LP39" s="4"/>
      <c r="LQ39" s="4"/>
      <c r="LR39" s="4"/>
      <c r="LS39" s="4"/>
      <c r="LT39" s="4"/>
      <c r="LU39" s="4"/>
      <c r="LV39" s="4"/>
      <c r="LW39" s="4"/>
      <c r="LX39" s="4"/>
      <c r="LY39" s="4"/>
      <c r="LZ39" s="4"/>
      <c r="MA39" s="4"/>
      <c r="MB39" s="4"/>
      <c r="MC39" s="4"/>
      <c r="MD39" s="4"/>
      <c r="ME39" s="4"/>
      <c r="MF39" s="4"/>
      <c r="MG39" s="4"/>
      <c r="MH39" s="4"/>
      <c r="MI39" s="4"/>
      <c r="MJ39" s="4"/>
      <c r="MK39" s="4"/>
      <c r="ML39" s="4"/>
      <c r="MM39" s="4"/>
      <c r="MN39" s="4"/>
      <c r="MO39" s="4"/>
      <c r="MP39" s="4"/>
    </row>
    <row r="40" spans="1:354">
      <c r="A40" s="4"/>
      <c r="B40" s="4"/>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c r="GH40" s="4"/>
      <c r="GI40" s="4"/>
      <c r="GJ40" s="4"/>
      <c r="GK40" s="4"/>
      <c r="GL40" s="4"/>
      <c r="GM40" s="4"/>
      <c r="GN40" s="4"/>
      <c r="GO40" s="4"/>
      <c r="GP40" s="4"/>
      <c r="GQ40" s="4"/>
      <c r="GR40" s="4"/>
      <c r="GS40" s="4"/>
      <c r="GT40" s="4"/>
      <c r="GU40" s="4"/>
      <c r="GV40" s="4"/>
      <c r="GW40" s="4"/>
      <c r="GX40" s="4"/>
      <c r="GY40" s="4"/>
      <c r="GZ40" s="4"/>
      <c r="HA40" s="4"/>
      <c r="HB40" s="4"/>
      <c r="HC40" s="4"/>
      <c r="HD40" s="4"/>
      <c r="HE40" s="4"/>
      <c r="HF40" s="4"/>
      <c r="HG40" s="4"/>
      <c r="HH40" s="4"/>
      <c r="HI40" s="4"/>
      <c r="HJ40" s="4"/>
      <c r="HK40" s="4"/>
      <c r="HL40" s="4"/>
      <c r="HM40" s="4"/>
      <c r="HN40" s="4"/>
      <c r="HO40" s="4"/>
      <c r="HP40" s="4"/>
      <c r="HQ40" s="4"/>
      <c r="HR40" s="4"/>
      <c r="HS40" s="4"/>
      <c r="HT40" s="4"/>
      <c r="HU40" s="4"/>
      <c r="HV40" s="4"/>
      <c r="HW40" s="4"/>
      <c r="HX40" s="4"/>
      <c r="HY40" s="4"/>
      <c r="HZ40" s="4"/>
      <c r="IA40" s="4"/>
      <c r="IB40" s="4"/>
      <c r="IC40" s="4"/>
      <c r="ID40" s="4"/>
      <c r="IE40" s="4"/>
      <c r="IF40" s="4"/>
      <c r="IG40" s="4"/>
      <c r="IH40" s="4"/>
      <c r="II40" s="4"/>
      <c r="IJ40" s="4"/>
      <c r="IK40" s="4"/>
      <c r="IL40" s="4"/>
      <c r="IM40" s="4"/>
      <c r="IN40" s="4"/>
      <c r="IO40" s="4"/>
      <c r="IP40" s="4"/>
      <c r="IQ40" s="4"/>
      <c r="IR40" s="4"/>
      <c r="IS40" s="4"/>
      <c r="IT40" s="4"/>
      <c r="IU40" s="4"/>
      <c r="IV40" s="4"/>
      <c r="IW40" s="4"/>
      <c r="IX40" s="4"/>
      <c r="IY40" s="4"/>
      <c r="IZ40" s="4"/>
      <c r="JA40" s="4"/>
      <c r="JB40" s="4"/>
      <c r="JC40" s="4"/>
      <c r="JD40" s="4"/>
      <c r="JE40" s="4"/>
      <c r="JF40" s="4"/>
      <c r="JG40" s="4"/>
      <c r="JH40" s="4"/>
      <c r="JI40" s="4"/>
      <c r="JJ40" s="4"/>
      <c r="JK40" s="4"/>
      <c r="JL40" s="4"/>
      <c r="JM40" s="4"/>
      <c r="JN40" s="4"/>
      <c r="JO40" s="4"/>
      <c r="JP40" s="4"/>
      <c r="JQ40" s="4"/>
      <c r="JR40" s="4"/>
      <c r="JS40" s="4"/>
      <c r="JT40" s="4"/>
      <c r="JU40" s="4"/>
      <c r="JV40" s="4"/>
      <c r="JW40" s="4"/>
      <c r="JX40" s="4"/>
      <c r="JY40" s="4"/>
      <c r="JZ40" s="4"/>
      <c r="KA40" s="4"/>
      <c r="KB40" s="4"/>
      <c r="KC40" s="4"/>
      <c r="KD40" s="4"/>
      <c r="KE40" s="4"/>
      <c r="KF40" s="4"/>
      <c r="KG40" s="4"/>
      <c r="KH40" s="4"/>
      <c r="KI40" s="4"/>
      <c r="KJ40" s="4"/>
      <c r="KK40" s="4"/>
      <c r="KL40" s="4"/>
      <c r="KM40" s="4"/>
      <c r="KN40" s="4"/>
      <c r="KO40" s="4"/>
      <c r="KP40" s="4"/>
      <c r="KQ40" s="4"/>
      <c r="KR40" s="4"/>
      <c r="KS40" s="4"/>
      <c r="KT40" s="4"/>
      <c r="KU40" s="4"/>
      <c r="KV40" s="4"/>
      <c r="KW40" s="4"/>
      <c r="KX40" s="4"/>
      <c r="KY40" s="4"/>
      <c r="KZ40" s="4"/>
      <c r="LA40" s="4"/>
      <c r="LB40" s="4"/>
      <c r="LC40" s="4"/>
      <c r="LD40" s="4"/>
      <c r="LE40" s="4"/>
      <c r="LF40" s="4"/>
      <c r="LG40" s="4"/>
      <c r="LH40" s="4"/>
      <c r="LI40" s="4"/>
      <c r="LJ40" s="4"/>
      <c r="LK40" s="4"/>
      <c r="LL40" s="4"/>
      <c r="LM40" s="4"/>
      <c r="LN40" s="4"/>
      <c r="LO40" s="4"/>
      <c r="LP40" s="4"/>
      <c r="LQ40" s="4"/>
      <c r="LR40" s="4"/>
      <c r="LS40" s="4"/>
      <c r="LT40" s="4"/>
      <c r="LU40" s="4"/>
      <c r="LV40" s="4"/>
      <c r="LW40" s="4"/>
      <c r="LX40" s="4"/>
      <c r="LY40" s="4"/>
      <c r="LZ40" s="4"/>
      <c r="MA40" s="4"/>
      <c r="MB40" s="4"/>
      <c r="MC40" s="4"/>
      <c r="MD40" s="4"/>
      <c r="ME40" s="4"/>
      <c r="MF40" s="4"/>
      <c r="MG40" s="4"/>
      <c r="MH40" s="4"/>
      <c r="MI40" s="4"/>
      <c r="MJ40" s="4"/>
      <c r="MK40" s="4"/>
      <c r="ML40" s="4"/>
      <c r="MM40" s="4"/>
      <c r="MN40" s="4"/>
      <c r="MO40" s="4"/>
      <c r="MP40" s="4"/>
    </row>
    <row r="41" spans="1:354">
      <c r="A41" s="4"/>
      <c r="B41" s="4"/>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c r="GH41" s="4"/>
      <c r="GI41" s="4"/>
      <c r="GJ41" s="4"/>
      <c r="GK41" s="4"/>
      <c r="GL41" s="4"/>
      <c r="GM41" s="4"/>
      <c r="GN41" s="4"/>
      <c r="GO41" s="4"/>
      <c r="GP41" s="4"/>
      <c r="GQ41" s="4"/>
      <c r="GR41" s="4"/>
      <c r="GS41" s="4"/>
      <c r="GT41" s="4"/>
      <c r="GU41" s="4"/>
      <c r="GV41" s="4"/>
      <c r="GW41" s="4"/>
      <c r="GX41" s="4"/>
      <c r="GY41" s="4"/>
      <c r="GZ41" s="4"/>
      <c r="HA41" s="4"/>
      <c r="HB41" s="4"/>
      <c r="HC41" s="4"/>
      <c r="HD41" s="4"/>
      <c r="HE41" s="4"/>
      <c r="HF41" s="4"/>
      <c r="HG41" s="4"/>
      <c r="HH41" s="4"/>
      <c r="HI41" s="4"/>
      <c r="HJ41" s="4"/>
      <c r="HK41" s="4"/>
      <c r="HL41" s="4"/>
      <c r="HM41" s="4"/>
      <c r="HN41" s="4"/>
      <c r="HO41" s="4"/>
      <c r="HP41" s="4"/>
      <c r="HQ41" s="4"/>
      <c r="HR41" s="4"/>
      <c r="HS41" s="4"/>
      <c r="HT41" s="4"/>
      <c r="HU41" s="4"/>
      <c r="HV41" s="4"/>
      <c r="HW41" s="4"/>
      <c r="HX41" s="4"/>
      <c r="HY41" s="4"/>
      <c r="HZ41" s="4"/>
      <c r="IA41" s="4"/>
      <c r="IB41" s="4"/>
      <c r="IC41" s="4"/>
      <c r="ID41" s="4"/>
      <c r="IE41" s="4"/>
      <c r="IF41" s="4"/>
      <c r="IG41" s="4"/>
      <c r="IH41" s="4"/>
      <c r="II41" s="4"/>
      <c r="IJ41" s="4"/>
      <c r="IK41" s="4"/>
      <c r="IL41" s="4"/>
      <c r="IM41" s="4"/>
      <c r="IN41" s="4"/>
      <c r="IO41" s="4"/>
      <c r="IP41" s="4"/>
      <c r="IQ41" s="4"/>
      <c r="IR41" s="4"/>
      <c r="IS41" s="4"/>
      <c r="IT41" s="4"/>
      <c r="IU41" s="4"/>
      <c r="IV41" s="4"/>
      <c r="IW41" s="4"/>
      <c r="IX41" s="4"/>
      <c r="IY41" s="4"/>
      <c r="IZ41" s="4"/>
      <c r="JA41" s="4"/>
      <c r="JB41" s="4"/>
      <c r="JC41" s="4"/>
      <c r="JD41" s="4"/>
      <c r="JE41" s="4"/>
      <c r="JF41" s="4"/>
      <c r="JG41" s="4"/>
      <c r="JH41" s="4"/>
      <c r="JI41" s="4"/>
      <c r="JJ41" s="4"/>
      <c r="JK41" s="4"/>
      <c r="JL41" s="4"/>
      <c r="JM41" s="4"/>
      <c r="JN41" s="4"/>
      <c r="JO41" s="4"/>
      <c r="JP41" s="4"/>
      <c r="JQ41" s="4"/>
      <c r="JR41" s="4"/>
      <c r="JS41" s="4"/>
      <c r="JT41" s="4"/>
      <c r="JU41" s="4"/>
      <c r="JV41" s="4"/>
      <c r="JW41" s="4"/>
      <c r="JX41" s="4"/>
      <c r="JY41" s="4"/>
      <c r="JZ41" s="4"/>
      <c r="KA41" s="4"/>
      <c r="KB41" s="4"/>
      <c r="KC41" s="4"/>
      <c r="KD41" s="4"/>
      <c r="KE41" s="4"/>
      <c r="KF41" s="4"/>
      <c r="KG41" s="4"/>
      <c r="KH41" s="4"/>
      <c r="KI41" s="4"/>
      <c r="KJ41" s="4"/>
      <c r="KK41" s="4"/>
      <c r="KL41" s="4"/>
      <c r="KM41" s="4"/>
      <c r="KN41" s="4"/>
      <c r="KO41" s="4"/>
      <c r="KP41" s="4"/>
      <c r="KQ41" s="4"/>
      <c r="KR41" s="4"/>
      <c r="KS41" s="4"/>
      <c r="KT41" s="4"/>
      <c r="KU41" s="4"/>
      <c r="KV41" s="4"/>
      <c r="KW41" s="4"/>
      <c r="KX41" s="4"/>
      <c r="KY41" s="4"/>
      <c r="KZ41" s="4"/>
      <c r="LA41" s="4"/>
      <c r="LB41" s="4"/>
      <c r="LC41" s="4"/>
      <c r="LD41" s="4"/>
      <c r="LE41" s="4"/>
      <c r="LF41" s="4"/>
      <c r="LG41" s="4"/>
      <c r="LH41" s="4"/>
      <c r="LI41" s="4"/>
      <c r="LJ41" s="4"/>
      <c r="LK41" s="4"/>
      <c r="LL41" s="4"/>
      <c r="LM41" s="4"/>
      <c r="LN41" s="4"/>
      <c r="LO41" s="4"/>
      <c r="LP41" s="4"/>
      <c r="LQ41" s="4"/>
      <c r="LR41" s="4"/>
      <c r="LS41" s="4"/>
      <c r="LT41" s="4"/>
      <c r="LU41" s="4"/>
      <c r="LV41" s="4"/>
      <c r="LW41" s="4"/>
      <c r="LX41" s="4"/>
      <c r="LY41" s="4"/>
      <c r="LZ41" s="4"/>
      <c r="MA41" s="4"/>
      <c r="MB41" s="4"/>
      <c r="MC41" s="4"/>
      <c r="MD41" s="4"/>
      <c r="ME41" s="4"/>
      <c r="MF41" s="4"/>
      <c r="MG41" s="4"/>
      <c r="MH41" s="4"/>
      <c r="MI41" s="4"/>
      <c r="MJ41" s="4"/>
      <c r="MK41" s="4"/>
      <c r="ML41" s="4"/>
      <c r="MM41" s="4"/>
      <c r="MN41" s="4"/>
      <c r="MO41" s="4"/>
      <c r="MP41" s="4"/>
    </row>
    <row r="42" spans="1:354">
      <c r="A42" s="4"/>
      <c r="B42" s="4"/>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c r="GH42" s="4"/>
      <c r="GI42" s="4"/>
      <c r="GJ42" s="4"/>
      <c r="GK42" s="4"/>
      <c r="GL42" s="4"/>
      <c r="GM42" s="4"/>
      <c r="GN42" s="4"/>
      <c r="GO42" s="4"/>
      <c r="GP42" s="4"/>
      <c r="GQ42" s="4"/>
      <c r="GR42" s="4"/>
      <c r="GS42" s="4"/>
      <c r="GT42" s="4"/>
      <c r="GU42" s="4"/>
      <c r="GV42" s="4"/>
      <c r="GW42" s="4"/>
      <c r="GX42" s="4"/>
      <c r="GY42" s="4"/>
      <c r="GZ42" s="4"/>
      <c r="HA42" s="4"/>
      <c r="HB42" s="4"/>
      <c r="HC42" s="4"/>
      <c r="HD42" s="4"/>
      <c r="HE42" s="4"/>
      <c r="HF42" s="4"/>
      <c r="HG42" s="4"/>
      <c r="HH42" s="4"/>
      <c r="HI42" s="4"/>
      <c r="HJ42" s="4"/>
      <c r="HK42" s="4"/>
      <c r="HL42" s="4"/>
      <c r="HM42" s="4"/>
      <c r="HN42" s="4"/>
      <c r="HO42" s="4"/>
      <c r="HP42" s="4"/>
      <c r="HQ42" s="4"/>
      <c r="HR42" s="4"/>
      <c r="HS42" s="4"/>
      <c r="HT42" s="4"/>
      <c r="HU42" s="4"/>
      <c r="HV42" s="4"/>
      <c r="HW42" s="4"/>
      <c r="HX42" s="4"/>
      <c r="HY42" s="4"/>
      <c r="HZ42" s="4"/>
      <c r="IA42" s="4"/>
      <c r="IB42" s="4"/>
      <c r="IC42" s="4"/>
      <c r="ID42" s="4"/>
      <c r="IE42" s="4"/>
      <c r="IF42" s="4"/>
      <c r="IG42" s="4"/>
      <c r="IH42" s="4"/>
      <c r="II42" s="4"/>
      <c r="IJ42" s="4"/>
      <c r="IK42" s="4"/>
      <c r="IL42" s="4"/>
      <c r="IM42" s="4"/>
      <c r="IN42" s="4"/>
      <c r="IO42" s="4"/>
      <c r="IP42" s="4"/>
      <c r="IQ42" s="4"/>
      <c r="IR42" s="4"/>
      <c r="IS42" s="4"/>
      <c r="IT42" s="4"/>
      <c r="IU42" s="4"/>
      <c r="IV42" s="4"/>
      <c r="IW42" s="4"/>
      <c r="IX42" s="4"/>
      <c r="IY42" s="4"/>
      <c r="IZ42" s="4"/>
      <c r="JA42" s="4"/>
      <c r="JB42" s="4"/>
      <c r="JC42" s="4"/>
      <c r="JD42" s="4"/>
      <c r="JE42" s="4"/>
      <c r="JF42" s="4"/>
      <c r="JG42" s="4"/>
      <c r="JH42" s="4"/>
      <c r="JI42" s="4"/>
      <c r="JJ42" s="4"/>
      <c r="JK42" s="4"/>
      <c r="JL42" s="4"/>
      <c r="JM42" s="4"/>
      <c r="JN42" s="4"/>
      <c r="JO42" s="4"/>
      <c r="JP42" s="4"/>
      <c r="JQ42" s="4"/>
      <c r="JR42" s="4"/>
      <c r="JS42" s="4"/>
      <c r="JT42" s="4"/>
      <c r="JU42" s="4"/>
      <c r="JV42" s="4"/>
      <c r="JW42" s="4"/>
      <c r="JX42" s="4"/>
      <c r="JY42" s="4"/>
      <c r="JZ42" s="4"/>
      <c r="KA42" s="4"/>
      <c r="KB42" s="4"/>
      <c r="KC42" s="4"/>
      <c r="KD42" s="4"/>
      <c r="KE42" s="4"/>
      <c r="KF42" s="4"/>
      <c r="KG42" s="4"/>
      <c r="KH42" s="4"/>
      <c r="KI42" s="4"/>
      <c r="KJ42" s="4"/>
      <c r="KK42" s="4"/>
      <c r="KL42" s="4"/>
      <c r="KM42" s="4"/>
      <c r="KN42" s="4"/>
      <c r="KO42" s="4"/>
      <c r="KP42" s="4"/>
      <c r="KQ42" s="4"/>
      <c r="KR42" s="4"/>
      <c r="KS42" s="4"/>
      <c r="KT42" s="4"/>
      <c r="KU42" s="4"/>
      <c r="KV42" s="4"/>
      <c r="KW42" s="4"/>
      <c r="KX42" s="4"/>
      <c r="KY42" s="4"/>
      <c r="KZ42" s="4"/>
      <c r="LA42" s="4"/>
      <c r="LB42" s="4"/>
      <c r="LC42" s="4"/>
      <c r="LD42" s="4"/>
      <c r="LE42" s="4"/>
      <c r="LF42" s="4"/>
      <c r="LG42" s="4"/>
      <c r="LH42" s="4"/>
      <c r="LI42" s="4"/>
      <c r="LJ42" s="4"/>
      <c r="LK42" s="4"/>
      <c r="LL42" s="4"/>
      <c r="LM42" s="4"/>
      <c r="LN42" s="4"/>
      <c r="LO42" s="4"/>
      <c r="LP42" s="4"/>
      <c r="LQ42" s="4"/>
      <c r="LR42" s="4"/>
      <c r="LS42" s="4"/>
      <c r="LT42" s="4"/>
      <c r="LU42" s="4"/>
      <c r="LV42" s="4"/>
      <c r="LW42" s="4"/>
      <c r="LX42" s="4"/>
      <c r="LY42" s="4"/>
      <c r="LZ42" s="4"/>
      <c r="MA42" s="4"/>
      <c r="MB42" s="4"/>
      <c r="MC42" s="4"/>
      <c r="MD42" s="4"/>
      <c r="ME42" s="4"/>
      <c r="MF42" s="4"/>
      <c r="MG42" s="4"/>
      <c r="MH42" s="4"/>
      <c r="MI42" s="4"/>
      <c r="MJ42" s="4"/>
      <c r="MK42" s="4"/>
      <c r="ML42" s="4"/>
      <c r="MM42" s="4"/>
      <c r="MN42" s="4"/>
      <c r="MO42" s="4"/>
      <c r="MP42" s="4"/>
    </row>
    <row r="43" spans="1:354">
      <c r="A43" s="4"/>
      <c r="B43" s="4"/>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c r="AQ43" s="4"/>
      <c r="AR43" s="4"/>
      <c r="AS43" s="4"/>
      <c r="AT43" s="4"/>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c r="GH43" s="4"/>
      <c r="GI43" s="4"/>
      <c r="GJ43" s="4"/>
      <c r="GK43" s="4"/>
      <c r="GL43" s="4"/>
      <c r="GM43" s="4"/>
      <c r="GN43" s="4"/>
      <c r="GO43" s="4"/>
      <c r="GP43" s="4"/>
      <c r="GQ43" s="4"/>
      <c r="GR43" s="4"/>
      <c r="GS43" s="4"/>
      <c r="GT43" s="4"/>
      <c r="GU43" s="4"/>
      <c r="GV43" s="4"/>
      <c r="GW43" s="4"/>
      <c r="GX43" s="4"/>
      <c r="GY43" s="4"/>
      <c r="GZ43" s="4"/>
      <c r="HA43" s="4"/>
      <c r="HB43" s="4"/>
      <c r="HC43" s="4"/>
      <c r="HD43" s="4"/>
      <c r="HE43" s="4"/>
      <c r="HF43" s="4"/>
      <c r="HG43" s="4"/>
      <c r="HH43" s="4"/>
      <c r="HI43" s="4"/>
      <c r="HJ43" s="4"/>
      <c r="HK43" s="4"/>
      <c r="HL43" s="4"/>
      <c r="HM43" s="4"/>
      <c r="HN43" s="4"/>
      <c r="HO43" s="4"/>
      <c r="HP43" s="4"/>
      <c r="HQ43" s="4"/>
      <c r="HR43" s="4"/>
      <c r="HS43" s="4"/>
      <c r="HT43" s="4"/>
      <c r="HU43" s="4"/>
      <c r="HV43" s="4"/>
      <c r="HW43" s="4"/>
      <c r="HX43" s="4"/>
      <c r="HY43" s="4"/>
      <c r="HZ43" s="4"/>
      <c r="IA43" s="4"/>
      <c r="IB43" s="4"/>
      <c r="IC43" s="4"/>
      <c r="ID43" s="4"/>
      <c r="IE43" s="4"/>
      <c r="IF43" s="4"/>
      <c r="IG43" s="4"/>
      <c r="IH43" s="4"/>
      <c r="II43" s="4"/>
      <c r="IJ43" s="4"/>
      <c r="IK43" s="4"/>
      <c r="IL43" s="4"/>
      <c r="IM43" s="4"/>
      <c r="IN43" s="4"/>
      <c r="IO43" s="4"/>
      <c r="IP43" s="4"/>
      <c r="IQ43" s="4"/>
      <c r="IR43" s="4"/>
      <c r="IS43" s="4"/>
      <c r="IT43" s="4"/>
      <c r="IU43" s="4"/>
      <c r="IV43" s="4"/>
      <c r="IW43" s="4"/>
      <c r="IX43" s="4"/>
      <c r="IY43" s="4"/>
      <c r="IZ43" s="4"/>
      <c r="JA43" s="4"/>
      <c r="JB43" s="4"/>
      <c r="JC43" s="4"/>
      <c r="JD43" s="4"/>
      <c r="JE43" s="4"/>
      <c r="JF43" s="4"/>
      <c r="JG43" s="4"/>
      <c r="JH43" s="4"/>
      <c r="JI43" s="4"/>
      <c r="JJ43" s="4"/>
      <c r="JK43" s="4"/>
      <c r="JL43" s="4"/>
      <c r="JM43" s="4"/>
      <c r="JN43" s="4"/>
      <c r="JO43" s="4"/>
      <c r="JP43" s="4"/>
      <c r="JQ43" s="4"/>
      <c r="JR43" s="4"/>
      <c r="JS43" s="4"/>
      <c r="JT43" s="4"/>
      <c r="JU43" s="4"/>
      <c r="JV43" s="4"/>
      <c r="JW43" s="4"/>
      <c r="JX43" s="4"/>
      <c r="JY43" s="4"/>
      <c r="JZ43" s="4"/>
      <c r="KA43" s="4"/>
      <c r="KB43" s="4"/>
      <c r="KC43" s="4"/>
      <c r="KD43" s="4"/>
      <c r="KE43" s="4"/>
      <c r="KF43" s="4"/>
      <c r="KG43" s="4"/>
      <c r="KH43" s="4"/>
      <c r="KI43" s="4"/>
      <c r="KJ43" s="4"/>
      <c r="KK43" s="4"/>
      <c r="KL43" s="4"/>
      <c r="KM43" s="4"/>
      <c r="KN43" s="4"/>
      <c r="KO43" s="4"/>
      <c r="KP43" s="4"/>
      <c r="KQ43" s="4"/>
      <c r="KR43" s="4"/>
      <c r="KS43" s="4"/>
      <c r="KT43" s="4"/>
      <c r="KU43" s="4"/>
      <c r="KV43" s="4"/>
      <c r="KW43" s="4"/>
      <c r="KX43" s="4"/>
      <c r="KY43" s="4"/>
      <c r="KZ43" s="4"/>
      <c r="LA43" s="4"/>
      <c r="LB43" s="4"/>
      <c r="LC43" s="4"/>
      <c r="LD43" s="4"/>
      <c r="LE43" s="4"/>
      <c r="LF43" s="4"/>
      <c r="LG43" s="4"/>
      <c r="LH43" s="4"/>
      <c r="LI43" s="4"/>
      <c r="LJ43" s="4"/>
      <c r="LK43" s="4"/>
      <c r="LL43" s="4"/>
      <c r="LM43" s="4"/>
      <c r="LN43" s="4"/>
      <c r="LO43" s="4"/>
      <c r="LP43" s="4"/>
      <c r="LQ43" s="4"/>
      <c r="LR43" s="4"/>
      <c r="LS43" s="4"/>
      <c r="LT43" s="4"/>
      <c r="LU43" s="4"/>
      <c r="LV43" s="4"/>
      <c r="LW43" s="4"/>
      <c r="LX43" s="4"/>
      <c r="LY43" s="4"/>
      <c r="LZ43" s="4"/>
      <c r="MA43" s="4"/>
      <c r="MB43" s="4"/>
      <c r="MC43" s="4"/>
      <c r="MD43" s="4"/>
      <c r="ME43" s="4"/>
      <c r="MF43" s="4"/>
      <c r="MG43" s="4"/>
      <c r="MH43" s="4"/>
      <c r="MI43" s="4"/>
      <c r="MJ43" s="4"/>
      <c r="MK43" s="4"/>
      <c r="ML43" s="4"/>
      <c r="MM43" s="4"/>
      <c r="MN43" s="4"/>
      <c r="MO43" s="4"/>
      <c r="MP43" s="4"/>
    </row>
    <row r="44" spans="1:354">
      <c r="A44" s="4"/>
      <c r="B44" s="4"/>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c r="AQ44" s="4"/>
      <c r="AR44" s="4"/>
      <c r="AS44" s="4"/>
      <c r="AT44" s="4"/>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c r="GH44" s="4"/>
      <c r="GI44" s="4"/>
      <c r="GJ44" s="4"/>
      <c r="GK44" s="4"/>
      <c r="GL44" s="4"/>
      <c r="GM44" s="4"/>
      <c r="GN44" s="4"/>
      <c r="GO44" s="4"/>
      <c r="GP44" s="4"/>
      <c r="GQ44" s="4"/>
      <c r="GR44" s="4"/>
      <c r="GS44" s="4"/>
      <c r="GT44" s="4"/>
      <c r="GU44" s="4"/>
      <c r="GV44" s="4"/>
      <c r="GW44" s="4"/>
      <c r="GX44" s="4"/>
      <c r="GY44" s="4"/>
      <c r="GZ44" s="4"/>
      <c r="HA44" s="4"/>
      <c r="HB44" s="4"/>
      <c r="HC44" s="4"/>
      <c r="HD44" s="4"/>
      <c r="HE44" s="4"/>
      <c r="HF44" s="4"/>
      <c r="HG44" s="4"/>
      <c r="HH44" s="4"/>
      <c r="HI44" s="4"/>
      <c r="HJ44" s="4"/>
      <c r="HK44" s="4"/>
      <c r="HL44" s="4"/>
      <c r="HM44" s="4"/>
      <c r="HN44" s="4"/>
      <c r="HO44" s="4"/>
      <c r="HP44" s="4"/>
      <c r="HQ44" s="4"/>
      <c r="HR44" s="4"/>
      <c r="HS44" s="4"/>
      <c r="HT44" s="4"/>
      <c r="HU44" s="4"/>
      <c r="HV44" s="4"/>
      <c r="HW44" s="4"/>
      <c r="HX44" s="4"/>
      <c r="HY44" s="4"/>
      <c r="HZ44" s="4"/>
      <c r="IA44" s="4"/>
      <c r="IB44" s="4"/>
      <c r="IC44" s="4"/>
      <c r="ID44" s="4"/>
      <c r="IE44" s="4"/>
      <c r="IF44" s="4"/>
      <c r="IG44" s="4"/>
      <c r="IH44" s="4"/>
      <c r="II44" s="4"/>
      <c r="IJ44" s="4"/>
      <c r="IK44" s="4"/>
      <c r="IL44" s="4"/>
      <c r="IM44" s="4"/>
      <c r="IN44" s="4"/>
      <c r="IO44" s="4"/>
      <c r="IP44" s="4"/>
      <c r="IQ44" s="4"/>
      <c r="IR44" s="4"/>
      <c r="IS44" s="4"/>
      <c r="IT44" s="4"/>
      <c r="IU44" s="4"/>
      <c r="IV44" s="4"/>
      <c r="IW44" s="4"/>
      <c r="IX44" s="4"/>
      <c r="IY44" s="4"/>
      <c r="IZ44" s="4"/>
      <c r="JA44" s="4"/>
      <c r="JB44" s="4"/>
      <c r="JC44" s="4"/>
      <c r="JD44" s="4"/>
      <c r="JE44" s="4"/>
      <c r="JF44" s="4"/>
      <c r="JG44" s="4"/>
      <c r="JH44" s="4"/>
      <c r="JI44" s="4"/>
      <c r="JJ44" s="4"/>
      <c r="JK44" s="4"/>
      <c r="JL44" s="4"/>
      <c r="JM44" s="4"/>
      <c r="JN44" s="4"/>
      <c r="JO44" s="4"/>
      <c r="JP44" s="4"/>
      <c r="JQ44" s="4"/>
      <c r="JR44" s="4"/>
      <c r="JS44" s="4"/>
      <c r="JT44" s="4"/>
      <c r="JU44" s="4"/>
      <c r="JV44" s="4"/>
      <c r="JW44" s="4"/>
      <c r="JX44" s="4"/>
      <c r="JY44" s="4"/>
      <c r="JZ44" s="4"/>
      <c r="KA44" s="4"/>
      <c r="KB44" s="4"/>
      <c r="KC44" s="4"/>
      <c r="KD44" s="4"/>
      <c r="KE44" s="4"/>
      <c r="KF44" s="4"/>
      <c r="KG44" s="4"/>
      <c r="KH44" s="4"/>
      <c r="KI44" s="4"/>
      <c r="KJ44" s="4"/>
      <c r="KK44" s="4"/>
      <c r="KL44" s="4"/>
      <c r="KM44" s="4"/>
      <c r="KN44" s="4"/>
      <c r="KO44" s="4"/>
      <c r="KP44" s="4"/>
      <c r="KQ44" s="4"/>
      <c r="KR44" s="4"/>
      <c r="KS44" s="4"/>
      <c r="KT44" s="4"/>
      <c r="KU44" s="4"/>
      <c r="KV44" s="4"/>
      <c r="KW44" s="4"/>
      <c r="KX44" s="4"/>
      <c r="KY44" s="4"/>
      <c r="KZ44" s="4"/>
      <c r="LA44" s="4"/>
      <c r="LB44" s="4"/>
      <c r="LC44" s="4"/>
      <c r="LD44" s="4"/>
      <c r="LE44" s="4"/>
      <c r="LF44" s="4"/>
      <c r="LG44" s="4"/>
      <c r="LH44" s="4"/>
      <c r="LI44" s="4"/>
      <c r="LJ44" s="4"/>
      <c r="LK44" s="4"/>
      <c r="LL44" s="4"/>
      <c r="LM44" s="4"/>
      <c r="LN44" s="4"/>
      <c r="LO44" s="4"/>
      <c r="LP44" s="4"/>
      <c r="LQ44" s="4"/>
      <c r="LR44" s="4"/>
      <c r="LS44" s="4"/>
      <c r="LT44" s="4"/>
      <c r="LU44" s="4"/>
      <c r="LV44" s="4"/>
      <c r="LW44" s="4"/>
      <c r="LX44" s="4"/>
      <c r="LY44" s="4"/>
      <c r="LZ44" s="4"/>
      <c r="MA44" s="4"/>
      <c r="MB44" s="4"/>
      <c r="MC44" s="4"/>
      <c r="MD44" s="4"/>
      <c r="ME44" s="4"/>
      <c r="MF44" s="4"/>
      <c r="MG44" s="4"/>
      <c r="MH44" s="4"/>
      <c r="MI44" s="4"/>
      <c r="MJ44" s="4"/>
      <c r="MK44" s="4"/>
      <c r="ML44" s="4"/>
      <c r="MM44" s="4"/>
      <c r="MN44" s="4"/>
      <c r="MO44" s="4"/>
      <c r="MP44" s="4"/>
    </row>
    <row r="45" spans="1:354">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c r="AQ45" s="4"/>
      <c r="AR45" s="4"/>
      <c r="AS45" s="4"/>
      <c r="AT45" s="4"/>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c r="FN45" s="4"/>
      <c r="FO45" s="4"/>
      <c r="FP45" s="4"/>
      <c r="FQ45" s="4"/>
      <c r="FR45" s="4"/>
      <c r="FS45" s="4"/>
      <c r="FT45" s="4"/>
      <c r="FU45" s="4"/>
      <c r="FV45" s="4"/>
      <c r="FW45" s="4"/>
      <c r="FX45" s="4"/>
      <c r="FY45" s="4"/>
      <c r="FZ45" s="4"/>
      <c r="GA45" s="4"/>
      <c r="GB45" s="4"/>
      <c r="GC45" s="4"/>
      <c r="GD45" s="4"/>
      <c r="GE45" s="4"/>
      <c r="GF45" s="4"/>
      <c r="GG45" s="4"/>
      <c r="GH45" s="4"/>
      <c r="GI45" s="4"/>
      <c r="GJ45" s="4"/>
      <c r="GK45" s="4"/>
      <c r="GL45" s="4"/>
      <c r="GM45" s="4"/>
      <c r="GN45" s="4"/>
      <c r="GO45" s="4"/>
      <c r="GP45" s="4"/>
      <c r="GQ45" s="4"/>
      <c r="GR45" s="4"/>
      <c r="GS45" s="4"/>
      <c r="GT45" s="4"/>
      <c r="GU45" s="4"/>
      <c r="GV45" s="4"/>
      <c r="GW45" s="4"/>
      <c r="GX45" s="4"/>
      <c r="GY45" s="4"/>
      <c r="GZ45" s="4"/>
      <c r="HA45" s="4"/>
      <c r="HB45" s="4"/>
      <c r="HC45" s="4"/>
      <c r="HD45" s="4"/>
      <c r="HE45" s="4"/>
      <c r="HF45" s="4"/>
      <c r="HG45" s="4"/>
      <c r="HH45" s="4"/>
      <c r="HI45" s="4"/>
      <c r="HJ45" s="4"/>
      <c r="HK45" s="4"/>
      <c r="HL45" s="4"/>
      <c r="HM45" s="4"/>
      <c r="HN45" s="4"/>
      <c r="HO45" s="4"/>
      <c r="HP45" s="4"/>
      <c r="HQ45" s="4"/>
      <c r="HR45" s="4"/>
      <c r="HS45" s="4"/>
      <c r="HT45" s="4"/>
      <c r="HU45" s="4"/>
      <c r="HV45" s="4"/>
      <c r="HW45" s="4"/>
      <c r="HX45" s="4"/>
      <c r="HY45" s="4"/>
      <c r="HZ45" s="4"/>
      <c r="IA45" s="4"/>
      <c r="IB45" s="4"/>
      <c r="IC45" s="4"/>
      <c r="ID45" s="4"/>
      <c r="IE45" s="4"/>
      <c r="IF45" s="4"/>
      <c r="IG45" s="4"/>
      <c r="IH45" s="4"/>
      <c r="II45" s="4"/>
      <c r="IJ45" s="4"/>
      <c r="IK45" s="4"/>
      <c r="IL45" s="4"/>
      <c r="IM45" s="4"/>
      <c r="IN45" s="4"/>
      <c r="IO45" s="4"/>
      <c r="IP45" s="4"/>
      <c r="IQ45" s="4"/>
      <c r="IR45" s="4"/>
      <c r="IS45" s="4"/>
      <c r="IT45" s="4"/>
      <c r="IU45" s="4"/>
      <c r="IV45" s="4"/>
      <c r="IW45" s="4"/>
      <c r="IX45" s="4"/>
      <c r="IY45" s="4"/>
      <c r="IZ45" s="4"/>
      <c r="JA45" s="4"/>
      <c r="JB45" s="4"/>
      <c r="JC45" s="4"/>
      <c r="JD45" s="4"/>
      <c r="JE45" s="4"/>
      <c r="JF45" s="4"/>
      <c r="JG45" s="4"/>
      <c r="JH45" s="4"/>
      <c r="JI45" s="4"/>
      <c r="JJ45" s="4"/>
      <c r="JK45" s="4"/>
      <c r="JL45" s="4"/>
      <c r="JM45" s="4"/>
      <c r="JN45" s="4"/>
      <c r="JO45" s="4"/>
      <c r="JP45" s="4"/>
      <c r="JQ45" s="4"/>
      <c r="JR45" s="4"/>
      <c r="JS45" s="4"/>
      <c r="JT45" s="4"/>
      <c r="JU45" s="4"/>
      <c r="JV45" s="4"/>
      <c r="JW45" s="4"/>
      <c r="JX45" s="4"/>
      <c r="JY45" s="4"/>
      <c r="JZ45" s="4"/>
      <c r="KA45" s="4"/>
      <c r="KB45" s="4"/>
      <c r="KC45" s="4"/>
      <c r="KD45" s="4"/>
      <c r="KE45" s="4"/>
      <c r="KF45" s="4"/>
      <c r="KG45" s="4"/>
      <c r="KH45" s="4"/>
      <c r="KI45" s="4"/>
      <c r="KJ45" s="4"/>
      <c r="KK45" s="4"/>
      <c r="KL45" s="4"/>
      <c r="KM45" s="4"/>
      <c r="KN45" s="4"/>
      <c r="KO45" s="4"/>
      <c r="KP45" s="4"/>
      <c r="KQ45" s="4"/>
      <c r="KR45" s="4"/>
      <c r="KS45" s="4"/>
      <c r="KT45" s="4"/>
      <c r="KU45" s="4"/>
      <c r="KV45" s="4"/>
      <c r="KW45" s="4"/>
      <c r="KX45" s="4"/>
      <c r="KY45" s="4"/>
      <c r="KZ45" s="4"/>
      <c r="LA45" s="4"/>
      <c r="LB45" s="4"/>
      <c r="LC45" s="4"/>
      <c r="LD45" s="4"/>
      <c r="LE45" s="4"/>
      <c r="LF45" s="4"/>
      <c r="LG45" s="4"/>
      <c r="LH45" s="4"/>
      <c r="LI45" s="4"/>
      <c r="LJ45" s="4"/>
      <c r="LK45" s="4"/>
      <c r="LL45" s="4"/>
      <c r="LM45" s="4"/>
      <c r="LN45" s="4"/>
      <c r="LO45" s="4"/>
      <c r="LP45" s="4"/>
      <c r="LQ45" s="4"/>
      <c r="LR45" s="4"/>
      <c r="LS45" s="4"/>
      <c r="LT45" s="4"/>
      <c r="LU45" s="4"/>
      <c r="LV45" s="4"/>
      <c r="LW45" s="4"/>
      <c r="LX45" s="4"/>
      <c r="LY45" s="4"/>
      <c r="LZ45" s="4"/>
      <c r="MA45" s="4"/>
      <c r="MB45" s="4"/>
      <c r="MC45" s="4"/>
      <c r="MD45" s="4"/>
      <c r="ME45" s="4"/>
      <c r="MF45" s="4"/>
      <c r="MG45" s="4"/>
      <c r="MH45" s="4"/>
      <c r="MI45" s="4"/>
      <c r="MJ45" s="4"/>
      <c r="MK45" s="4"/>
      <c r="ML45" s="4"/>
      <c r="MM45" s="4"/>
      <c r="MN45" s="4"/>
      <c r="MO45" s="4"/>
      <c r="MP45" s="4"/>
    </row>
    <row r="46" spans="1:354">
      <c r="A46" s="4"/>
      <c r="B46" s="4"/>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c r="AQ46" s="4"/>
      <c r="AR46" s="4"/>
      <c r="AS46" s="4"/>
      <c r="AT46" s="4"/>
      <c r="AU46" s="4"/>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c r="GH46" s="4"/>
      <c r="GI46" s="4"/>
      <c r="GJ46" s="4"/>
      <c r="GK46" s="4"/>
      <c r="GL46" s="4"/>
      <c r="GM46" s="4"/>
      <c r="GN46" s="4"/>
      <c r="GO46" s="4"/>
      <c r="GP46" s="4"/>
      <c r="GQ46" s="4"/>
      <c r="GR46" s="4"/>
      <c r="GS46" s="4"/>
      <c r="GT46" s="4"/>
      <c r="GU46" s="4"/>
      <c r="GV46" s="4"/>
      <c r="GW46" s="4"/>
      <c r="GX46" s="4"/>
      <c r="GY46" s="4"/>
      <c r="GZ46" s="4"/>
      <c r="HA46" s="4"/>
      <c r="HB46" s="4"/>
      <c r="HC46" s="4"/>
      <c r="HD46" s="4"/>
      <c r="HE46" s="4"/>
      <c r="HF46" s="4"/>
      <c r="HG46" s="4"/>
      <c r="HH46" s="4"/>
      <c r="HI46" s="4"/>
      <c r="HJ46" s="4"/>
      <c r="HK46" s="4"/>
      <c r="HL46" s="4"/>
      <c r="HM46" s="4"/>
      <c r="HN46" s="4"/>
      <c r="HO46" s="4"/>
      <c r="HP46" s="4"/>
      <c r="HQ46" s="4"/>
      <c r="HR46" s="4"/>
      <c r="HS46" s="4"/>
      <c r="HT46" s="4"/>
      <c r="HU46" s="4"/>
      <c r="HV46" s="4"/>
      <c r="HW46" s="4"/>
      <c r="HX46" s="4"/>
      <c r="HY46" s="4"/>
      <c r="HZ46" s="4"/>
      <c r="IA46" s="4"/>
      <c r="IB46" s="4"/>
      <c r="IC46" s="4"/>
      <c r="ID46" s="4"/>
      <c r="IE46" s="4"/>
      <c r="IF46" s="4"/>
      <c r="IG46" s="4"/>
      <c r="IH46" s="4"/>
      <c r="II46" s="4"/>
      <c r="IJ46" s="4"/>
      <c r="IK46" s="4"/>
      <c r="IL46" s="4"/>
      <c r="IM46" s="4"/>
      <c r="IN46" s="4"/>
      <c r="IO46" s="4"/>
      <c r="IP46" s="4"/>
      <c r="IQ46" s="4"/>
      <c r="IR46" s="4"/>
      <c r="IS46" s="4"/>
      <c r="IT46" s="4"/>
      <c r="IU46" s="4"/>
      <c r="IV46" s="4"/>
      <c r="IW46" s="4"/>
      <c r="IX46" s="4"/>
      <c r="IY46" s="4"/>
      <c r="IZ46" s="4"/>
      <c r="JA46" s="4"/>
      <c r="JB46" s="4"/>
      <c r="JC46" s="4"/>
      <c r="JD46" s="4"/>
      <c r="JE46" s="4"/>
      <c r="JF46" s="4"/>
      <c r="JG46" s="4"/>
      <c r="JH46" s="4"/>
      <c r="JI46" s="4"/>
      <c r="JJ46" s="4"/>
      <c r="JK46" s="4"/>
      <c r="JL46" s="4"/>
      <c r="JM46" s="4"/>
      <c r="JN46" s="4"/>
      <c r="JO46" s="4"/>
      <c r="JP46" s="4"/>
      <c r="JQ46" s="4"/>
      <c r="JR46" s="4"/>
      <c r="JS46" s="4"/>
      <c r="JT46" s="4"/>
      <c r="JU46" s="4"/>
      <c r="JV46" s="4"/>
      <c r="JW46" s="4"/>
      <c r="JX46" s="4"/>
      <c r="JY46" s="4"/>
      <c r="JZ46" s="4"/>
      <c r="KA46" s="4"/>
      <c r="KB46" s="4"/>
      <c r="KC46" s="4"/>
      <c r="KD46" s="4"/>
      <c r="KE46" s="4"/>
      <c r="KF46" s="4"/>
      <c r="KG46" s="4"/>
      <c r="KH46" s="4"/>
      <c r="KI46" s="4"/>
      <c r="KJ46" s="4"/>
      <c r="KK46" s="4"/>
      <c r="KL46" s="4"/>
      <c r="KM46" s="4"/>
      <c r="KN46" s="4"/>
      <c r="KO46" s="4"/>
      <c r="KP46" s="4"/>
      <c r="KQ46" s="4"/>
      <c r="KR46" s="4"/>
      <c r="KS46" s="4"/>
      <c r="KT46" s="4"/>
      <c r="KU46" s="4"/>
      <c r="KV46" s="4"/>
      <c r="KW46" s="4"/>
      <c r="KX46" s="4"/>
      <c r="KY46" s="4"/>
      <c r="KZ46" s="4"/>
      <c r="LA46" s="4"/>
      <c r="LB46" s="4"/>
      <c r="LC46" s="4"/>
      <c r="LD46" s="4"/>
      <c r="LE46" s="4"/>
      <c r="LF46" s="4"/>
      <c r="LG46" s="4"/>
      <c r="LH46" s="4"/>
      <c r="LI46" s="4"/>
      <c r="LJ46" s="4"/>
      <c r="LK46" s="4"/>
      <c r="LL46" s="4"/>
      <c r="LM46" s="4"/>
      <c r="LN46" s="4"/>
      <c r="LO46" s="4"/>
      <c r="LP46" s="4"/>
      <c r="LQ46" s="4"/>
      <c r="LR46" s="4"/>
      <c r="LS46" s="4"/>
      <c r="LT46" s="4"/>
      <c r="LU46" s="4"/>
      <c r="LV46" s="4"/>
      <c r="LW46" s="4"/>
      <c r="LX46" s="4"/>
      <c r="LY46" s="4"/>
      <c r="LZ46" s="4"/>
      <c r="MA46" s="4"/>
      <c r="MB46" s="4"/>
      <c r="MC46" s="4"/>
      <c r="MD46" s="4"/>
      <c r="ME46" s="4"/>
      <c r="MF46" s="4"/>
      <c r="MG46" s="4"/>
      <c r="MH46" s="4"/>
      <c r="MI46" s="4"/>
      <c r="MJ46" s="4"/>
      <c r="MK46" s="4"/>
      <c r="ML46" s="4"/>
      <c r="MM46" s="4"/>
      <c r="MN46" s="4"/>
      <c r="MO46" s="4"/>
      <c r="MP46" s="4"/>
    </row>
    <row r="47" spans="1:354">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c r="AQ47" s="4"/>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c r="GH47" s="4"/>
      <c r="GI47" s="4"/>
      <c r="GJ47" s="4"/>
      <c r="GK47" s="4"/>
      <c r="GL47" s="4"/>
      <c r="GM47" s="4"/>
      <c r="GN47" s="4"/>
      <c r="GO47" s="4"/>
      <c r="GP47" s="4"/>
      <c r="GQ47" s="4"/>
      <c r="GR47" s="4"/>
      <c r="GS47" s="4"/>
      <c r="GT47" s="4"/>
      <c r="GU47" s="4"/>
      <c r="GV47" s="4"/>
      <c r="GW47" s="4"/>
      <c r="GX47" s="4"/>
      <c r="GY47" s="4"/>
      <c r="GZ47" s="4"/>
      <c r="HA47" s="4"/>
      <c r="HB47" s="4"/>
      <c r="HC47" s="4"/>
      <c r="HD47" s="4"/>
      <c r="HE47" s="4"/>
      <c r="HF47" s="4"/>
      <c r="HG47" s="4"/>
      <c r="HH47" s="4"/>
      <c r="HI47" s="4"/>
      <c r="HJ47" s="4"/>
      <c r="HK47" s="4"/>
      <c r="HL47" s="4"/>
      <c r="HM47" s="4"/>
      <c r="HN47" s="4"/>
      <c r="HO47" s="4"/>
      <c r="HP47" s="4"/>
      <c r="HQ47" s="4"/>
      <c r="HR47" s="4"/>
      <c r="HS47" s="4"/>
      <c r="HT47" s="4"/>
      <c r="HU47" s="4"/>
      <c r="HV47" s="4"/>
      <c r="HW47" s="4"/>
      <c r="HX47" s="4"/>
      <c r="HY47" s="4"/>
      <c r="HZ47" s="4"/>
      <c r="IA47" s="4"/>
      <c r="IB47" s="4"/>
      <c r="IC47" s="4"/>
      <c r="ID47" s="4"/>
      <c r="IE47" s="4"/>
      <c r="IF47" s="4"/>
      <c r="IG47" s="4"/>
      <c r="IH47" s="4"/>
      <c r="II47" s="4"/>
      <c r="IJ47" s="4"/>
      <c r="IK47" s="4"/>
      <c r="IL47" s="4"/>
      <c r="IM47" s="4"/>
      <c r="IN47" s="4"/>
      <c r="IO47" s="4"/>
      <c r="IP47" s="4"/>
      <c r="IQ47" s="4"/>
      <c r="IR47" s="4"/>
      <c r="IS47" s="4"/>
      <c r="IT47" s="4"/>
      <c r="IU47" s="4"/>
      <c r="IV47" s="4"/>
      <c r="IW47" s="4"/>
      <c r="IX47" s="4"/>
      <c r="IY47" s="4"/>
      <c r="IZ47" s="4"/>
      <c r="JA47" s="4"/>
      <c r="JB47" s="4"/>
      <c r="JC47" s="4"/>
      <c r="JD47" s="4"/>
      <c r="JE47" s="4"/>
      <c r="JF47" s="4"/>
      <c r="JG47" s="4"/>
      <c r="JH47" s="4"/>
      <c r="JI47" s="4"/>
      <c r="JJ47" s="4"/>
      <c r="JK47" s="4"/>
      <c r="JL47" s="4"/>
      <c r="JM47" s="4"/>
      <c r="JN47" s="4"/>
      <c r="JO47" s="4"/>
      <c r="JP47" s="4"/>
      <c r="JQ47" s="4"/>
      <c r="JR47" s="4"/>
      <c r="JS47" s="4"/>
      <c r="JT47" s="4"/>
      <c r="JU47" s="4"/>
      <c r="JV47" s="4"/>
      <c r="JW47" s="4"/>
      <c r="JX47" s="4"/>
      <c r="JY47" s="4"/>
      <c r="JZ47" s="4"/>
      <c r="KA47" s="4"/>
      <c r="KB47" s="4"/>
      <c r="KC47" s="4"/>
      <c r="KD47" s="4"/>
      <c r="KE47" s="4"/>
      <c r="KF47" s="4"/>
      <c r="KG47" s="4"/>
      <c r="KH47" s="4"/>
      <c r="KI47" s="4"/>
      <c r="KJ47" s="4"/>
      <c r="KK47" s="4"/>
      <c r="KL47" s="4"/>
      <c r="KM47" s="4"/>
      <c r="KN47" s="4"/>
      <c r="KO47" s="4"/>
      <c r="KP47" s="4"/>
      <c r="KQ47" s="4"/>
      <c r="KR47" s="4"/>
      <c r="KS47" s="4"/>
      <c r="KT47" s="4"/>
      <c r="KU47" s="4"/>
      <c r="KV47" s="4"/>
      <c r="KW47" s="4"/>
      <c r="KX47" s="4"/>
      <c r="KY47" s="4"/>
      <c r="KZ47" s="4"/>
      <c r="LA47" s="4"/>
      <c r="LB47" s="4"/>
      <c r="LC47" s="4"/>
      <c r="LD47" s="4"/>
      <c r="LE47" s="4"/>
      <c r="LF47" s="4"/>
      <c r="LG47" s="4"/>
      <c r="LH47" s="4"/>
      <c r="LI47" s="4"/>
      <c r="LJ47" s="4"/>
      <c r="LK47" s="4"/>
      <c r="LL47" s="4"/>
      <c r="LM47" s="4"/>
      <c r="LN47" s="4"/>
      <c r="LO47" s="4"/>
      <c r="LP47" s="4"/>
      <c r="LQ47" s="4"/>
      <c r="LR47" s="4"/>
      <c r="LS47" s="4"/>
      <c r="LT47" s="4"/>
      <c r="LU47" s="4"/>
      <c r="LV47" s="4"/>
      <c r="LW47" s="4"/>
      <c r="LX47" s="4"/>
      <c r="LY47" s="4"/>
      <c r="LZ47" s="4"/>
      <c r="MA47" s="4"/>
      <c r="MB47" s="4"/>
      <c r="MC47" s="4"/>
      <c r="MD47" s="4"/>
      <c r="ME47" s="4"/>
      <c r="MF47" s="4"/>
      <c r="MG47" s="4"/>
      <c r="MH47" s="4"/>
      <c r="MI47" s="4"/>
      <c r="MJ47" s="4"/>
      <c r="MK47" s="4"/>
      <c r="ML47" s="4"/>
      <c r="MM47" s="4"/>
      <c r="MN47" s="4"/>
      <c r="MO47" s="4"/>
      <c r="MP47" s="4"/>
    </row>
    <row r="48" spans="1:354">
      <c r="A48" s="4"/>
      <c r="B48" s="4"/>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c r="AQ48" s="4"/>
      <c r="AR48" s="4"/>
      <c r="AS48" s="4"/>
      <c r="AT48" s="4"/>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c r="GH48" s="4"/>
      <c r="GI48" s="4"/>
      <c r="GJ48" s="4"/>
      <c r="GK48" s="4"/>
      <c r="GL48" s="4"/>
      <c r="GM48" s="4"/>
      <c r="GN48" s="4"/>
      <c r="GO48" s="4"/>
      <c r="GP48" s="4"/>
      <c r="GQ48" s="4"/>
      <c r="GR48" s="4"/>
      <c r="GS48" s="4"/>
      <c r="GT48" s="4"/>
      <c r="GU48" s="4"/>
      <c r="GV48" s="4"/>
      <c r="GW48" s="4"/>
      <c r="GX48" s="4"/>
      <c r="GY48" s="4"/>
      <c r="GZ48" s="4"/>
      <c r="HA48" s="4"/>
      <c r="HB48" s="4"/>
      <c r="HC48" s="4"/>
      <c r="HD48" s="4"/>
      <c r="HE48" s="4"/>
      <c r="HF48" s="4"/>
      <c r="HG48" s="4"/>
      <c r="HH48" s="4"/>
      <c r="HI48" s="4"/>
      <c r="HJ48" s="4"/>
      <c r="HK48" s="4"/>
      <c r="HL48" s="4"/>
      <c r="HM48" s="4"/>
      <c r="HN48" s="4"/>
      <c r="HO48" s="4"/>
      <c r="HP48" s="4"/>
      <c r="HQ48" s="4"/>
      <c r="HR48" s="4"/>
      <c r="HS48" s="4"/>
      <c r="HT48" s="4"/>
      <c r="HU48" s="4"/>
      <c r="HV48" s="4"/>
      <c r="HW48" s="4"/>
      <c r="HX48" s="4"/>
      <c r="HY48" s="4"/>
      <c r="HZ48" s="4"/>
      <c r="IA48" s="4"/>
      <c r="IB48" s="4"/>
      <c r="IC48" s="4"/>
      <c r="ID48" s="4"/>
      <c r="IE48" s="4"/>
      <c r="IF48" s="4"/>
      <c r="IG48" s="4"/>
      <c r="IH48" s="4"/>
      <c r="II48" s="4"/>
      <c r="IJ48" s="4"/>
      <c r="IK48" s="4"/>
      <c r="IL48" s="4"/>
      <c r="IM48" s="4"/>
      <c r="IN48" s="4"/>
      <c r="IO48" s="4"/>
      <c r="IP48" s="4"/>
      <c r="IQ48" s="4"/>
      <c r="IR48" s="4"/>
      <c r="IS48" s="4"/>
      <c r="IT48" s="4"/>
      <c r="IU48" s="4"/>
      <c r="IV48" s="4"/>
      <c r="IW48" s="4"/>
      <c r="IX48" s="4"/>
      <c r="IY48" s="4"/>
      <c r="IZ48" s="4"/>
      <c r="JA48" s="4"/>
      <c r="JB48" s="4"/>
      <c r="JC48" s="4"/>
      <c r="JD48" s="4"/>
      <c r="JE48" s="4"/>
      <c r="JF48" s="4"/>
      <c r="JG48" s="4"/>
      <c r="JH48" s="4"/>
      <c r="JI48" s="4"/>
      <c r="JJ48" s="4"/>
      <c r="JK48" s="4"/>
      <c r="JL48" s="4"/>
      <c r="JM48" s="4"/>
      <c r="JN48" s="4"/>
      <c r="JO48" s="4"/>
      <c r="JP48" s="4"/>
      <c r="JQ48" s="4"/>
      <c r="JR48" s="4"/>
      <c r="JS48" s="4"/>
      <c r="JT48" s="4"/>
      <c r="JU48" s="4"/>
      <c r="JV48" s="4"/>
      <c r="JW48" s="4"/>
      <c r="JX48" s="4"/>
      <c r="JY48" s="4"/>
      <c r="JZ48" s="4"/>
      <c r="KA48" s="4"/>
      <c r="KB48" s="4"/>
      <c r="KC48" s="4"/>
      <c r="KD48" s="4"/>
      <c r="KE48" s="4"/>
      <c r="KF48" s="4"/>
      <c r="KG48" s="4"/>
      <c r="KH48" s="4"/>
      <c r="KI48" s="4"/>
      <c r="KJ48" s="4"/>
      <c r="KK48" s="4"/>
      <c r="KL48" s="4"/>
      <c r="KM48" s="4"/>
      <c r="KN48" s="4"/>
      <c r="KO48" s="4"/>
      <c r="KP48" s="4"/>
      <c r="KQ48" s="4"/>
      <c r="KR48" s="4"/>
      <c r="KS48" s="4"/>
      <c r="KT48" s="4"/>
      <c r="KU48" s="4"/>
      <c r="KV48" s="4"/>
      <c r="KW48" s="4"/>
      <c r="KX48" s="4"/>
      <c r="KY48" s="4"/>
      <c r="KZ48" s="4"/>
      <c r="LA48" s="4"/>
      <c r="LB48" s="4"/>
      <c r="LC48" s="4"/>
      <c r="LD48" s="4"/>
      <c r="LE48" s="4"/>
      <c r="LF48" s="4"/>
      <c r="LG48" s="4"/>
      <c r="LH48" s="4"/>
      <c r="LI48" s="4"/>
      <c r="LJ48" s="4"/>
      <c r="LK48" s="4"/>
      <c r="LL48" s="4"/>
      <c r="LM48" s="4"/>
      <c r="LN48" s="4"/>
      <c r="LO48" s="4"/>
      <c r="LP48" s="4"/>
      <c r="LQ48" s="4"/>
      <c r="LR48" s="4"/>
      <c r="LS48" s="4"/>
      <c r="LT48" s="4"/>
      <c r="LU48" s="4"/>
      <c r="LV48" s="4"/>
      <c r="LW48" s="4"/>
      <c r="LX48" s="4"/>
      <c r="LY48" s="4"/>
      <c r="LZ48" s="4"/>
      <c r="MA48" s="4"/>
      <c r="MB48" s="4"/>
      <c r="MC48" s="4"/>
      <c r="MD48" s="4"/>
      <c r="ME48" s="4"/>
      <c r="MF48" s="4"/>
      <c r="MG48" s="4"/>
      <c r="MH48" s="4"/>
      <c r="MI48" s="4"/>
      <c r="MJ48" s="4"/>
      <c r="MK48" s="4"/>
      <c r="ML48" s="4"/>
      <c r="MM48" s="4"/>
      <c r="MN48" s="4"/>
      <c r="MO48" s="4"/>
      <c r="MP48" s="4"/>
    </row>
    <row r="49" spans="1:354">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c r="AQ49" s="4"/>
      <c r="AR49" s="4"/>
      <c r="AS49" s="4"/>
      <c r="AT49" s="4"/>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c r="GH49" s="4"/>
      <c r="GI49" s="4"/>
      <c r="GJ49" s="4"/>
      <c r="GK49" s="4"/>
      <c r="GL49" s="4"/>
      <c r="GM49" s="4"/>
      <c r="GN49" s="4"/>
      <c r="GO49" s="4"/>
      <c r="GP49" s="4"/>
      <c r="GQ49" s="4"/>
      <c r="GR49" s="4"/>
      <c r="GS49" s="4"/>
      <c r="GT49" s="4"/>
      <c r="GU49" s="4"/>
      <c r="GV49" s="4"/>
      <c r="GW49" s="4"/>
      <c r="GX49" s="4"/>
      <c r="GY49" s="4"/>
      <c r="GZ49" s="4"/>
      <c r="HA49" s="4"/>
      <c r="HB49" s="4"/>
      <c r="HC49" s="4"/>
      <c r="HD49" s="4"/>
      <c r="HE49" s="4"/>
      <c r="HF49" s="4"/>
      <c r="HG49" s="4"/>
      <c r="HH49" s="4"/>
      <c r="HI49" s="4"/>
      <c r="HJ49" s="4"/>
      <c r="HK49" s="4"/>
      <c r="HL49" s="4"/>
      <c r="HM49" s="4"/>
      <c r="HN49" s="4"/>
      <c r="HO49" s="4"/>
      <c r="HP49" s="4"/>
      <c r="HQ49" s="4"/>
      <c r="HR49" s="4"/>
      <c r="HS49" s="4"/>
      <c r="HT49" s="4"/>
      <c r="HU49" s="4"/>
      <c r="HV49" s="4"/>
      <c r="HW49" s="4"/>
      <c r="HX49" s="4"/>
      <c r="HY49" s="4"/>
      <c r="HZ49" s="4"/>
      <c r="IA49" s="4"/>
      <c r="IB49" s="4"/>
      <c r="IC49" s="4"/>
      <c r="ID49" s="4"/>
      <c r="IE49" s="4"/>
      <c r="IF49" s="4"/>
      <c r="IG49" s="4"/>
      <c r="IH49" s="4"/>
      <c r="II49" s="4"/>
      <c r="IJ49" s="4"/>
      <c r="IK49" s="4"/>
      <c r="IL49" s="4"/>
      <c r="IM49" s="4"/>
      <c r="IN49" s="4"/>
      <c r="IO49" s="4"/>
      <c r="IP49" s="4"/>
      <c r="IQ49" s="4"/>
      <c r="IR49" s="4"/>
      <c r="IS49" s="4"/>
      <c r="IT49" s="4"/>
      <c r="IU49" s="4"/>
      <c r="IV49" s="4"/>
      <c r="IW49" s="4"/>
      <c r="IX49" s="4"/>
      <c r="IY49" s="4"/>
      <c r="IZ49" s="4"/>
      <c r="JA49" s="4"/>
      <c r="JB49" s="4"/>
      <c r="JC49" s="4"/>
      <c r="JD49" s="4"/>
      <c r="JE49" s="4"/>
      <c r="JF49" s="4"/>
      <c r="JG49" s="4"/>
      <c r="JH49" s="4"/>
      <c r="JI49" s="4"/>
      <c r="JJ49" s="4"/>
      <c r="JK49" s="4"/>
      <c r="JL49" s="4"/>
      <c r="JM49" s="4"/>
      <c r="JN49" s="4"/>
      <c r="JO49" s="4"/>
      <c r="JP49" s="4"/>
      <c r="JQ49" s="4"/>
      <c r="JR49" s="4"/>
      <c r="JS49" s="4"/>
      <c r="JT49" s="4"/>
      <c r="JU49" s="4"/>
      <c r="JV49" s="4"/>
      <c r="JW49" s="4"/>
      <c r="JX49" s="4"/>
      <c r="JY49" s="4"/>
      <c r="JZ49" s="4"/>
      <c r="KA49" s="4"/>
      <c r="KB49" s="4"/>
      <c r="KC49" s="4"/>
      <c r="KD49" s="4"/>
      <c r="KE49" s="4"/>
      <c r="KF49" s="4"/>
      <c r="KG49" s="4"/>
      <c r="KH49" s="4"/>
      <c r="KI49" s="4"/>
      <c r="KJ49" s="4"/>
      <c r="KK49" s="4"/>
      <c r="KL49" s="4"/>
      <c r="KM49" s="4"/>
      <c r="KN49" s="4"/>
      <c r="KO49" s="4"/>
      <c r="KP49" s="4"/>
      <c r="KQ49" s="4"/>
      <c r="KR49" s="4"/>
      <c r="KS49" s="4"/>
      <c r="KT49" s="4"/>
      <c r="KU49" s="4"/>
      <c r="KV49" s="4"/>
      <c r="KW49" s="4"/>
      <c r="KX49" s="4"/>
      <c r="KY49" s="4"/>
      <c r="KZ49" s="4"/>
      <c r="LA49" s="4"/>
      <c r="LB49" s="4"/>
      <c r="LC49" s="4"/>
      <c r="LD49" s="4"/>
      <c r="LE49" s="4"/>
      <c r="LF49" s="4"/>
      <c r="LG49" s="4"/>
      <c r="LH49" s="4"/>
      <c r="LI49" s="4"/>
      <c r="LJ49" s="4"/>
      <c r="LK49" s="4"/>
      <c r="LL49" s="4"/>
      <c r="LM49" s="4"/>
      <c r="LN49" s="4"/>
      <c r="LO49" s="4"/>
      <c r="LP49" s="4"/>
      <c r="LQ49" s="4"/>
      <c r="LR49" s="4"/>
      <c r="LS49" s="4"/>
      <c r="LT49" s="4"/>
      <c r="LU49" s="4"/>
      <c r="LV49" s="4"/>
      <c r="LW49" s="4"/>
      <c r="LX49" s="4"/>
      <c r="LY49" s="4"/>
      <c r="LZ49" s="4"/>
      <c r="MA49" s="4"/>
      <c r="MB49" s="4"/>
      <c r="MC49" s="4"/>
      <c r="MD49" s="4"/>
      <c r="ME49" s="4"/>
      <c r="MF49" s="4"/>
      <c r="MG49" s="4"/>
      <c r="MH49" s="4"/>
      <c r="MI49" s="4"/>
      <c r="MJ49" s="4"/>
      <c r="MK49" s="4"/>
      <c r="ML49" s="4"/>
      <c r="MM49" s="4"/>
      <c r="MN49" s="4"/>
      <c r="MO49" s="4"/>
      <c r="MP49" s="4"/>
    </row>
    <row r="50" spans="1:354">
      <c r="A50" s="4"/>
      <c r="B50" s="4"/>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c r="AQ50" s="4"/>
      <c r="AR50" s="4"/>
      <c r="AS50" s="4"/>
      <c r="AT50" s="4"/>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c r="GH50" s="4"/>
      <c r="GI50" s="4"/>
      <c r="GJ50" s="4"/>
      <c r="GK50" s="4"/>
      <c r="GL50" s="4"/>
      <c r="GM50" s="4"/>
      <c r="GN50" s="4"/>
      <c r="GO50" s="4"/>
      <c r="GP50" s="4"/>
      <c r="GQ50" s="4"/>
      <c r="GR50" s="4"/>
      <c r="GS50" s="4"/>
      <c r="GT50" s="4"/>
      <c r="GU50" s="4"/>
      <c r="GV50" s="4"/>
      <c r="GW50" s="4"/>
      <c r="GX50" s="4"/>
      <c r="GY50" s="4"/>
      <c r="GZ50" s="4"/>
      <c r="HA50" s="4"/>
      <c r="HB50" s="4"/>
      <c r="HC50" s="4"/>
      <c r="HD50" s="4"/>
      <c r="HE50" s="4"/>
      <c r="HF50" s="4"/>
      <c r="HG50" s="4"/>
      <c r="HH50" s="4"/>
      <c r="HI50" s="4"/>
      <c r="HJ50" s="4"/>
      <c r="HK50" s="4"/>
      <c r="HL50" s="4"/>
      <c r="HM50" s="4"/>
      <c r="HN50" s="4"/>
      <c r="HO50" s="4"/>
      <c r="HP50" s="4"/>
      <c r="HQ50" s="4"/>
      <c r="HR50" s="4"/>
      <c r="HS50" s="4"/>
      <c r="HT50" s="4"/>
      <c r="HU50" s="4"/>
      <c r="HV50" s="4"/>
      <c r="HW50" s="4"/>
      <c r="HX50" s="4"/>
      <c r="HY50" s="4"/>
      <c r="HZ50" s="4"/>
      <c r="IA50" s="4"/>
      <c r="IB50" s="4"/>
      <c r="IC50" s="4"/>
      <c r="ID50" s="4"/>
      <c r="IE50" s="4"/>
      <c r="IF50" s="4"/>
      <c r="IG50" s="4"/>
      <c r="IH50" s="4"/>
      <c r="II50" s="4"/>
      <c r="IJ50" s="4"/>
      <c r="IK50" s="4"/>
      <c r="IL50" s="4"/>
      <c r="IM50" s="4"/>
      <c r="IN50" s="4"/>
      <c r="IO50" s="4"/>
      <c r="IP50" s="4"/>
      <c r="IQ50" s="4"/>
      <c r="IR50" s="4"/>
      <c r="IS50" s="4"/>
      <c r="IT50" s="4"/>
      <c r="IU50" s="4"/>
      <c r="IV50" s="4"/>
      <c r="IW50" s="4"/>
      <c r="IX50" s="4"/>
      <c r="IY50" s="4"/>
      <c r="IZ50" s="4"/>
      <c r="JA50" s="4"/>
      <c r="JB50" s="4"/>
      <c r="JC50" s="4"/>
      <c r="JD50" s="4"/>
      <c r="JE50" s="4"/>
      <c r="JF50" s="4"/>
      <c r="JG50" s="4"/>
      <c r="JH50" s="4"/>
      <c r="JI50" s="4"/>
      <c r="JJ50" s="4"/>
      <c r="JK50" s="4"/>
      <c r="JL50" s="4"/>
      <c r="JM50" s="4"/>
      <c r="JN50" s="4"/>
      <c r="JO50" s="4"/>
      <c r="JP50" s="4"/>
      <c r="JQ50" s="4"/>
      <c r="JR50" s="4"/>
      <c r="JS50" s="4"/>
      <c r="JT50" s="4"/>
      <c r="JU50" s="4"/>
      <c r="JV50" s="4"/>
      <c r="JW50" s="4"/>
      <c r="JX50" s="4"/>
      <c r="JY50" s="4"/>
      <c r="JZ50" s="4"/>
      <c r="KA50" s="4"/>
      <c r="KB50" s="4"/>
      <c r="KC50" s="4"/>
      <c r="KD50" s="4"/>
      <c r="KE50" s="4"/>
      <c r="KF50" s="4"/>
      <c r="KG50" s="4"/>
      <c r="KH50" s="4"/>
      <c r="KI50" s="4"/>
      <c r="KJ50" s="4"/>
      <c r="KK50" s="4"/>
      <c r="KL50" s="4"/>
      <c r="KM50" s="4"/>
      <c r="KN50" s="4"/>
      <c r="KO50" s="4"/>
      <c r="KP50" s="4"/>
      <c r="KQ50" s="4"/>
      <c r="KR50" s="4"/>
      <c r="KS50" s="4"/>
      <c r="KT50" s="4"/>
      <c r="KU50" s="4"/>
      <c r="KV50" s="4"/>
      <c r="KW50" s="4"/>
      <c r="KX50" s="4"/>
      <c r="KY50" s="4"/>
      <c r="KZ50" s="4"/>
      <c r="LA50" s="4"/>
      <c r="LB50" s="4"/>
      <c r="LC50" s="4"/>
      <c r="LD50" s="4"/>
      <c r="LE50" s="4"/>
      <c r="LF50" s="4"/>
      <c r="LG50" s="4"/>
      <c r="LH50" s="4"/>
      <c r="LI50" s="4"/>
      <c r="LJ50" s="4"/>
      <c r="LK50" s="4"/>
      <c r="LL50" s="4"/>
      <c r="LM50" s="4"/>
      <c r="LN50" s="4"/>
      <c r="LO50" s="4"/>
      <c r="LP50" s="4"/>
      <c r="LQ50" s="4"/>
      <c r="LR50" s="4"/>
      <c r="LS50" s="4"/>
      <c r="LT50" s="4"/>
      <c r="LU50" s="4"/>
      <c r="LV50" s="4"/>
      <c r="LW50" s="4"/>
      <c r="LX50" s="4"/>
      <c r="LY50" s="4"/>
      <c r="LZ50" s="4"/>
      <c r="MA50" s="4"/>
      <c r="MB50" s="4"/>
      <c r="MC50" s="4"/>
      <c r="MD50" s="4"/>
      <c r="ME50" s="4"/>
      <c r="MF50" s="4"/>
      <c r="MG50" s="4"/>
      <c r="MH50" s="4"/>
      <c r="MI50" s="4"/>
      <c r="MJ50" s="4"/>
      <c r="MK50" s="4"/>
      <c r="ML50" s="4"/>
      <c r="MM50" s="4"/>
      <c r="MN50" s="4"/>
      <c r="MO50" s="4"/>
      <c r="MP50" s="4"/>
    </row>
    <row r="51" spans="1:354">
      <c r="A51" s="4"/>
      <c r="B51" s="4"/>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c r="AQ51" s="4"/>
      <c r="AR51" s="4"/>
      <c r="AS51" s="4"/>
      <c r="AT51" s="4"/>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c r="FN51" s="4"/>
      <c r="FO51" s="4"/>
      <c r="FP51" s="4"/>
      <c r="FQ51" s="4"/>
      <c r="FR51" s="4"/>
      <c r="FS51" s="4"/>
      <c r="FT51" s="4"/>
      <c r="FU51" s="4"/>
      <c r="FV51" s="4"/>
      <c r="FW51" s="4"/>
      <c r="FX51" s="4"/>
      <c r="FY51" s="4"/>
      <c r="FZ51" s="4"/>
      <c r="GA51" s="4"/>
      <c r="GB51" s="4"/>
      <c r="GC51" s="4"/>
      <c r="GD51" s="4"/>
      <c r="GE51" s="4"/>
      <c r="GF51" s="4"/>
      <c r="GG51" s="4"/>
      <c r="GH51" s="4"/>
      <c r="GI51" s="4"/>
      <c r="GJ51" s="4"/>
      <c r="GK51" s="4"/>
      <c r="GL51" s="4"/>
      <c r="GM51" s="4"/>
      <c r="GN51" s="4"/>
      <c r="GO51" s="4"/>
      <c r="GP51" s="4"/>
      <c r="GQ51" s="4"/>
      <c r="GR51" s="4"/>
      <c r="GS51" s="4"/>
      <c r="GT51" s="4"/>
      <c r="GU51" s="4"/>
      <c r="GV51" s="4"/>
      <c r="GW51" s="4"/>
      <c r="GX51" s="4"/>
      <c r="GY51" s="4"/>
      <c r="GZ51" s="4"/>
      <c r="HA51" s="4"/>
      <c r="HB51" s="4"/>
      <c r="HC51" s="4"/>
      <c r="HD51" s="4"/>
      <c r="HE51" s="4"/>
      <c r="HF51" s="4"/>
      <c r="HG51" s="4"/>
      <c r="HH51" s="4"/>
      <c r="HI51" s="4"/>
      <c r="HJ51" s="4"/>
      <c r="HK51" s="4"/>
      <c r="HL51" s="4"/>
      <c r="HM51" s="4"/>
      <c r="HN51" s="4"/>
      <c r="HO51" s="4"/>
      <c r="HP51" s="4"/>
      <c r="HQ51" s="4"/>
      <c r="HR51" s="4"/>
      <c r="HS51" s="4"/>
      <c r="HT51" s="4"/>
      <c r="HU51" s="4"/>
      <c r="HV51" s="4"/>
      <c r="HW51" s="4"/>
      <c r="HX51" s="4"/>
      <c r="HY51" s="4"/>
      <c r="HZ51" s="4"/>
      <c r="IA51" s="4"/>
      <c r="IB51" s="4"/>
      <c r="IC51" s="4"/>
      <c r="ID51" s="4"/>
      <c r="IE51" s="4"/>
      <c r="IF51" s="4"/>
      <c r="IG51" s="4"/>
      <c r="IH51" s="4"/>
      <c r="II51" s="4"/>
      <c r="IJ51" s="4"/>
      <c r="IK51" s="4"/>
      <c r="IL51" s="4"/>
      <c r="IM51" s="4"/>
      <c r="IN51" s="4"/>
      <c r="IO51" s="4"/>
      <c r="IP51" s="4"/>
      <c r="IQ51" s="4"/>
      <c r="IR51" s="4"/>
      <c r="IS51" s="4"/>
      <c r="IT51" s="4"/>
      <c r="IU51" s="4"/>
      <c r="IV51" s="4"/>
      <c r="IW51" s="4"/>
      <c r="IX51" s="4"/>
      <c r="IY51" s="4"/>
      <c r="IZ51" s="4"/>
      <c r="JA51" s="4"/>
      <c r="JB51" s="4"/>
      <c r="JC51" s="4"/>
      <c r="JD51" s="4"/>
      <c r="JE51" s="4"/>
      <c r="JF51" s="4"/>
      <c r="JG51" s="4"/>
      <c r="JH51" s="4"/>
      <c r="JI51" s="4"/>
      <c r="JJ51" s="4"/>
      <c r="JK51" s="4"/>
      <c r="JL51" s="4"/>
      <c r="JM51" s="4"/>
      <c r="JN51" s="4"/>
      <c r="JO51" s="4"/>
      <c r="JP51" s="4"/>
      <c r="JQ51" s="4"/>
      <c r="JR51" s="4"/>
      <c r="JS51" s="4"/>
      <c r="JT51" s="4"/>
      <c r="JU51" s="4"/>
      <c r="JV51" s="4"/>
      <c r="JW51" s="4"/>
      <c r="JX51" s="4"/>
      <c r="JY51" s="4"/>
      <c r="JZ51" s="4"/>
      <c r="KA51" s="4"/>
      <c r="KB51" s="4"/>
      <c r="KC51" s="4"/>
      <c r="KD51" s="4"/>
      <c r="KE51" s="4"/>
      <c r="KF51" s="4"/>
      <c r="KG51" s="4"/>
      <c r="KH51" s="4"/>
      <c r="KI51" s="4"/>
      <c r="KJ51" s="4"/>
      <c r="KK51" s="4"/>
      <c r="KL51" s="4"/>
      <c r="KM51" s="4"/>
      <c r="KN51" s="4"/>
      <c r="KO51" s="4"/>
      <c r="KP51" s="4"/>
      <c r="KQ51" s="4"/>
      <c r="KR51" s="4"/>
      <c r="KS51" s="4"/>
      <c r="KT51" s="4"/>
      <c r="KU51" s="4"/>
      <c r="KV51" s="4"/>
      <c r="KW51" s="4"/>
      <c r="KX51" s="4"/>
      <c r="KY51" s="4"/>
      <c r="KZ51" s="4"/>
      <c r="LA51" s="4"/>
      <c r="LB51" s="4"/>
      <c r="LC51" s="4"/>
      <c r="LD51" s="4"/>
      <c r="LE51" s="4"/>
      <c r="LF51" s="4"/>
      <c r="LG51" s="4"/>
      <c r="LH51" s="4"/>
      <c r="LI51" s="4"/>
      <c r="LJ51" s="4"/>
      <c r="LK51" s="4"/>
      <c r="LL51" s="4"/>
      <c r="LM51" s="4"/>
      <c r="LN51" s="4"/>
      <c r="LO51" s="4"/>
      <c r="LP51" s="4"/>
      <c r="LQ51" s="4"/>
      <c r="LR51" s="4"/>
      <c r="LS51" s="4"/>
      <c r="LT51" s="4"/>
      <c r="LU51" s="4"/>
      <c r="LV51" s="4"/>
      <c r="LW51" s="4"/>
      <c r="LX51" s="4"/>
      <c r="LY51" s="4"/>
      <c r="LZ51" s="4"/>
      <c r="MA51" s="4"/>
      <c r="MB51" s="4"/>
      <c r="MC51" s="4"/>
      <c r="MD51" s="4"/>
      <c r="ME51" s="4"/>
      <c r="MF51" s="4"/>
      <c r="MG51" s="4"/>
      <c r="MH51" s="4"/>
      <c r="MI51" s="4"/>
      <c r="MJ51" s="4"/>
      <c r="MK51" s="4"/>
      <c r="ML51" s="4"/>
      <c r="MM51" s="4"/>
      <c r="MN51" s="4"/>
      <c r="MO51" s="4"/>
      <c r="MP51" s="4"/>
    </row>
    <row r="52" spans="1:354">
      <c r="A52" s="4"/>
      <c r="B52" s="4"/>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c r="AQ52" s="4"/>
      <c r="AR52" s="4"/>
      <c r="AS52" s="4"/>
      <c r="AT52" s="4"/>
      <c r="AU52" s="4"/>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c r="FN52" s="4"/>
      <c r="FO52" s="4"/>
      <c r="FP52" s="4"/>
      <c r="FQ52" s="4"/>
      <c r="FR52" s="4"/>
      <c r="FS52" s="4"/>
      <c r="FT52" s="4"/>
      <c r="FU52" s="4"/>
      <c r="FV52" s="4"/>
      <c r="FW52" s="4"/>
      <c r="FX52" s="4"/>
      <c r="FY52" s="4"/>
      <c r="FZ52" s="4"/>
      <c r="GA52" s="4"/>
      <c r="GB52" s="4"/>
      <c r="GC52" s="4"/>
      <c r="GD52" s="4"/>
      <c r="GE52" s="4"/>
      <c r="GF52" s="4"/>
      <c r="GG52" s="4"/>
      <c r="GH52" s="4"/>
      <c r="GI52" s="4"/>
      <c r="GJ52" s="4"/>
      <c r="GK52" s="4"/>
      <c r="GL52" s="4"/>
      <c r="GM52" s="4"/>
      <c r="GN52" s="4"/>
      <c r="GO52" s="4"/>
      <c r="GP52" s="4"/>
      <c r="GQ52" s="4"/>
      <c r="GR52" s="4"/>
      <c r="GS52" s="4"/>
      <c r="GT52" s="4"/>
      <c r="GU52" s="4"/>
      <c r="GV52" s="4"/>
      <c r="GW52" s="4"/>
      <c r="GX52" s="4"/>
      <c r="GY52" s="4"/>
      <c r="GZ52" s="4"/>
      <c r="HA52" s="4"/>
      <c r="HB52" s="4"/>
      <c r="HC52" s="4"/>
      <c r="HD52" s="4"/>
      <c r="HE52" s="4"/>
      <c r="HF52" s="4"/>
      <c r="HG52" s="4"/>
      <c r="HH52" s="4"/>
      <c r="HI52" s="4"/>
      <c r="HJ52" s="4"/>
      <c r="HK52" s="4"/>
      <c r="HL52" s="4"/>
      <c r="HM52" s="4"/>
      <c r="HN52" s="4"/>
      <c r="HO52" s="4"/>
      <c r="HP52" s="4"/>
      <c r="HQ52" s="4"/>
      <c r="HR52" s="4"/>
      <c r="HS52" s="4"/>
      <c r="HT52" s="4"/>
      <c r="HU52" s="4"/>
      <c r="HV52" s="4"/>
      <c r="HW52" s="4"/>
      <c r="HX52" s="4"/>
      <c r="HY52" s="4"/>
      <c r="HZ52" s="4"/>
      <c r="IA52" s="4"/>
      <c r="IB52" s="4"/>
      <c r="IC52" s="4"/>
      <c r="ID52" s="4"/>
      <c r="IE52" s="4"/>
      <c r="IF52" s="4"/>
      <c r="IG52" s="4"/>
      <c r="IH52" s="4"/>
      <c r="II52" s="4"/>
      <c r="IJ52" s="4"/>
      <c r="IK52" s="4"/>
      <c r="IL52" s="4"/>
      <c r="IM52" s="4"/>
      <c r="IN52" s="4"/>
      <c r="IO52" s="4"/>
      <c r="IP52" s="4"/>
      <c r="IQ52" s="4"/>
      <c r="IR52" s="4"/>
      <c r="IS52" s="4"/>
      <c r="IT52" s="4"/>
      <c r="IU52" s="4"/>
      <c r="IV52" s="4"/>
      <c r="IW52" s="4"/>
      <c r="IX52" s="4"/>
      <c r="IY52" s="4"/>
      <c r="IZ52" s="4"/>
      <c r="JA52" s="4"/>
      <c r="JB52" s="4"/>
      <c r="JC52" s="4"/>
      <c r="JD52" s="4"/>
      <c r="JE52" s="4"/>
      <c r="JF52" s="4"/>
      <c r="JG52" s="4"/>
      <c r="JH52" s="4"/>
      <c r="JI52" s="4"/>
      <c r="JJ52" s="4"/>
      <c r="JK52" s="4"/>
      <c r="JL52" s="4"/>
      <c r="JM52" s="4"/>
      <c r="JN52" s="4"/>
      <c r="JO52" s="4"/>
      <c r="JP52" s="4"/>
      <c r="JQ52" s="4"/>
      <c r="JR52" s="4"/>
      <c r="JS52" s="4"/>
      <c r="JT52" s="4"/>
      <c r="JU52" s="4"/>
      <c r="JV52" s="4"/>
      <c r="JW52" s="4"/>
      <c r="JX52" s="4"/>
      <c r="JY52" s="4"/>
      <c r="JZ52" s="4"/>
      <c r="KA52" s="4"/>
      <c r="KB52" s="4"/>
      <c r="KC52" s="4"/>
      <c r="KD52" s="4"/>
      <c r="KE52" s="4"/>
      <c r="KF52" s="4"/>
      <c r="KG52" s="4"/>
      <c r="KH52" s="4"/>
      <c r="KI52" s="4"/>
      <c r="KJ52" s="4"/>
      <c r="KK52" s="4"/>
      <c r="KL52" s="4"/>
      <c r="KM52" s="4"/>
      <c r="KN52" s="4"/>
      <c r="KO52" s="4"/>
      <c r="KP52" s="4"/>
      <c r="KQ52" s="4"/>
      <c r="KR52" s="4"/>
      <c r="KS52" s="4"/>
      <c r="KT52" s="4"/>
      <c r="KU52" s="4"/>
      <c r="KV52" s="4"/>
      <c r="KW52" s="4"/>
      <c r="KX52" s="4"/>
      <c r="KY52" s="4"/>
      <c r="KZ52" s="4"/>
      <c r="LA52" s="4"/>
      <c r="LB52" s="4"/>
      <c r="LC52" s="4"/>
      <c r="LD52" s="4"/>
      <c r="LE52" s="4"/>
      <c r="LF52" s="4"/>
      <c r="LG52" s="4"/>
      <c r="LH52" s="4"/>
      <c r="LI52" s="4"/>
      <c r="LJ52" s="4"/>
      <c r="LK52" s="4"/>
      <c r="LL52" s="4"/>
      <c r="LM52" s="4"/>
      <c r="LN52" s="4"/>
      <c r="LO52" s="4"/>
      <c r="LP52" s="4"/>
      <c r="LQ52" s="4"/>
      <c r="LR52" s="4"/>
      <c r="LS52" s="4"/>
      <c r="LT52" s="4"/>
      <c r="LU52" s="4"/>
      <c r="LV52" s="4"/>
      <c r="LW52" s="4"/>
      <c r="LX52" s="4"/>
      <c r="LY52" s="4"/>
      <c r="LZ52" s="4"/>
      <c r="MA52" s="4"/>
      <c r="MB52" s="4"/>
      <c r="MC52" s="4"/>
      <c r="MD52" s="4"/>
      <c r="ME52" s="4"/>
      <c r="MF52" s="4"/>
      <c r="MG52" s="4"/>
      <c r="MH52" s="4"/>
      <c r="MI52" s="4"/>
      <c r="MJ52" s="4"/>
      <c r="MK52" s="4"/>
      <c r="ML52" s="4"/>
      <c r="MM52" s="4"/>
      <c r="MN52" s="4"/>
      <c r="MO52" s="4"/>
      <c r="MP52" s="4"/>
    </row>
    <row r="53" spans="1:354">
      <c r="A53" s="4"/>
      <c r="B53" s="4"/>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c r="AQ53" s="4"/>
      <c r="AR53" s="4"/>
      <c r="AS53" s="4"/>
      <c r="AT53" s="4"/>
      <c r="AU53" s="4"/>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c r="FN53" s="4"/>
      <c r="FO53" s="4"/>
      <c r="FP53" s="4"/>
      <c r="FQ53" s="4"/>
      <c r="FR53" s="4"/>
      <c r="FS53" s="4"/>
      <c r="FT53" s="4"/>
      <c r="FU53" s="4"/>
      <c r="FV53" s="4"/>
      <c r="FW53" s="4"/>
      <c r="FX53" s="4"/>
      <c r="FY53" s="4"/>
      <c r="FZ53" s="4"/>
      <c r="GA53" s="4"/>
      <c r="GB53" s="4"/>
      <c r="GC53" s="4"/>
      <c r="GD53" s="4"/>
      <c r="GE53" s="4"/>
      <c r="GF53" s="4"/>
      <c r="GG53" s="4"/>
      <c r="GH53" s="4"/>
      <c r="GI53" s="4"/>
      <c r="GJ53" s="4"/>
      <c r="GK53" s="4"/>
      <c r="GL53" s="4"/>
      <c r="GM53" s="4"/>
      <c r="GN53" s="4"/>
      <c r="GO53" s="4"/>
      <c r="GP53" s="4"/>
      <c r="GQ53" s="4"/>
      <c r="GR53" s="4"/>
      <c r="GS53" s="4"/>
      <c r="GT53" s="4"/>
      <c r="GU53" s="4"/>
      <c r="GV53" s="4"/>
      <c r="GW53" s="4"/>
      <c r="GX53" s="4"/>
      <c r="GY53" s="4"/>
      <c r="GZ53" s="4"/>
      <c r="HA53" s="4"/>
      <c r="HB53" s="4"/>
      <c r="HC53" s="4"/>
      <c r="HD53" s="4"/>
      <c r="HE53" s="4"/>
      <c r="HF53" s="4"/>
      <c r="HG53" s="4"/>
      <c r="HH53" s="4"/>
      <c r="HI53" s="4"/>
      <c r="HJ53" s="4"/>
      <c r="HK53" s="4"/>
      <c r="HL53" s="4"/>
      <c r="HM53" s="4"/>
      <c r="HN53" s="4"/>
      <c r="HO53" s="4"/>
      <c r="HP53" s="4"/>
      <c r="HQ53" s="4"/>
      <c r="HR53" s="4"/>
      <c r="HS53" s="4"/>
      <c r="HT53" s="4"/>
      <c r="HU53" s="4"/>
      <c r="HV53" s="4"/>
      <c r="HW53" s="4"/>
      <c r="HX53" s="4"/>
      <c r="HY53" s="4"/>
      <c r="HZ53" s="4"/>
      <c r="IA53" s="4"/>
      <c r="IB53" s="4"/>
      <c r="IC53" s="4"/>
      <c r="ID53" s="4"/>
      <c r="IE53" s="4"/>
      <c r="IF53" s="4"/>
      <c r="IG53" s="4"/>
      <c r="IH53" s="4"/>
      <c r="II53" s="4"/>
      <c r="IJ53" s="4"/>
      <c r="IK53" s="4"/>
      <c r="IL53" s="4"/>
      <c r="IM53" s="4"/>
      <c r="IN53" s="4"/>
      <c r="IO53" s="4"/>
      <c r="IP53" s="4"/>
      <c r="IQ53" s="4"/>
      <c r="IR53" s="4"/>
      <c r="IS53" s="4"/>
      <c r="IT53" s="4"/>
      <c r="IU53" s="4"/>
      <c r="IV53" s="4"/>
      <c r="IW53" s="4"/>
      <c r="IX53" s="4"/>
      <c r="IY53" s="4"/>
      <c r="IZ53" s="4"/>
      <c r="JA53" s="4"/>
      <c r="JB53" s="4"/>
      <c r="JC53" s="4"/>
      <c r="JD53" s="4"/>
      <c r="JE53" s="4"/>
      <c r="JF53" s="4"/>
      <c r="JG53" s="4"/>
      <c r="JH53" s="4"/>
      <c r="JI53" s="4"/>
      <c r="JJ53" s="4"/>
      <c r="JK53" s="4"/>
      <c r="JL53" s="4"/>
      <c r="JM53" s="4"/>
      <c r="JN53" s="4"/>
      <c r="JO53" s="4"/>
      <c r="JP53" s="4"/>
      <c r="JQ53" s="4"/>
      <c r="JR53" s="4"/>
      <c r="JS53" s="4"/>
      <c r="JT53" s="4"/>
      <c r="JU53" s="4"/>
      <c r="JV53" s="4"/>
      <c r="JW53" s="4"/>
      <c r="JX53" s="4"/>
      <c r="JY53" s="4"/>
      <c r="JZ53" s="4"/>
      <c r="KA53" s="4"/>
      <c r="KB53" s="4"/>
      <c r="KC53" s="4"/>
      <c r="KD53" s="4"/>
      <c r="KE53" s="4"/>
      <c r="KF53" s="4"/>
      <c r="KG53" s="4"/>
      <c r="KH53" s="4"/>
      <c r="KI53" s="4"/>
      <c r="KJ53" s="4"/>
      <c r="KK53" s="4"/>
      <c r="KL53" s="4"/>
      <c r="KM53" s="4"/>
      <c r="KN53" s="4"/>
      <c r="KO53" s="4"/>
      <c r="KP53" s="4"/>
      <c r="KQ53" s="4"/>
      <c r="KR53" s="4"/>
      <c r="KS53" s="4"/>
      <c r="KT53" s="4"/>
      <c r="KU53" s="4"/>
      <c r="KV53" s="4"/>
      <c r="KW53" s="4"/>
      <c r="KX53" s="4"/>
      <c r="KY53" s="4"/>
      <c r="KZ53" s="4"/>
      <c r="LA53" s="4"/>
      <c r="LB53" s="4"/>
      <c r="LC53" s="4"/>
      <c r="LD53" s="4"/>
      <c r="LE53" s="4"/>
      <c r="LF53" s="4"/>
      <c r="LG53" s="4"/>
      <c r="LH53" s="4"/>
      <c r="LI53" s="4"/>
      <c r="LJ53" s="4"/>
      <c r="LK53" s="4"/>
      <c r="LL53" s="4"/>
      <c r="LM53" s="4"/>
      <c r="LN53" s="4"/>
      <c r="LO53" s="4"/>
      <c r="LP53" s="4"/>
      <c r="LQ53" s="4"/>
      <c r="LR53" s="4"/>
      <c r="LS53" s="4"/>
      <c r="LT53" s="4"/>
      <c r="LU53" s="4"/>
      <c r="LV53" s="4"/>
      <c r="LW53" s="4"/>
      <c r="LX53" s="4"/>
      <c r="LY53" s="4"/>
      <c r="LZ53" s="4"/>
      <c r="MA53" s="4"/>
      <c r="MB53" s="4"/>
      <c r="MC53" s="4"/>
      <c r="MD53" s="4"/>
      <c r="ME53" s="4"/>
      <c r="MF53" s="4"/>
      <c r="MG53" s="4"/>
      <c r="MH53" s="4"/>
      <c r="MI53" s="4"/>
      <c r="MJ53" s="4"/>
      <c r="MK53" s="4"/>
      <c r="ML53" s="4"/>
      <c r="MM53" s="4"/>
      <c r="MN53" s="4"/>
      <c r="MO53" s="4"/>
      <c r="MP53" s="4"/>
    </row>
    <row r="54" spans="1:354">
      <c r="A54" s="4"/>
      <c r="B54" s="4"/>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c r="AQ54" s="4"/>
      <c r="AR54" s="4"/>
      <c r="AS54" s="4"/>
      <c r="AT54" s="4"/>
      <c r="AU54" s="4"/>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c r="FN54" s="4"/>
      <c r="FO54" s="4"/>
      <c r="FP54" s="4"/>
      <c r="FQ54" s="4"/>
      <c r="FR54" s="4"/>
      <c r="FS54" s="4"/>
      <c r="FT54" s="4"/>
      <c r="FU54" s="4"/>
      <c r="FV54" s="4"/>
      <c r="FW54" s="4"/>
      <c r="FX54" s="4"/>
      <c r="FY54" s="4"/>
      <c r="FZ54" s="4"/>
      <c r="GA54" s="4"/>
      <c r="GB54" s="4"/>
      <c r="GC54" s="4"/>
      <c r="GD54" s="4"/>
      <c r="GE54" s="4"/>
      <c r="GF54" s="4"/>
      <c r="GG54" s="4"/>
      <c r="GH54" s="4"/>
      <c r="GI54" s="4"/>
      <c r="GJ54" s="4"/>
      <c r="GK54" s="4"/>
      <c r="GL54" s="4"/>
      <c r="GM54" s="4"/>
      <c r="GN54" s="4"/>
      <c r="GO54" s="4"/>
      <c r="GP54" s="4"/>
      <c r="GQ54" s="4"/>
      <c r="GR54" s="4"/>
      <c r="GS54" s="4"/>
      <c r="GT54" s="4"/>
      <c r="GU54" s="4"/>
      <c r="GV54" s="4"/>
      <c r="GW54" s="4"/>
      <c r="GX54" s="4"/>
      <c r="GY54" s="4"/>
      <c r="GZ54" s="4"/>
      <c r="HA54" s="4"/>
      <c r="HB54" s="4"/>
      <c r="HC54" s="4"/>
      <c r="HD54" s="4"/>
      <c r="HE54" s="4"/>
      <c r="HF54" s="4"/>
      <c r="HG54" s="4"/>
      <c r="HH54" s="4"/>
      <c r="HI54" s="4"/>
      <c r="HJ54" s="4"/>
      <c r="HK54" s="4"/>
      <c r="HL54" s="4"/>
      <c r="HM54" s="4"/>
      <c r="HN54" s="4"/>
      <c r="HO54" s="4"/>
      <c r="HP54" s="4"/>
      <c r="HQ54" s="4"/>
      <c r="HR54" s="4"/>
      <c r="HS54" s="4"/>
      <c r="HT54" s="4"/>
      <c r="HU54" s="4"/>
      <c r="HV54" s="4"/>
      <c r="HW54" s="4"/>
      <c r="HX54" s="4"/>
      <c r="HY54" s="4"/>
      <c r="HZ54" s="4"/>
      <c r="IA54" s="4"/>
      <c r="IB54" s="4"/>
      <c r="IC54" s="4"/>
      <c r="ID54" s="4"/>
      <c r="IE54" s="4"/>
      <c r="IF54" s="4"/>
      <c r="IG54" s="4"/>
      <c r="IH54" s="4"/>
      <c r="II54" s="4"/>
      <c r="IJ54" s="4"/>
      <c r="IK54" s="4"/>
      <c r="IL54" s="4"/>
      <c r="IM54" s="4"/>
      <c r="IN54" s="4"/>
      <c r="IO54" s="4"/>
      <c r="IP54" s="4"/>
      <c r="IQ54" s="4"/>
      <c r="IR54" s="4"/>
      <c r="IS54" s="4"/>
      <c r="IT54" s="4"/>
      <c r="IU54" s="4"/>
      <c r="IV54" s="4"/>
      <c r="IW54" s="4"/>
      <c r="IX54" s="4"/>
      <c r="IY54" s="4"/>
      <c r="IZ54" s="4"/>
      <c r="JA54" s="4"/>
      <c r="JB54" s="4"/>
      <c r="JC54" s="4"/>
      <c r="JD54" s="4"/>
      <c r="JE54" s="4"/>
      <c r="JF54" s="4"/>
      <c r="JG54" s="4"/>
      <c r="JH54" s="4"/>
      <c r="JI54" s="4"/>
      <c r="JJ54" s="4"/>
      <c r="JK54" s="4"/>
      <c r="JL54" s="4"/>
      <c r="JM54" s="4"/>
      <c r="JN54" s="4"/>
      <c r="JO54" s="4"/>
      <c r="JP54" s="4"/>
      <c r="JQ54" s="4"/>
      <c r="JR54" s="4"/>
      <c r="JS54" s="4"/>
      <c r="JT54" s="4"/>
      <c r="JU54" s="4"/>
      <c r="JV54" s="4"/>
      <c r="JW54" s="4"/>
      <c r="JX54" s="4"/>
      <c r="JY54" s="4"/>
      <c r="JZ54" s="4"/>
      <c r="KA54" s="4"/>
      <c r="KB54" s="4"/>
      <c r="KC54" s="4"/>
      <c r="KD54" s="4"/>
      <c r="KE54" s="4"/>
      <c r="KF54" s="4"/>
      <c r="KG54" s="4"/>
      <c r="KH54" s="4"/>
      <c r="KI54" s="4"/>
      <c r="KJ54" s="4"/>
      <c r="KK54" s="4"/>
      <c r="KL54" s="4"/>
      <c r="KM54" s="4"/>
      <c r="KN54" s="4"/>
      <c r="KO54" s="4"/>
      <c r="KP54" s="4"/>
      <c r="KQ54" s="4"/>
      <c r="KR54" s="4"/>
      <c r="KS54" s="4"/>
      <c r="KT54" s="4"/>
      <c r="KU54" s="4"/>
      <c r="KV54" s="4"/>
      <c r="KW54" s="4"/>
      <c r="KX54" s="4"/>
      <c r="KY54" s="4"/>
      <c r="KZ54" s="4"/>
      <c r="LA54" s="4"/>
      <c r="LB54" s="4"/>
      <c r="LC54" s="4"/>
      <c r="LD54" s="4"/>
      <c r="LE54" s="4"/>
      <c r="LF54" s="4"/>
      <c r="LG54" s="4"/>
      <c r="LH54" s="4"/>
      <c r="LI54" s="4"/>
      <c r="LJ54" s="4"/>
      <c r="LK54" s="4"/>
      <c r="LL54" s="4"/>
      <c r="LM54" s="4"/>
      <c r="LN54" s="4"/>
      <c r="LO54" s="4"/>
      <c r="LP54" s="4"/>
      <c r="LQ54" s="4"/>
      <c r="LR54" s="4"/>
      <c r="LS54" s="4"/>
      <c r="LT54" s="4"/>
      <c r="LU54" s="4"/>
      <c r="LV54" s="4"/>
      <c r="LW54" s="4"/>
      <c r="LX54" s="4"/>
      <c r="LY54" s="4"/>
      <c r="LZ54" s="4"/>
      <c r="MA54" s="4"/>
      <c r="MB54" s="4"/>
      <c r="MC54" s="4"/>
      <c r="MD54" s="4"/>
      <c r="ME54" s="4"/>
      <c r="MF54" s="4"/>
      <c r="MG54" s="4"/>
      <c r="MH54" s="4"/>
      <c r="MI54" s="4"/>
      <c r="MJ54" s="4"/>
      <c r="MK54" s="4"/>
      <c r="ML54" s="4"/>
      <c r="MM54" s="4"/>
      <c r="MN54" s="4"/>
      <c r="MO54" s="4"/>
      <c r="MP54" s="4"/>
    </row>
    <row r="55" spans="1:354">
      <c r="A55" s="4"/>
      <c r="B55" s="4"/>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c r="AQ55" s="4"/>
      <c r="AR55" s="4"/>
      <c r="AS55" s="4"/>
      <c r="AT55" s="4"/>
      <c r="AU55" s="4"/>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c r="FN55" s="4"/>
      <c r="FO55" s="4"/>
      <c r="FP55" s="4"/>
      <c r="FQ55" s="4"/>
      <c r="FR55" s="4"/>
      <c r="FS55" s="4"/>
      <c r="FT55" s="4"/>
      <c r="FU55" s="4"/>
      <c r="FV55" s="4"/>
      <c r="FW55" s="4"/>
      <c r="FX55" s="4"/>
      <c r="FY55" s="4"/>
      <c r="FZ55" s="4"/>
      <c r="GA55" s="4"/>
      <c r="GB55" s="4"/>
      <c r="GC55" s="4"/>
      <c r="GD55" s="4"/>
      <c r="GE55" s="4"/>
      <c r="GF55" s="4"/>
      <c r="GG55" s="4"/>
      <c r="GH55" s="4"/>
      <c r="GI55" s="4"/>
      <c r="GJ55" s="4"/>
      <c r="GK55" s="4"/>
      <c r="GL55" s="4"/>
      <c r="GM55" s="4"/>
      <c r="GN55" s="4"/>
      <c r="GO55" s="4"/>
      <c r="GP55" s="4"/>
      <c r="GQ55" s="4"/>
      <c r="GR55" s="4"/>
      <c r="GS55" s="4"/>
      <c r="GT55" s="4"/>
      <c r="GU55" s="4"/>
      <c r="GV55" s="4"/>
      <c r="GW55" s="4"/>
      <c r="GX55" s="4"/>
      <c r="GY55" s="4"/>
      <c r="GZ55" s="4"/>
      <c r="HA55" s="4"/>
      <c r="HB55" s="4"/>
      <c r="HC55" s="4"/>
      <c r="HD55" s="4"/>
      <c r="HE55" s="4"/>
      <c r="HF55" s="4"/>
      <c r="HG55" s="4"/>
      <c r="HH55" s="4"/>
      <c r="HI55" s="4"/>
      <c r="HJ55" s="4"/>
      <c r="HK55" s="4"/>
      <c r="HL55" s="4"/>
      <c r="HM55" s="4"/>
      <c r="HN55" s="4"/>
      <c r="HO55" s="4"/>
      <c r="HP55" s="4"/>
      <c r="HQ55" s="4"/>
      <c r="HR55" s="4"/>
      <c r="HS55" s="4"/>
      <c r="HT55" s="4"/>
      <c r="HU55" s="4"/>
      <c r="HV55" s="4"/>
      <c r="HW55" s="4"/>
      <c r="HX55" s="4"/>
      <c r="HY55" s="4"/>
      <c r="HZ55" s="4"/>
      <c r="IA55" s="4"/>
      <c r="IB55" s="4"/>
      <c r="IC55" s="4"/>
      <c r="ID55" s="4"/>
      <c r="IE55" s="4"/>
      <c r="IF55" s="4"/>
      <c r="IG55" s="4"/>
      <c r="IH55" s="4"/>
      <c r="II55" s="4"/>
      <c r="IJ55" s="4"/>
      <c r="IK55" s="4"/>
      <c r="IL55" s="4"/>
      <c r="IM55" s="4"/>
      <c r="IN55" s="4"/>
      <c r="IO55" s="4"/>
      <c r="IP55" s="4"/>
      <c r="IQ55" s="4"/>
      <c r="IR55" s="4"/>
      <c r="IS55" s="4"/>
      <c r="IT55" s="4"/>
      <c r="IU55" s="4"/>
      <c r="IV55" s="4"/>
      <c r="IW55" s="4"/>
      <c r="IX55" s="4"/>
      <c r="IY55" s="4"/>
      <c r="IZ55" s="4"/>
      <c r="JA55" s="4"/>
      <c r="JB55" s="4"/>
      <c r="JC55" s="4"/>
      <c r="JD55" s="4"/>
      <c r="JE55" s="4"/>
      <c r="JF55" s="4"/>
      <c r="JG55" s="4"/>
      <c r="JH55" s="4"/>
      <c r="JI55" s="4"/>
      <c r="JJ55" s="4"/>
      <c r="JK55" s="4"/>
      <c r="JL55" s="4"/>
      <c r="JM55" s="4"/>
      <c r="JN55" s="4"/>
      <c r="JO55" s="4"/>
      <c r="JP55" s="4"/>
      <c r="JQ55" s="4"/>
      <c r="JR55" s="4"/>
      <c r="JS55" s="4"/>
      <c r="JT55" s="4"/>
      <c r="JU55" s="4"/>
      <c r="JV55" s="4"/>
      <c r="JW55" s="4"/>
      <c r="JX55" s="4"/>
      <c r="JY55" s="4"/>
      <c r="JZ55" s="4"/>
      <c r="KA55" s="4"/>
      <c r="KB55" s="4"/>
      <c r="KC55" s="4"/>
      <c r="KD55" s="4"/>
      <c r="KE55" s="4"/>
      <c r="KF55" s="4"/>
      <c r="KG55" s="4"/>
      <c r="KH55" s="4"/>
      <c r="KI55" s="4"/>
      <c r="KJ55" s="4"/>
      <c r="KK55" s="4"/>
      <c r="KL55" s="4"/>
      <c r="KM55" s="4"/>
      <c r="KN55" s="4"/>
      <c r="KO55" s="4"/>
      <c r="KP55" s="4"/>
      <c r="KQ55" s="4"/>
      <c r="KR55" s="4"/>
      <c r="KS55" s="4"/>
      <c r="KT55" s="4"/>
      <c r="KU55" s="4"/>
      <c r="KV55" s="4"/>
      <c r="KW55" s="4"/>
      <c r="KX55" s="4"/>
      <c r="KY55" s="4"/>
      <c r="KZ55" s="4"/>
      <c r="LA55" s="4"/>
      <c r="LB55" s="4"/>
      <c r="LC55" s="4"/>
      <c r="LD55" s="4"/>
      <c r="LE55" s="4"/>
      <c r="LF55" s="4"/>
      <c r="LG55" s="4"/>
      <c r="LH55" s="4"/>
      <c r="LI55" s="4"/>
      <c r="LJ55" s="4"/>
      <c r="LK55" s="4"/>
      <c r="LL55" s="4"/>
      <c r="LM55" s="4"/>
      <c r="LN55" s="4"/>
      <c r="LO55" s="4"/>
      <c r="LP55" s="4"/>
      <c r="LQ55" s="4"/>
      <c r="LR55" s="4"/>
      <c r="LS55" s="4"/>
      <c r="LT55" s="4"/>
      <c r="LU55" s="4"/>
      <c r="LV55" s="4"/>
      <c r="LW55" s="4"/>
      <c r="LX55" s="4"/>
      <c r="LY55" s="4"/>
      <c r="LZ55" s="4"/>
      <c r="MA55" s="4"/>
      <c r="MB55" s="4"/>
      <c r="MC55" s="4"/>
      <c r="MD55" s="4"/>
      <c r="ME55" s="4"/>
      <c r="MF55" s="4"/>
      <c r="MG55" s="4"/>
      <c r="MH55" s="4"/>
      <c r="MI55" s="4"/>
      <c r="MJ55" s="4"/>
      <c r="MK55" s="4"/>
      <c r="ML55" s="4"/>
      <c r="MM55" s="4"/>
      <c r="MN55" s="4"/>
      <c r="MO55" s="4"/>
      <c r="MP55" s="4"/>
    </row>
    <row r="56" spans="1:354">
      <c r="A56" s="4"/>
      <c r="B56" s="4"/>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c r="AQ56" s="4"/>
      <c r="AR56" s="4"/>
      <c r="AS56" s="4"/>
      <c r="AT56" s="4"/>
      <c r="AU56" s="4"/>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c r="FN56" s="4"/>
      <c r="FO56" s="4"/>
      <c r="FP56" s="4"/>
      <c r="FQ56" s="4"/>
      <c r="FR56" s="4"/>
      <c r="FS56" s="4"/>
      <c r="FT56" s="4"/>
      <c r="FU56" s="4"/>
      <c r="FV56" s="4"/>
      <c r="FW56" s="4"/>
      <c r="FX56" s="4"/>
      <c r="FY56" s="4"/>
      <c r="FZ56" s="4"/>
      <c r="GA56" s="4"/>
      <c r="GB56" s="4"/>
      <c r="GC56" s="4"/>
      <c r="GD56" s="4"/>
      <c r="GE56" s="4"/>
      <c r="GF56" s="4"/>
      <c r="GG56" s="4"/>
      <c r="GH56" s="4"/>
      <c r="GI56" s="4"/>
      <c r="GJ56" s="4"/>
      <c r="GK56" s="4"/>
      <c r="GL56" s="4"/>
      <c r="GM56" s="4"/>
      <c r="GN56" s="4"/>
      <c r="GO56" s="4"/>
      <c r="GP56" s="4"/>
      <c r="GQ56" s="4"/>
      <c r="GR56" s="4"/>
      <c r="GS56" s="4"/>
      <c r="GT56" s="4"/>
      <c r="GU56" s="4"/>
      <c r="GV56" s="4"/>
      <c r="GW56" s="4"/>
      <c r="GX56" s="4"/>
      <c r="GY56" s="4"/>
      <c r="GZ56" s="4"/>
      <c r="HA56" s="4"/>
      <c r="HB56" s="4"/>
      <c r="HC56" s="4"/>
      <c r="HD56" s="4"/>
      <c r="HE56" s="4"/>
      <c r="HF56" s="4"/>
      <c r="HG56" s="4"/>
      <c r="HH56" s="4"/>
      <c r="HI56" s="4"/>
      <c r="HJ56" s="4"/>
      <c r="HK56" s="4"/>
      <c r="HL56" s="4"/>
      <c r="HM56" s="4"/>
      <c r="HN56" s="4"/>
      <c r="HO56" s="4"/>
      <c r="HP56" s="4"/>
      <c r="HQ56" s="4"/>
      <c r="HR56" s="4"/>
      <c r="HS56" s="4"/>
      <c r="HT56" s="4"/>
      <c r="HU56" s="4"/>
      <c r="HV56" s="4"/>
      <c r="HW56" s="4"/>
      <c r="HX56" s="4"/>
      <c r="HY56" s="4"/>
      <c r="HZ56" s="4"/>
      <c r="IA56" s="4"/>
      <c r="IB56" s="4"/>
      <c r="IC56" s="4"/>
      <c r="ID56" s="4"/>
      <c r="IE56" s="4"/>
      <c r="IF56" s="4"/>
      <c r="IG56" s="4"/>
      <c r="IH56" s="4"/>
      <c r="II56" s="4"/>
      <c r="IJ56" s="4"/>
      <c r="IK56" s="4"/>
      <c r="IL56" s="4"/>
      <c r="IM56" s="4"/>
      <c r="IN56" s="4"/>
      <c r="IO56" s="4"/>
      <c r="IP56" s="4"/>
      <c r="IQ56" s="4"/>
      <c r="IR56" s="4"/>
      <c r="IS56" s="4"/>
      <c r="IT56" s="4"/>
      <c r="IU56" s="4"/>
      <c r="IV56" s="4"/>
      <c r="IW56" s="4"/>
      <c r="IX56" s="4"/>
      <c r="IY56" s="4"/>
      <c r="IZ56" s="4"/>
      <c r="JA56" s="4"/>
      <c r="JB56" s="4"/>
      <c r="JC56" s="4"/>
      <c r="JD56" s="4"/>
      <c r="JE56" s="4"/>
      <c r="JF56" s="4"/>
      <c r="JG56" s="4"/>
      <c r="JH56" s="4"/>
      <c r="JI56" s="4"/>
      <c r="JJ56" s="4"/>
      <c r="JK56" s="4"/>
      <c r="JL56" s="4"/>
      <c r="JM56" s="4"/>
      <c r="JN56" s="4"/>
      <c r="JO56" s="4"/>
      <c r="JP56" s="4"/>
      <c r="JQ56" s="4"/>
      <c r="JR56" s="4"/>
      <c r="JS56" s="4"/>
      <c r="JT56" s="4"/>
      <c r="JU56" s="4"/>
      <c r="JV56" s="4"/>
      <c r="JW56" s="4"/>
      <c r="JX56" s="4"/>
      <c r="JY56" s="4"/>
      <c r="JZ56" s="4"/>
      <c r="KA56" s="4"/>
      <c r="KB56" s="4"/>
      <c r="KC56" s="4"/>
      <c r="KD56" s="4"/>
      <c r="KE56" s="4"/>
      <c r="KF56" s="4"/>
      <c r="KG56" s="4"/>
      <c r="KH56" s="4"/>
      <c r="KI56" s="4"/>
      <c r="KJ56" s="4"/>
      <c r="KK56" s="4"/>
      <c r="KL56" s="4"/>
      <c r="KM56" s="4"/>
      <c r="KN56" s="4"/>
      <c r="KO56" s="4"/>
      <c r="KP56" s="4"/>
      <c r="KQ56" s="4"/>
      <c r="KR56" s="4"/>
      <c r="KS56" s="4"/>
      <c r="KT56" s="4"/>
      <c r="KU56" s="4"/>
      <c r="KV56" s="4"/>
      <c r="KW56" s="4"/>
      <c r="KX56" s="4"/>
      <c r="KY56" s="4"/>
      <c r="KZ56" s="4"/>
      <c r="LA56" s="4"/>
      <c r="LB56" s="4"/>
      <c r="LC56" s="4"/>
      <c r="LD56" s="4"/>
      <c r="LE56" s="4"/>
      <c r="LF56" s="4"/>
      <c r="LG56" s="4"/>
      <c r="LH56" s="4"/>
      <c r="LI56" s="4"/>
      <c r="LJ56" s="4"/>
      <c r="LK56" s="4"/>
      <c r="LL56" s="4"/>
      <c r="LM56" s="4"/>
      <c r="LN56" s="4"/>
      <c r="LO56" s="4"/>
      <c r="LP56" s="4"/>
      <c r="LQ56" s="4"/>
      <c r="LR56" s="4"/>
      <c r="LS56" s="4"/>
      <c r="LT56" s="4"/>
      <c r="LU56" s="4"/>
      <c r="LV56" s="4"/>
      <c r="LW56" s="4"/>
      <c r="LX56" s="4"/>
      <c r="LY56" s="4"/>
      <c r="LZ56" s="4"/>
      <c r="MA56" s="4"/>
      <c r="MB56" s="4"/>
      <c r="MC56" s="4"/>
      <c r="MD56" s="4"/>
      <c r="ME56" s="4"/>
      <c r="MF56" s="4"/>
      <c r="MG56" s="4"/>
      <c r="MH56" s="4"/>
      <c r="MI56" s="4"/>
      <c r="MJ56" s="4"/>
      <c r="MK56" s="4"/>
      <c r="ML56" s="4"/>
      <c r="MM56" s="4"/>
      <c r="MN56" s="4"/>
      <c r="MO56" s="4"/>
      <c r="MP56" s="4"/>
    </row>
    <row r="57" spans="1:354">
      <c r="A57" s="4"/>
      <c r="B57" s="4"/>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c r="BJ57" s="4"/>
      <c r="BK57" s="4"/>
      <c r="BL57" s="4"/>
      <c r="BM57" s="4"/>
      <c r="BN57" s="4"/>
      <c r="BO57" s="4"/>
      <c r="BP57" s="4"/>
      <c r="BQ57" s="4"/>
      <c r="BR57" s="4"/>
      <c r="BS57" s="4"/>
      <c r="BT57" s="4"/>
      <c r="BU57" s="4"/>
      <c r="BV57" s="4"/>
      <c r="BW57" s="4"/>
      <c r="BX57" s="4"/>
      <c r="BY57" s="4"/>
      <c r="BZ57" s="4"/>
      <c r="CA57" s="4"/>
      <c r="CB57" s="4"/>
      <c r="CC57" s="4"/>
      <c r="CD57" s="4"/>
      <c r="CE57" s="4"/>
      <c r="CF57" s="4"/>
      <c r="CG57" s="4"/>
      <c r="CH57" s="4"/>
      <c r="CI57" s="4"/>
      <c r="CJ57" s="4"/>
      <c r="CK57" s="4"/>
      <c r="CL57" s="4"/>
      <c r="CM57" s="4"/>
      <c r="CN57" s="4"/>
      <c r="CO57" s="4"/>
      <c r="CP57" s="4"/>
      <c r="CQ57" s="4"/>
      <c r="CR57" s="4"/>
      <c r="CS57" s="4"/>
      <c r="CT57" s="4"/>
      <c r="CU57" s="4"/>
      <c r="CV57" s="4"/>
      <c r="CW57" s="4"/>
      <c r="CX57" s="4"/>
      <c r="CY57" s="4"/>
      <c r="CZ57" s="4"/>
      <c r="DA57" s="4"/>
      <c r="DB57" s="4"/>
      <c r="DC57" s="4"/>
      <c r="DD57" s="4"/>
      <c r="DE57" s="4"/>
      <c r="DF57" s="4"/>
      <c r="DG57" s="4"/>
      <c r="DH57" s="4"/>
      <c r="DI57" s="4"/>
      <c r="DJ57" s="4"/>
      <c r="DK57" s="4"/>
      <c r="DL57" s="4"/>
      <c r="DM57" s="4"/>
      <c r="DN57" s="4"/>
      <c r="DO57" s="4"/>
      <c r="DP57" s="4"/>
      <c r="DQ57" s="4"/>
      <c r="DR57" s="4"/>
      <c r="DS57" s="4"/>
      <c r="DT57" s="4"/>
      <c r="DU57" s="4"/>
      <c r="DV57" s="4"/>
      <c r="DW57" s="4"/>
      <c r="DX57" s="4"/>
      <c r="DY57" s="4"/>
      <c r="DZ57" s="4"/>
      <c r="EA57" s="4"/>
      <c r="EB57" s="4"/>
      <c r="EC57" s="4"/>
      <c r="ED57" s="4"/>
      <c r="EE57" s="4"/>
      <c r="EF57" s="4"/>
      <c r="EG57" s="4"/>
      <c r="EH57" s="4"/>
      <c r="EI57" s="4"/>
      <c r="EJ57" s="4"/>
      <c r="EK57" s="4"/>
      <c r="EL57" s="4"/>
      <c r="EM57" s="4"/>
      <c r="EN57" s="4"/>
      <c r="EO57" s="4"/>
      <c r="EP57" s="4"/>
      <c r="EQ57" s="4"/>
      <c r="ER57" s="4"/>
      <c r="ES57" s="4"/>
      <c r="ET57" s="4"/>
      <c r="EU57" s="4"/>
      <c r="EV57" s="4"/>
      <c r="EW57" s="4"/>
      <c r="EX57" s="4"/>
      <c r="EY57" s="4"/>
      <c r="EZ57" s="4"/>
      <c r="FA57" s="4"/>
      <c r="FB57" s="4"/>
      <c r="FC57" s="4"/>
      <c r="FD57" s="4"/>
      <c r="FE57" s="4"/>
      <c r="FF57" s="4"/>
      <c r="FG57" s="4"/>
      <c r="FH57" s="4"/>
      <c r="FI57" s="4"/>
      <c r="FJ57" s="4"/>
      <c r="FK57" s="4"/>
      <c r="FL57" s="4"/>
      <c r="FM57" s="4"/>
      <c r="FN57" s="4"/>
      <c r="FO57" s="4"/>
      <c r="FP57" s="4"/>
      <c r="FQ57" s="4"/>
      <c r="FR57" s="4"/>
      <c r="FS57" s="4"/>
      <c r="FT57" s="4"/>
      <c r="FU57" s="4"/>
      <c r="FV57" s="4"/>
      <c r="FW57" s="4"/>
      <c r="FX57" s="4"/>
      <c r="FY57" s="4"/>
      <c r="FZ57" s="4"/>
      <c r="GA57" s="4"/>
      <c r="GB57" s="4"/>
      <c r="GC57" s="4"/>
      <c r="GD57" s="4"/>
      <c r="GE57" s="4"/>
      <c r="GF57" s="4"/>
      <c r="GG57" s="4"/>
      <c r="GH57" s="4"/>
      <c r="GI57" s="4"/>
      <c r="GJ57" s="4"/>
      <c r="GK57" s="4"/>
      <c r="GL57" s="4"/>
      <c r="GM57" s="4"/>
      <c r="GN57" s="4"/>
      <c r="GO57" s="4"/>
      <c r="GP57" s="4"/>
      <c r="GQ57" s="4"/>
      <c r="GR57" s="4"/>
      <c r="GS57" s="4"/>
      <c r="GT57" s="4"/>
      <c r="GU57" s="4"/>
      <c r="GV57" s="4"/>
      <c r="GW57" s="4"/>
      <c r="GX57" s="4"/>
      <c r="GY57" s="4"/>
      <c r="GZ57" s="4"/>
      <c r="HA57" s="4"/>
      <c r="HB57" s="4"/>
      <c r="HC57" s="4"/>
      <c r="HD57" s="4"/>
      <c r="HE57" s="4"/>
      <c r="HF57" s="4"/>
      <c r="HG57" s="4"/>
      <c r="HH57" s="4"/>
      <c r="HI57" s="4"/>
      <c r="HJ57" s="4"/>
      <c r="HK57" s="4"/>
      <c r="HL57" s="4"/>
      <c r="HM57" s="4"/>
      <c r="HN57" s="4"/>
      <c r="HO57" s="4"/>
      <c r="HP57" s="4"/>
      <c r="HQ57" s="4"/>
      <c r="HR57" s="4"/>
      <c r="HS57" s="4"/>
      <c r="HT57" s="4"/>
      <c r="HU57" s="4"/>
      <c r="HV57" s="4"/>
      <c r="HW57" s="4"/>
      <c r="HX57" s="4"/>
      <c r="HY57" s="4"/>
      <c r="HZ57" s="4"/>
      <c r="IA57" s="4"/>
      <c r="IB57" s="4"/>
      <c r="IC57" s="4"/>
      <c r="ID57" s="4"/>
      <c r="IE57" s="4"/>
      <c r="IF57" s="4"/>
      <c r="IG57" s="4"/>
      <c r="IH57" s="4"/>
      <c r="II57" s="4"/>
      <c r="IJ57" s="4"/>
      <c r="IK57" s="4"/>
      <c r="IL57" s="4"/>
      <c r="IM57" s="4"/>
      <c r="IN57" s="4"/>
      <c r="IO57" s="4"/>
      <c r="IP57" s="4"/>
      <c r="IQ57" s="4"/>
      <c r="IR57" s="4"/>
      <c r="IS57" s="4"/>
      <c r="IT57" s="4"/>
      <c r="IU57" s="4"/>
      <c r="IV57" s="4"/>
      <c r="IW57" s="4"/>
      <c r="IX57" s="4"/>
      <c r="IY57" s="4"/>
      <c r="IZ57" s="4"/>
      <c r="JA57" s="4"/>
      <c r="JB57" s="4"/>
      <c r="JC57" s="4"/>
      <c r="JD57" s="4"/>
      <c r="JE57" s="4"/>
      <c r="JF57" s="4"/>
      <c r="JG57" s="4"/>
      <c r="JH57" s="4"/>
      <c r="JI57" s="4"/>
      <c r="JJ57" s="4"/>
      <c r="JK57" s="4"/>
      <c r="JL57" s="4"/>
      <c r="JM57" s="4"/>
      <c r="JN57" s="4"/>
      <c r="JO57" s="4"/>
      <c r="JP57" s="4"/>
      <c r="JQ57" s="4"/>
      <c r="JR57" s="4"/>
      <c r="JS57" s="4"/>
      <c r="JT57" s="4"/>
      <c r="JU57" s="4"/>
      <c r="JV57" s="4"/>
      <c r="JW57" s="4"/>
      <c r="JX57" s="4"/>
      <c r="JY57" s="4"/>
      <c r="JZ57" s="4"/>
      <c r="KA57" s="4"/>
      <c r="KB57" s="4"/>
      <c r="KC57" s="4"/>
      <c r="KD57" s="4"/>
      <c r="KE57" s="4"/>
      <c r="KF57" s="4"/>
      <c r="KG57" s="4"/>
      <c r="KH57" s="4"/>
      <c r="KI57" s="4"/>
      <c r="KJ57" s="4"/>
      <c r="KK57" s="4"/>
      <c r="KL57" s="4"/>
      <c r="KM57" s="4"/>
      <c r="KN57" s="4"/>
      <c r="KO57" s="4"/>
      <c r="KP57" s="4"/>
      <c r="KQ57" s="4"/>
      <c r="KR57" s="4"/>
      <c r="KS57" s="4"/>
      <c r="KT57" s="4"/>
      <c r="KU57" s="4"/>
      <c r="KV57" s="4"/>
      <c r="KW57" s="4"/>
      <c r="KX57" s="4"/>
      <c r="KY57" s="4"/>
      <c r="KZ57" s="4"/>
      <c r="LA57" s="4"/>
      <c r="LB57" s="4"/>
      <c r="LC57" s="4"/>
      <c r="LD57" s="4"/>
      <c r="LE57" s="4"/>
      <c r="LF57" s="4"/>
      <c r="LG57" s="4"/>
      <c r="LH57" s="4"/>
      <c r="LI57" s="4"/>
      <c r="LJ57" s="4"/>
      <c r="LK57" s="4"/>
      <c r="LL57" s="4"/>
      <c r="LM57" s="4"/>
      <c r="LN57" s="4"/>
      <c r="LO57" s="4"/>
      <c r="LP57" s="4"/>
      <c r="LQ57" s="4"/>
      <c r="LR57" s="4"/>
      <c r="LS57" s="4"/>
      <c r="LT57" s="4"/>
      <c r="LU57" s="4"/>
      <c r="LV57" s="4"/>
      <c r="LW57" s="4"/>
      <c r="LX57" s="4"/>
      <c r="LY57" s="4"/>
      <c r="LZ57" s="4"/>
      <c r="MA57" s="4"/>
      <c r="MB57" s="4"/>
      <c r="MC57" s="4"/>
      <c r="MD57" s="4"/>
      <c r="ME57" s="4"/>
      <c r="MF57" s="4"/>
      <c r="MG57" s="4"/>
      <c r="MH57" s="4"/>
      <c r="MI57" s="4"/>
      <c r="MJ57" s="4"/>
      <c r="MK57" s="4"/>
      <c r="ML57" s="4"/>
      <c r="MM57" s="4"/>
      <c r="MN57" s="4"/>
      <c r="MO57" s="4"/>
      <c r="MP57" s="4"/>
    </row>
    <row r="58" spans="1:354">
      <c r="A58" s="4"/>
      <c r="B58" s="4"/>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c r="AQ58" s="4"/>
      <c r="AR58" s="4"/>
      <c r="AS58" s="4"/>
      <c r="AT58" s="4"/>
      <c r="AU58" s="4"/>
      <c r="AV58" s="4"/>
      <c r="AW58" s="4"/>
      <c r="AX58" s="4"/>
      <c r="AY58" s="4"/>
      <c r="AZ58" s="4"/>
      <c r="BA58" s="4"/>
      <c r="BB58" s="4"/>
      <c r="BC58" s="4"/>
      <c r="BD58" s="4"/>
      <c r="BE58" s="4"/>
      <c r="BF58" s="4"/>
      <c r="BG58" s="4"/>
      <c r="BH58" s="4"/>
      <c r="BI58" s="4"/>
      <c r="BJ58" s="4"/>
      <c r="BK58" s="4"/>
      <c r="BL58" s="4"/>
      <c r="BM58" s="4"/>
      <c r="BN58" s="4"/>
      <c r="BO58" s="4"/>
      <c r="BP58" s="4"/>
      <c r="BQ58" s="4"/>
      <c r="BR58" s="4"/>
      <c r="BS58" s="4"/>
      <c r="BT58" s="4"/>
      <c r="BU58" s="4"/>
      <c r="BV58" s="4"/>
      <c r="BW58" s="4"/>
      <c r="BX58" s="4"/>
      <c r="BY58" s="4"/>
      <c r="BZ58" s="4"/>
      <c r="CA58" s="4"/>
      <c r="CB58" s="4"/>
      <c r="CC58" s="4"/>
      <c r="CD58" s="4"/>
      <c r="CE58" s="4"/>
      <c r="CF58" s="4"/>
      <c r="CG58" s="4"/>
      <c r="CH58" s="4"/>
      <c r="CI58" s="4"/>
      <c r="CJ58" s="4"/>
      <c r="CK58" s="4"/>
      <c r="CL58" s="4"/>
      <c r="CM58" s="4"/>
      <c r="CN58" s="4"/>
      <c r="CO58" s="4"/>
      <c r="CP58" s="4"/>
      <c r="CQ58" s="4"/>
      <c r="CR58" s="4"/>
      <c r="CS58" s="4"/>
      <c r="CT58" s="4"/>
      <c r="CU58" s="4"/>
      <c r="CV58" s="4"/>
      <c r="CW58" s="4"/>
      <c r="CX58" s="4"/>
      <c r="CY58" s="4"/>
      <c r="CZ58" s="4"/>
      <c r="DA58" s="4"/>
      <c r="DB58" s="4"/>
      <c r="DC58" s="4"/>
      <c r="DD58" s="4"/>
      <c r="DE58" s="4"/>
      <c r="DF58" s="4"/>
      <c r="DG58" s="4"/>
      <c r="DH58" s="4"/>
      <c r="DI58" s="4"/>
      <c r="DJ58" s="4"/>
      <c r="DK58" s="4"/>
      <c r="DL58" s="4"/>
      <c r="DM58" s="4"/>
      <c r="DN58" s="4"/>
      <c r="DO58" s="4"/>
      <c r="DP58" s="4"/>
      <c r="DQ58" s="4"/>
      <c r="DR58" s="4"/>
      <c r="DS58" s="4"/>
      <c r="DT58" s="4"/>
      <c r="DU58" s="4"/>
      <c r="DV58" s="4"/>
      <c r="DW58" s="4"/>
      <c r="DX58" s="4"/>
      <c r="DY58" s="4"/>
      <c r="DZ58" s="4"/>
      <c r="EA58" s="4"/>
      <c r="EB58" s="4"/>
      <c r="EC58" s="4"/>
      <c r="ED58" s="4"/>
      <c r="EE58" s="4"/>
      <c r="EF58" s="4"/>
      <c r="EG58" s="4"/>
      <c r="EH58" s="4"/>
      <c r="EI58" s="4"/>
      <c r="EJ58" s="4"/>
      <c r="EK58" s="4"/>
      <c r="EL58" s="4"/>
      <c r="EM58" s="4"/>
      <c r="EN58" s="4"/>
      <c r="EO58" s="4"/>
      <c r="EP58" s="4"/>
      <c r="EQ58" s="4"/>
      <c r="ER58" s="4"/>
      <c r="ES58" s="4"/>
      <c r="ET58" s="4"/>
      <c r="EU58" s="4"/>
      <c r="EV58" s="4"/>
      <c r="EW58" s="4"/>
      <c r="EX58" s="4"/>
      <c r="EY58" s="4"/>
      <c r="EZ58" s="4"/>
      <c r="FA58" s="4"/>
      <c r="FB58" s="4"/>
      <c r="FC58" s="4"/>
      <c r="FD58" s="4"/>
      <c r="FE58" s="4"/>
      <c r="FF58" s="4"/>
      <c r="FG58" s="4"/>
      <c r="FH58" s="4"/>
      <c r="FI58" s="4"/>
      <c r="FJ58" s="4"/>
      <c r="FK58" s="4"/>
      <c r="FL58" s="4"/>
      <c r="FM58" s="4"/>
      <c r="FN58" s="4"/>
      <c r="FO58" s="4"/>
      <c r="FP58" s="4"/>
      <c r="FQ58" s="4"/>
      <c r="FR58" s="4"/>
      <c r="FS58" s="4"/>
      <c r="FT58" s="4"/>
      <c r="FU58" s="4"/>
      <c r="FV58" s="4"/>
      <c r="FW58" s="4"/>
      <c r="FX58" s="4"/>
      <c r="FY58" s="4"/>
      <c r="FZ58" s="4"/>
      <c r="GA58" s="4"/>
      <c r="GB58" s="4"/>
      <c r="GC58" s="4"/>
      <c r="GD58" s="4"/>
      <c r="GE58" s="4"/>
      <c r="GF58" s="4"/>
      <c r="GG58" s="4"/>
      <c r="GH58" s="4"/>
      <c r="GI58" s="4"/>
      <c r="GJ58" s="4"/>
      <c r="GK58" s="4"/>
      <c r="GL58" s="4"/>
      <c r="GM58" s="4"/>
      <c r="GN58" s="4"/>
      <c r="GO58" s="4"/>
      <c r="GP58" s="4"/>
      <c r="GQ58" s="4"/>
      <c r="GR58" s="4"/>
      <c r="GS58" s="4"/>
      <c r="GT58" s="4"/>
      <c r="GU58" s="4"/>
      <c r="GV58" s="4"/>
      <c r="GW58" s="4"/>
      <c r="GX58" s="4"/>
      <c r="GY58" s="4"/>
      <c r="GZ58" s="4"/>
      <c r="HA58" s="4"/>
      <c r="HB58" s="4"/>
      <c r="HC58" s="4"/>
      <c r="HD58" s="4"/>
      <c r="HE58" s="4"/>
      <c r="HF58" s="4"/>
      <c r="HG58" s="4"/>
      <c r="HH58" s="4"/>
      <c r="HI58" s="4"/>
      <c r="HJ58" s="4"/>
      <c r="HK58" s="4"/>
      <c r="HL58" s="4"/>
      <c r="HM58" s="4"/>
      <c r="HN58" s="4"/>
      <c r="HO58" s="4"/>
      <c r="HP58" s="4"/>
      <c r="HQ58" s="4"/>
      <c r="HR58" s="4"/>
      <c r="HS58" s="4"/>
      <c r="HT58" s="4"/>
      <c r="HU58" s="4"/>
      <c r="HV58" s="4"/>
      <c r="HW58" s="4"/>
      <c r="HX58" s="4"/>
      <c r="HY58" s="4"/>
      <c r="HZ58" s="4"/>
      <c r="IA58" s="4"/>
      <c r="IB58" s="4"/>
      <c r="IC58" s="4"/>
      <c r="ID58" s="4"/>
      <c r="IE58" s="4"/>
      <c r="IF58" s="4"/>
      <c r="IG58" s="4"/>
      <c r="IH58" s="4"/>
      <c r="II58" s="4"/>
      <c r="IJ58" s="4"/>
      <c r="IK58" s="4"/>
      <c r="IL58" s="4"/>
      <c r="IM58" s="4"/>
      <c r="IN58" s="4"/>
      <c r="IO58" s="4"/>
      <c r="IP58" s="4"/>
      <c r="IQ58" s="4"/>
      <c r="IR58" s="4"/>
      <c r="IS58" s="4"/>
      <c r="IT58" s="4"/>
      <c r="IU58" s="4"/>
      <c r="IV58" s="4"/>
      <c r="IW58" s="4"/>
      <c r="IX58" s="4"/>
      <c r="IY58" s="4"/>
      <c r="IZ58" s="4"/>
      <c r="JA58" s="4"/>
      <c r="JB58" s="4"/>
      <c r="JC58" s="4"/>
      <c r="JD58" s="4"/>
      <c r="JE58" s="4"/>
      <c r="JF58" s="4"/>
      <c r="JG58" s="4"/>
      <c r="JH58" s="4"/>
      <c r="JI58" s="4"/>
      <c r="JJ58" s="4"/>
      <c r="JK58" s="4"/>
      <c r="JL58" s="4"/>
      <c r="JM58" s="4"/>
      <c r="JN58" s="4"/>
      <c r="JO58" s="4"/>
      <c r="JP58" s="4"/>
      <c r="JQ58" s="4"/>
      <c r="JR58" s="4"/>
      <c r="JS58" s="4"/>
      <c r="JT58" s="4"/>
      <c r="JU58" s="4"/>
      <c r="JV58" s="4"/>
      <c r="JW58" s="4"/>
      <c r="JX58" s="4"/>
      <c r="JY58" s="4"/>
      <c r="JZ58" s="4"/>
      <c r="KA58" s="4"/>
      <c r="KB58" s="4"/>
      <c r="KC58" s="4"/>
      <c r="KD58" s="4"/>
      <c r="KE58" s="4"/>
      <c r="KF58" s="4"/>
      <c r="KG58" s="4"/>
      <c r="KH58" s="4"/>
      <c r="KI58" s="4"/>
      <c r="KJ58" s="4"/>
      <c r="KK58" s="4"/>
      <c r="KL58" s="4"/>
      <c r="KM58" s="4"/>
      <c r="KN58" s="4"/>
      <c r="KO58" s="4"/>
      <c r="KP58" s="4"/>
      <c r="KQ58" s="4"/>
      <c r="KR58" s="4"/>
      <c r="KS58" s="4"/>
      <c r="KT58" s="4"/>
      <c r="KU58" s="4"/>
      <c r="KV58" s="4"/>
      <c r="KW58" s="4"/>
      <c r="KX58" s="4"/>
      <c r="KY58" s="4"/>
      <c r="KZ58" s="4"/>
      <c r="LA58" s="4"/>
      <c r="LB58" s="4"/>
      <c r="LC58" s="4"/>
      <c r="LD58" s="4"/>
      <c r="LE58" s="4"/>
      <c r="LF58" s="4"/>
      <c r="LG58" s="4"/>
      <c r="LH58" s="4"/>
      <c r="LI58" s="4"/>
      <c r="LJ58" s="4"/>
      <c r="LK58" s="4"/>
      <c r="LL58" s="4"/>
      <c r="LM58" s="4"/>
      <c r="LN58" s="4"/>
      <c r="LO58" s="4"/>
      <c r="LP58" s="4"/>
      <c r="LQ58" s="4"/>
      <c r="LR58" s="4"/>
      <c r="LS58" s="4"/>
      <c r="LT58" s="4"/>
      <c r="LU58" s="4"/>
      <c r="LV58" s="4"/>
      <c r="LW58" s="4"/>
      <c r="LX58" s="4"/>
      <c r="LY58" s="4"/>
      <c r="LZ58" s="4"/>
      <c r="MA58" s="4"/>
      <c r="MB58" s="4"/>
      <c r="MC58" s="4"/>
      <c r="MD58" s="4"/>
      <c r="ME58" s="4"/>
      <c r="MF58" s="4"/>
      <c r="MG58" s="4"/>
      <c r="MH58" s="4"/>
      <c r="MI58" s="4"/>
      <c r="MJ58" s="4"/>
      <c r="MK58" s="4"/>
      <c r="ML58" s="4"/>
      <c r="MM58" s="4"/>
      <c r="MN58" s="4"/>
      <c r="MO58" s="4"/>
      <c r="MP58" s="4"/>
    </row>
    <row r="59" spans="1:354">
      <c r="A59" s="4"/>
      <c r="B59" s="4"/>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c r="BJ59" s="4"/>
      <c r="BK59" s="4"/>
      <c r="BL59" s="4"/>
      <c r="BM59" s="4"/>
      <c r="BN59" s="4"/>
      <c r="BO59" s="4"/>
      <c r="BP59" s="4"/>
      <c r="BQ59" s="4"/>
      <c r="BR59" s="4"/>
      <c r="BS59" s="4"/>
      <c r="BT59" s="4"/>
      <c r="BU59" s="4"/>
      <c r="BV59" s="4"/>
      <c r="BW59" s="4"/>
      <c r="BX59" s="4"/>
      <c r="BY59" s="4"/>
      <c r="BZ59" s="4"/>
      <c r="CA59" s="4"/>
      <c r="CB59" s="4"/>
      <c r="CC59" s="4"/>
      <c r="CD59" s="4"/>
      <c r="CE59" s="4"/>
      <c r="CF59" s="4"/>
      <c r="CG59" s="4"/>
      <c r="CH59" s="4"/>
      <c r="CI59" s="4"/>
      <c r="CJ59" s="4"/>
      <c r="CK59" s="4"/>
      <c r="CL59" s="4"/>
      <c r="CM59" s="4"/>
      <c r="CN59" s="4"/>
      <c r="CO59" s="4"/>
      <c r="CP59" s="4"/>
      <c r="CQ59" s="4"/>
      <c r="CR59" s="4"/>
      <c r="CS59" s="4"/>
      <c r="CT59" s="4"/>
      <c r="CU59" s="4"/>
      <c r="CV59" s="4"/>
      <c r="CW59" s="4"/>
      <c r="CX59" s="4"/>
      <c r="CY59" s="4"/>
      <c r="CZ59" s="4"/>
      <c r="DA59" s="4"/>
      <c r="DB59" s="4"/>
      <c r="DC59" s="4"/>
      <c r="DD59" s="4"/>
      <c r="DE59" s="4"/>
      <c r="DF59" s="4"/>
      <c r="DG59" s="4"/>
      <c r="DH59" s="4"/>
      <c r="DI59" s="4"/>
      <c r="DJ59" s="4"/>
      <c r="DK59" s="4"/>
      <c r="DL59" s="4"/>
      <c r="DM59" s="4"/>
      <c r="DN59" s="4"/>
      <c r="DO59" s="4"/>
      <c r="DP59" s="4"/>
      <c r="DQ59" s="4"/>
      <c r="DR59" s="4"/>
      <c r="DS59" s="4"/>
      <c r="DT59" s="4"/>
      <c r="DU59" s="4"/>
      <c r="DV59" s="4"/>
      <c r="DW59" s="4"/>
      <c r="DX59" s="4"/>
      <c r="DY59" s="4"/>
      <c r="DZ59" s="4"/>
      <c r="EA59" s="4"/>
      <c r="EB59" s="4"/>
      <c r="EC59" s="4"/>
      <c r="ED59" s="4"/>
      <c r="EE59" s="4"/>
      <c r="EF59" s="4"/>
      <c r="EG59" s="4"/>
      <c r="EH59" s="4"/>
      <c r="EI59" s="4"/>
      <c r="EJ59" s="4"/>
      <c r="EK59" s="4"/>
      <c r="EL59" s="4"/>
      <c r="EM59" s="4"/>
      <c r="EN59" s="4"/>
      <c r="EO59" s="4"/>
      <c r="EP59" s="4"/>
      <c r="EQ59" s="4"/>
      <c r="ER59" s="4"/>
      <c r="ES59" s="4"/>
      <c r="ET59" s="4"/>
      <c r="EU59" s="4"/>
      <c r="EV59" s="4"/>
      <c r="EW59" s="4"/>
      <c r="EX59" s="4"/>
      <c r="EY59" s="4"/>
      <c r="EZ59" s="4"/>
      <c r="FA59" s="4"/>
      <c r="FB59" s="4"/>
      <c r="FC59" s="4"/>
      <c r="FD59" s="4"/>
      <c r="FE59" s="4"/>
      <c r="FF59" s="4"/>
      <c r="FG59" s="4"/>
      <c r="FH59" s="4"/>
      <c r="FI59" s="4"/>
      <c r="FJ59" s="4"/>
      <c r="FK59" s="4"/>
      <c r="FL59" s="4"/>
      <c r="FM59" s="4"/>
      <c r="FN59" s="4"/>
      <c r="FO59" s="4"/>
      <c r="FP59" s="4"/>
      <c r="FQ59" s="4"/>
      <c r="FR59" s="4"/>
      <c r="FS59" s="4"/>
      <c r="FT59" s="4"/>
      <c r="FU59" s="4"/>
      <c r="FV59" s="4"/>
      <c r="FW59" s="4"/>
      <c r="FX59" s="4"/>
      <c r="FY59" s="4"/>
      <c r="FZ59" s="4"/>
      <c r="GA59" s="4"/>
      <c r="GB59" s="4"/>
      <c r="GC59" s="4"/>
      <c r="GD59" s="4"/>
      <c r="GE59" s="4"/>
      <c r="GF59" s="4"/>
      <c r="GG59" s="4"/>
      <c r="GH59" s="4"/>
      <c r="GI59" s="4"/>
      <c r="GJ59" s="4"/>
      <c r="GK59" s="4"/>
      <c r="GL59" s="4"/>
      <c r="GM59" s="4"/>
      <c r="GN59" s="4"/>
      <c r="GO59" s="4"/>
      <c r="GP59" s="4"/>
      <c r="GQ59" s="4"/>
      <c r="GR59" s="4"/>
      <c r="GS59" s="4"/>
      <c r="GT59" s="4"/>
      <c r="GU59" s="4"/>
      <c r="GV59" s="4"/>
      <c r="GW59" s="4"/>
      <c r="GX59" s="4"/>
      <c r="GY59" s="4"/>
      <c r="GZ59" s="4"/>
      <c r="HA59" s="4"/>
      <c r="HB59" s="4"/>
      <c r="HC59" s="4"/>
      <c r="HD59" s="4"/>
      <c r="HE59" s="4"/>
      <c r="HF59" s="4"/>
      <c r="HG59" s="4"/>
      <c r="HH59" s="4"/>
      <c r="HI59" s="4"/>
      <c r="HJ59" s="4"/>
      <c r="HK59" s="4"/>
      <c r="HL59" s="4"/>
      <c r="HM59" s="4"/>
      <c r="HN59" s="4"/>
      <c r="HO59" s="4"/>
      <c r="HP59" s="4"/>
      <c r="HQ59" s="4"/>
      <c r="HR59" s="4"/>
      <c r="HS59" s="4"/>
      <c r="HT59" s="4"/>
      <c r="HU59" s="4"/>
      <c r="HV59" s="4"/>
      <c r="HW59" s="4"/>
      <c r="HX59" s="4"/>
      <c r="HY59" s="4"/>
      <c r="HZ59" s="4"/>
      <c r="IA59" s="4"/>
      <c r="IB59" s="4"/>
      <c r="IC59" s="4"/>
      <c r="ID59" s="4"/>
      <c r="IE59" s="4"/>
      <c r="IF59" s="4"/>
      <c r="IG59" s="4"/>
      <c r="IH59" s="4"/>
      <c r="II59" s="4"/>
      <c r="IJ59" s="4"/>
      <c r="IK59" s="4"/>
      <c r="IL59" s="4"/>
      <c r="IM59" s="4"/>
      <c r="IN59" s="4"/>
      <c r="IO59" s="4"/>
      <c r="IP59" s="4"/>
      <c r="IQ59" s="4"/>
      <c r="IR59" s="4"/>
      <c r="IS59" s="4"/>
      <c r="IT59" s="4"/>
      <c r="IU59" s="4"/>
      <c r="IV59" s="4"/>
      <c r="IW59" s="4"/>
      <c r="IX59" s="4"/>
      <c r="IY59" s="4"/>
      <c r="IZ59" s="4"/>
      <c r="JA59" s="4"/>
      <c r="JB59" s="4"/>
      <c r="JC59" s="4"/>
      <c r="JD59" s="4"/>
      <c r="JE59" s="4"/>
      <c r="JF59" s="4"/>
      <c r="JG59" s="4"/>
      <c r="JH59" s="4"/>
      <c r="JI59" s="4"/>
      <c r="JJ59" s="4"/>
      <c r="JK59" s="4"/>
      <c r="JL59" s="4"/>
      <c r="JM59" s="4"/>
      <c r="JN59" s="4"/>
      <c r="JO59" s="4"/>
      <c r="JP59" s="4"/>
      <c r="JQ59" s="4"/>
      <c r="JR59" s="4"/>
      <c r="JS59" s="4"/>
      <c r="JT59" s="4"/>
      <c r="JU59" s="4"/>
      <c r="JV59" s="4"/>
      <c r="JW59" s="4"/>
      <c r="JX59" s="4"/>
      <c r="JY59" s="4"/>
      <c r="JZ59" s="4"/>
      <c r="KA59" s="4"/>
      <c r="KB59" s="4"/>
      <c r="KC59" s="4"/>
      <c r="KD59" s="4"/>
      <c r="KE59" s="4"/>
      <c r="KF59" s="4"/>
      <c r="KG59" s="4"/>
      <c r="KH59" s="4"/>
      <c r="KI59" s="4"/>
      <c r="KJ59" s="4"/>
      <c r="KK59" s="4"/>
      <c r="KL59" s="4"/>
      <c r="KM59" s="4"/>
      <c r="KN59" s="4"/>
      <c r="KO59" s="4"/>
      <c r="KP59" s="4"/>
      <c r="KQ59" s="4"/>
      <c r="KR59" s="4"/>
      <c r="KS59" s="4"/>
      <c r="KT59" s="4"/>
      <c r="KU59" s="4"/>
      <c r="KV59" s="4"/>
      <c r="KW59" s="4"/>
      <c r="KX59" s="4"/>
      <c r="KY59" s="4"/>
      <c r="KZ59" s="4"/>
      <c r="LA59" s="4"/>
      <c r="LB59" s="4"/>
      <c r="LC59" s="4"/>
      <c r="LD59" s="4"/>
      <c r="LE59" s="4"/>
      <c r="LF59" s="4"/>
      <c r="LG59" s="4"/>
      <c r="LH59" s="4"/>
      <c r="LI59" s="4"/>
      <c r="LJ59" s="4"/>
      <c r="LK59" s="4"/>
      <c r="LL59" s="4"/>
      <c r="LM59" s="4"/>
      <c r="LN59" s="4"/>
      <c r="LO59" s="4"/>
      <c r="LP59" s="4"/>
      <c r="LQ59" s="4"/>
      <c r="LR59" s="4"/>
      <c r="LS59" s="4"/>
      <c r="LT59" s="4"/>
      <c r="LU59" s="4"/>
      <c r="LV59" s="4"/>
      <c r="LW59" s="4"/>
      <c r="LX59" s="4"/>
      <c r="LY59" s="4"/>
      <c r="LZ59" s="4"/>
      <c r="MA59" s="4"/>
      <c r="MB59" s="4"/>
      <c r="MC59" s="4"/>
      <c r="MD59" s="4"/>
      <c r="ME59" s="4"/>
      <c r="MF59" s="4"/>
      <c r="MG59" s="4"/>
      <c r="MH59" s="4"/>
      <c r="MI59" s="4"/>
      <c r="MJ59" s="4"/>
      <c r="MK59" s="4"/>
      <c r="ML59" s="4"/>
      <c r="MM59" s="4"/>
      <c r="MN59" s="4"/>
      <c r="MO59" s="4"/>
      <c r="MP59" s="4"/>
    </row>
    <row r="60" spans="1:354">
      <c r="A60" s="4"/>
      <c r="B60" s="4"/>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c r="AQ60" s="4"/>
      <c r="AR60" s="4"/>
      <c r="AS60" s="4"/>
      <c r="AT60" s="4"/>
      <c r="AU60" s="4"/>
      <c r="AV60" s="4"/>
      <c r="AW60" s="4"/>
      <c r="AX60" s="4"/>
      <c r="AY60" s="4"/>
      <c r="AZ60" s="4"/>
      <c r="BA60" s="4"/>
      <c r="BB60" s="4"/>
      <c r="BC60" s="4"/>
      <c r="BD60" s="4"/>
      <c r="BE60" s="4"/>
      <c r="BF60" s="4"/>
      <c r="BG60" s="4"/>
      <c r="BH60" s="4"/>
      <c r="BI60" s="4"/>
      <c r="BJ60" s="4"/>
      <c r="BK60" s="4"/>
      <c r="BL60" s="4"/>
      <c r="BM60" s="4"/>
      <c r="BN60" s="4"/>
      <c r="BO60" s="4"/>
      <c r="BP60" s="4"/>
      <c r="BQ60" s="4"/>
      <c r="BR60" s="4"/>
      <c r="BS60" s="4"/>
      <c r="BT60" s="4"/>
      <c r="BU60" s="4"/>
      <c r="BV60" s="4"/>
      <c r="BW60" s="4"/>
      <c r="BX60" s="4"/>
      <c r="BY60" s="4"/>
      <c r="BZ60" s="4"/>
      <c r="CA60" s="4"/>
      <c r="CB60" s="4"/>
      <c r="CC60" s="4"/>
      <c r="CD60" s="4"/>
      <c r="CE60" s="4"/>
      <c r="CF60" s="4"/>
      <c r="CG60" s="4"/>
      <c r="CH60" s="4"/>
      <c r="CI60" s="4"/>
      <c r="CJ60" s="4"/>
      <c r="CK60" s="4"/>
      <c r="CL60" s="4"/>
      <c r="CM60" s="4"/>
      <c r="CN60" s="4"/>
      <c r="CO60" s="4"/>
      <c r="CP60" s="4"/>
      <c r="CQ60" s="4"/>
      <c r="CR60" s="4"/>
      <c r="CS60" s="4"/>
      <c r="CT60" s="4"/>
      <c r="CU60" s="4"/>
      <c r="CV60" s="4"/>
      <c r="CW60" s="4"/>
      <c r="CX60" s="4"/>
      <c r="CY60" s="4"/>
      <c r="CZ60" s="4"/>
      <c r="DA60" s="4"/>
      <c r="DB60" s="4"/>
      <c r="DC60" s="4"/>
      <c r="DD60" s="4"/>
      <c r="DE60" s="4"/>
      <c r="DF60" s="4"/>
      <c r="DG60" s="4"/>
      <c r="DH60" s="4"/>
      <c r="DI60" s="4"/>
      <c r="DJ60" s="4"/>
      <c r="DK60" s="4"/>
      <c r="DL60" s="4"/>
      <c r="DM60" s="4"/>
      <c r="DN60" s="4"/>
      <c r="DO60" s="4"/>
      <c r="DP60" s="4"/>
      <c r="DQ60" s="4"/>
      <c r="DR60" s="4"/>
      <c r="DS60" s="4"/>
      <c r="DT60" s="4"/>
      <c r="DU60" s="4"/>
      <c r="DV60" s="4"/>
      <c r="DW60" s="4"/>
      <c r="DX60" s="4"/>
      <c r="DY60" s="4"/>
      <c r="DZ60" s="4"/>
      <c r="EA60" s="4"/>
      <c r="EB60" s="4"/>
      <c r="EC60" s="4"/>
      <c r="ED60" s="4"/>
      <c r="EE60" s="4"/>
      <c r="EF60" s="4"/>
      <c r="EG60" s="4"/>
      <c r="EH60" s="4"/>
      <c r="EI60" s="4"/>
      <c r="EJ60" s="4"/>
      <c r="EK60" s="4"/>
      <c r="EL60" s="4"/>
      <c r="EM60" s="4"/>
      <c r="EN60" s="4"/>
      <c r="EO60" s="4"/>
      <c r="EP60" s="4"/>
      <c r="EQ60" s="4"/>
      <c r="ER60" s="4"/>
      <c r="ES60" s="4"/>
      <c r="ET60" s="4"/>
      <c r="EU60" s="4"/>
      <c r="EV60" s="4"/>
      <c r="EW60" s="4"/>
      <c r="EX60" s="4"/>
      <c r="EY60" s="4"/>
      <c r="EZ60" s="4"/>
      <c r="FA60" s="4"/>
      <c r="FB60" s="4"/>
      <c r="FC60" s="4"/>
      <c r="FD60" s="4"/>
      <c r="FE60" s="4"/>
      <c r="FF60" s="4"/>
      <c r="FG60" s="4"/>
      <c r="FH60" s="4"/>
      <c r="FI60" s="4"/>
      <c r="FJ60" s="4"/>
      <c r="FK60" s="4"/>
      <c r="FL60" s="4"/>
      <c r="FM60" s="4"/>
      <c r="FN60" s="4"/>
      <c r="FO60" s="4"/>
      <c r="FP60" s="4"/>
      <c r="FQ60" s="4"/>
      <c r="FR60" s="4"/>
      <c r="FS60" s="4"/>
      <c r="FT60" s="4"/>
      <c r="FU60" s="4"/>
      <c r="FV60" s="4"/>
      <c r="FW60" s="4"/>
      <c r="FX60" s="4"/>
      <c r="FY60" s="4"/>
      <c r="FZ60" s="4"/>
      <c r="GA60" s="4"/>
      <c r="GB60" s="4"/>
      <c r="GC60" s="4"/>
      <c r="GD60" s="4"/>
      <c r="GE60" s="4"/>
      <c r="GF60" s="4"/>
      <c r="GG60" s="4"/>
      <c r="GH60" s="4"/>
      <c r="GI60" s="4"/>
      <c r="GJ60" s="4"/>
      <c r="GK60" s="4"/>
      <c r="GL60" s="4"/>
      <c r="GM60" s="4"/>
      <c r="GN60" s="4"/>
      <c r="GO60" s="4"/>
      <c r="GP60" s="4"/>
      <c r="GQ60" s="4"/>
      <c r="GR60" s="4"/>
      <c r="GS60" s="4"/>
      <c r="GT60" s="4"/>
      <c r="GU60" s="4"/>
      <c r="GV60" s="4"/>
      <c r="GW60" s="4"/>
      <c r="GX60" s="4"/>
      <c r="GY60" s="4"/>
      <c r="GZ60" s="4"/>
      <c r="HA60" s="4"/>
      <c r="HB60" s="4"/>
      <c r="HC60" s="4"/>
      <c r="HD60" s="4"/>
      <c r="HE60" s="4"/>
      <c r="HF60" s="4"/>
      <c r="HG60" s="4"/>
      <c r="HH60" s="4"/>
      <c r="HI60" s="4"/>
      <c r="HJ60" s="4"/>
      <c r="HK60" s="4"/>
      <c r="HL60" s="4"/>
      <c r="HM60" s="4"/>
      <c r="HN60" s="4"/>
      <c r="HO60" s="4"/>
      <c r="HP60" s="4"/>
      <c r="HQ60" s="4"/>
      <c r="HR60" s="4"/>
      <c r="HS60" s="4"/>
      <c r="HT60" s="4"/>
      <c r="HU60" s="4"/>
      <c r="HV60" s="4"/>
      <c r="HW60" s="4"/>
      <c r="HX60" s="4"/>
      <c r="HY60" s="4"/>
      <c r="HZ60" s="4"/>
      <c r="IA60" s="4"/>
      <c r="IB60" s="4"/>
      <c r="IC60" s="4"/>
      <c r="ID60" s="4"/>
      <c r="IE60" s="4"/>
      <c r="IF60" s="4"/>
      <c r="IG60" s="4"/>
      <c r="IH60" s="4"/>
      <c r="II60" s="4"/>
      <c r="IJ60" s="4"/>
      <c r="IK60" s="4"/>
      <c r="IL60" s="4"/>
      <c r="IM60" s="4"/>
      <c r="IN60" s="4"/>
      <c r="IO60" s="4"/>
      <c r="IP60" s="4"/>
      <c r="IQ60" s="4"/>
      <c r="IR60" s="4"/>
      <c r="IS60" s="4"/>
      <c r="IT60" s="4"/>
      <c r="IU60" s="4"/>
      <c r="IV60" s="4"/>
      <c r="IW60" s="4"/>
      <c r="IX60" s="4"/>
      <c r="IY60" s="4"/>
      <c r="IZ60" s="4"/>
      <c r="JA60" s="4"/>
      <c r="JB60" s="4"/>
      <c r="JC60" s="4"/>
      <c r="JD60" s="4"/>
      <c r="JE60" s="4"/>
      <c r="JF60" s="4"/>
      <c r="JG60" s="4"/>
      <c r="JH60" s="4"/>
      <c r="JI60" s="4"/>
      <c r="JJ60" s="4"/>
      <c r="JK60" s="4"/>
      <c r="JL60" s="4"/>
      <c r="JM60" s="4"/>
      <c r="JN60" s="4"/>
      <c r="JO60" s="4"/>
      <c r="JP60" s="4"/>
      <c r="JQ60" s="4"/>
      <c r="JR60" s="4"/>
      <c r="JS60" s="4"/>
      <c r="JT60" s="4"/>
      <c r="JU60" s="4"/>
      <c r="JV60" s="4"/>
      <c r="JW60" s="4"/>
      <c r="JX60" s="4"/>
      <c r="JY60" s="4"/>
      <c r="JZ60" s="4"/>
      <c r="KA60" s="4"/>
      <c r="KB60" s="4"/>
      <c r="KC60" s="4"/>
      <c r="KD60" s="4"/>
      <c r="KE60" s="4"/>
      <c r="KF60" s="4"/>
      <c r="KG60" s="4"/>
      <c r="KH60" s="4"/>
      <c r="KI60" s="4"/>
      <c r="KJ60" s="4"/>
      <c r="KK60" s="4"/>
      <c r="KL60" s="4"/>
      <c r="KM60" s="4"/>
      <c r="KN60" s="4"/>
      <c r="KO60" s="4"/>
      <c r="KP60" s="4"/>
      <c r="KQ60" s="4"/>
      <c r="KR60" s="4"/>
      <c r="KS60" s="4"/>
      <c r="KT60" s="4"/>
      <c r="KU60" s="4"/>
      <c r="KV60" s="4"/>
      <c r="KW60" s="4"/>
      <c r="KX60" s="4"/>
      <c r="KY60" s="4"/>
      <c r="KZ60" s="4"/>
      <c r="LA60" s="4"/>
      <c r="LB60" s="4"/>
      <c r="LC60" s="4"/>
      <c r="LD60" s="4"/>
      <c r="LE60" s="4"/>
      <c r="LF60" s="4"/>
      <c r="LG60" s="4"/>
      <c r="LH60" s="4"/>
      <c r="LI60" s="4"/>
      <c r="LJ60" s="4"/>
      <c r="LK60" s="4"/>
      <c r="LL60" s="4"/>
      <c r="LM60" s="4"/>
      <c r="LN60" s="4"/>
      <c r="LO60" s="4"/>
      <c r="LP60" s="4"/>
      <c r="LQ60" s="4"/>
      <c r="LR60" s="4"/>
      <c r="LS60" s="4"/>
      <c r="LT60" s="4"/>
      <c r="LU60" s="4"/>
      <c r="LV60" s="4"/>
      <c r="LW60" s="4"/>
      <c r="LX60" s="4"/>
      <c r="LY60" s="4"/>
      <c r="LZ60" s="4"/>
      <c r="MA60" s="4"/>
      <c r="MB60" s="4"/>
      <c r="MC60" s="4"/>
      <c r="MD60" s="4"/>
      <c r="ME60" s="4"/>
      <c r="MF60" s="4"/>
      <c r="MG60" s="4"/>
      <c r="MH60" s="4"/>
      <c r="MI60" s="4"/>
      <c r="MJ60" s="4"/>
      <c r="MK60" s="4"/>
      <c r="ML60" s="4"/>
      <c r="MM60" s="4"/>
      <c r="MN60" s="4"/>
      <c r="MO60" s="4"/>
      <c r="MP60" s="4"/>
    </row>
    <row r="61" spans="1:354">
      <c r="A61" s="4"/>
      <c r="B61" s="4"/>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c r="AQ61" s="4"/>
      <c r="AR61" s="4"/>
      <c r="AS61" s="4"/>
      <c r="AT61" s="4"/>
      <c r="AU61" s="4"/>
      <c r="AV61" s="4"/>
      <c r="AW61" s="4"/>
      <c r="AX61" s="4"/>
      <c r="AY61" s="4"/>
      <c r="AZ61" s="4"/>
      <c r="BA61" s="4"/>
      <c r="BB61" s="4"/>
      <c r="BC61" s="4"/>
      <c r="BD61" s="4"/>
      <c r="BE61" s="4"/>
      <c r="BF61" s="4"/>
      <c r="BG61" s="4"/>
      <c r="BH61" s="4"/>
      <c r="BI61" s="4"/>
      <c r="BJ61" s="4"/>
      <c r="BK61" s="4"/>
      <c r="BL61" s="4"/>
      <c r="BM61" s="4"/>
      <c r="BN61" s="4"/>
      <c r="BO61" s="4"/>
      <c r="BP61" s="4"/>
      <c r="BQ61" s="4"/>
      <c r="BR61" s="4"/>
      <c r="BS61" s="4"/>
      <c r="BT61" s="4"/>
      <c r="BU61" s="4"/>
      <c r="BV61" s="4"/>
      <c r="BW61" s="4"/>
      <c r="BX61" s="4"/>
      <c r="BY61" s="4"/>
      <c r="BZ61" s="4"/>
      <c r="CA61" s="4"/>
      <c r="CB61" s="4"/>
      <c r="CC61" s="4"/>
      <c r="CD61" s="4"/>
      <c r="CE61" s="4"/>
      <c r="CF61" s="4"/>
      <c r="CG61" s="4"/>
      <c r="CH61" s="4"/>
      <c r="CI61" s="4"/>
      <c r="CJ61" s="4"/>
      <c r="CK61" s="4"/>
      <c r="CL61" s="4"/>
      <c r="CM61" s="4"/>
      <c r="CN61" s="4"/>
      <c r="CO61" s="4"/>
      <c r="CP61" s="4"/>
      <c r="CQ61" s="4"/>
      <c r="CR61" s="4"/>
      <c r="CS61" s="4"/>
      <c r="CT61" s="4"/>
      <c r="CU61" s="4"/>
      <c r="CV61" s="4"/>
      <c r="CW61" s="4"/>
      <c r="CX61" s="4"/>
      <c r="CY61" s="4"/>
      <c r="CZ61" s="4"/>
      <c r="DA61" s="4"/>
      <c r="DB61" s="4"/>
      <c r="DC61" s="4"/>
      <c r="DD61" s="4"/>
      <c r="DE61" s="4"/>
      <c r="DF61" s="4"/>
      <c r="DG61" s="4"/>
      <c r="DH61" s="4"/>
      <c r="DI61" s="4"/>
      <c r="DJ61" s="4"/>
      <c r="DK61" s="4"/>
      <c r="DL61" s="4"/>
      <c r="DM61" s="4"/>
      <c r="DN61" s="4"/>
      <c r="DO61" s="4"/>
      <c r="DP61" s="4"/>
      <c r="DQ61" s="4"/>
      <c r="DR61" s="4"/>
      <c r="DS61" s="4"/>
      <c r="DT61" s="4"/>
      <c r="DU61" s="4"/>
      <c r="DV61" s="4"/>
      <c r="DW61" s="4"/>
      <c r="DX61" s="4"/>
      <c r="DY61" s="4"/>
      <c r="DZ61" s="4"/>
      <c r="EA61" s="4"/>
      <c r="EB61" s="4"/>
      <c r="EC61" s="4"/>
      <c r="ED61" s="4"/>
      <c r="EE61" s="4"/>
      <c r="EF61" s="4"/>
      <c r="EG61" s="4"/>
      <c r="EH61" s="4"/>
      <c r="EI61" s="4"/>
      <c r="EJ61" s="4"/>
      <c r="EK61" s="4"/>
      <c r="EL61" s="4"/>
      <c r="EM61" s="4"/>
      <c r="EN61" s="4"/>
      <c r="EO61" s="4"/>
      <c r="EP61" s="4"/>
      <c r="EQ61" s="4"/>
      <c r="ER61" s="4"/>
      <c r="ES61" s="4"/>
      <c r="ET61" s="4"/>
      <c r="EU61" s="4"/>
      <c r="EV61" s="4"/>
      <c r="EW61" s="4"/>
      <c r="EX61" s="4"/>
      <c r="EY61" s="4"/>
      <c r="EZ61" s="4"/>
      <c r="FA61" s="4"/>
      <c r="FB61" s="4"/>
      <c r="FC61" s="4"/>
      <c r="FD61" s="4"/>
      <c r="FE61" s="4"/>
      <c r="FF61" s="4"/>
      <c r="FG61" s="4"/>
      <c r="FH61" s="4"/>
      <c r="FI61" s="4"/>
      <c r="FJ61" s="4"/>
      <c r="FK61" s="4"/>
      <c r="FL61" s="4"/>
      <c r="FM61" s="4"/>
      <c r="FN61" s="4"/>
      <c r="FO61" s="4"/>
      <c r="FP61" s="4"/>
      <c r="FQ61" s="4"/>
      <c r="FR61" s="4"/>
      <c r="FS61" s="4"/>
      <c r="FT61" s="4"/>
      <c r="FU61" s="4"/>
      <c r="FV61" s="4"/>
      <c r="FW61" s="4"/>
      <c r="FX61" s="4"/>
      <c r="FY61" s="4"/>
      <c r="FZ61" s="4"/>
      <c r="GA61" s="4"/>
      <c r="GB61" s="4"/>
      <c r="GC61" s="4"/>
      <c r="GD61" s="4"/>
      <c r="GE61" s="4"/>
      <c r="GF61" s="4"/>
      <c r="GG61" s="4"/>
      <c r="GH61" s="4"/>
      <c r="GI61" s="4"/>
      <c r="GJ61" s="4"/>
      <c r="GK61" s="4"/>
      <c r="GL61" s="4"/>
      <c r="GM61" s="4"/>
      <c r="GN61" s="4"/>
      <c r="GO61" s="4"/>
      <c r="GP61" s="4"/>
      <c r="GQ61" s="4"/>
      <c r="GR61" s="4"/>
      <c r="GS61" s="4"/>
      <c r="GT61" s="4"/>
      <c r="GU61" s="4"/>
      <c r="GV61" s="4"/>
      <c r="GW61" s="4"/>
      <c r="GX61" s="4"/>
      <c r="GY61" s="4"/>
      <c r="GZ61" s="4"/>
      <c r="HA61" s="4"/>
      <c r="HB61" s="4"/>
      <c r="HC61" s="4"/>
      <c r="HD61" s="4"/>
      <c r="HE61" s="4"/>
      <c r="HF61" s="4"/>
      <c r="HG61" s="4"/>
      <c r="HH61" s="4"/>
      <c r="HI61" s="4"/>
      <c r="HJ61" s="4"/>
      <c r="HK61" s="4"/>
      <c r="HL61" s="4"/>
      <c r="HM61" s="4"/>
      <c r="HN61" s="4"/>
      <c r="HO61" s="4"/>
      <c r="HP61" s="4"/>
      <c r="HQ61" s="4"/>
      <c r="HR61" s="4"/>
      <c r="HS61" s="4"/>
      <c r="HT61" s="4"/>
      <c r="HU61" s="4"/>
      <c r="HV61" s="4"/>
      <c r="HW61" s="4"/>
      <c r="HX61" s="4"/>
      <c r="HY61" s="4"/>
      <c r="HZ61" s="4"/>
      <c r="IA61" s="4"/>
      <c r="IB61" s="4"/>
      <c r="IC61" s="4"/>
      <c r="ID61" s="4"/>
      <c r="IE61" s="4"/>
      <c r="IF61" s="4"/>
      <c r="IG61" s="4"/>
      <c r="IH61" s="4"/>
      <c r="II61" s="4"/>
      <c r="IJ61" s="4"/>
      <c r="IK61" s="4"/>
      <c r="IL61" s="4"/>
      <c r="IM61" s="4"/>
      <c r="IN61" s="4"/>
      <c r="IO61" s="4"/>
      <c r="IP61" s="4"/>
      <c r="IQ61" s="4"/>
      <c r="IR61" s="4"/>
      <c r="IS61" s="4"/>
      <c r="IT61" s="4"/>
      <c r="IU61" s="4"/>
      <c r="IV61" s="4"/>
      <c r="IW61" s="4"/>
      <c r="IX61" s="4"/>
      <c r="IY61" s="4"/>
      <c r="IZ61" s="4"/>
      <c r="JA61" s="4"/>
      <c r="JB61" s="4"/>
      <c r="JC61" s="4"/>
      <c r="JD61" s="4"/>
      <c r="JE61" s="4"/>
      <c r="JF61" s="4"/>
      <c r="JG61" s="4"/>
      <c r="JH61" s="4"/>
      <c r="JI61" s="4"/>
      <c r="JJ61" s="4"/>
      <c r="JK61" s="4"/>
      <c r="JL61" s="4"/>
      <c r="JM61" s="4"/>
      <c r="JN61" s="4"/>
      <c r="JO61" s="4"/>
      <c r="JP61" s="4"/>
      <c r="JQ61" s="4"/>
      <c r="JR61" s="4"/>
      <c r="JS61" s="4"/>
      <c r="JT61" s="4"/>
      <c r="JU61" s="4"/>
      <c r="JV61" s="4"/>
      <c r="JW61" s="4"/>
      <c r="JX61" s="4"/>
      <c r="JY61" s="4"/>
      <c r="JZ61" s="4"/>
      <c r="KA61" s="4"/>
      <c r="KB61" s="4"/>
      <c r="KC61" s="4"/>
      <c r="KD61" s="4"/>
      <c r="KE61" s="4"/>
      <c r="KF61" s="4"/>
      <c r="KG61" s="4"/>
      <c r="KH61" s="4"/>
      <c r="KI61" s="4"/>
      <c r="KJ61" s="4"/>
      <c r="KK61" s="4"/>
      <c r="KL61" s="4"/>
      <c r="KM61" s="4"/>
      <c r="KN61" s="4"/>
      <c r="KO61" s="4"/>
      <c r="KP61" s="4"/>
      <c r="KQ61" s="4"/>
      <c r="KR61" s="4"/>
      <c r="KS61" s="4"/>
      <c r="KT61" s="4"/>
      <c r="KU61" s="4"/>
      <c r="KV61" s="4"/>
      <c r="KW61" s="4"/>
      <c r="KX61" s="4"/>
      <c r="KY61" s="4"/>
      <c r="KZ61" s="4"/>
      <c r="LA61" s="4"/>
      <c r="LB61" s="4"/>
      <c r="LC61" s="4"/>
      <c r="LD61" s="4"/>
      <c r="LE61" s="4"/>
      <c r="LF61" s="4"/>
      <c r="LG61" s="4"/>
      <c r="LH61" s="4"/>
      <c r="LI61" s="4"/>
      <c r="LJ61" s="4"/>
      <c r="LK61" s="4"/>
      <c r="LL61" s="4"/>
      <c r="LM61" s="4"/>
      <c r="LN61" s="4"/>
      <c r="LO61" s="4"/>
      <c r="LP61" s="4"/>
      <c r="LQ61" s="4"/>
      <c r="LR61" s="4"/>
      <c r="LS61" s="4"/>
      <c r="LT61" s="4"/>
      <c r="LU61" s="4"/>
      <c r="LV61" s="4"/>
      <c r="LW61" s="4"/>
      <c r="LX61" s="4"/>
      <c r="LY61" s="4"/>
      <c r="LZ61" s="4"/>
      <c r="MA61" s="4"/>
      <c r="MB61" s="4"/>
      <c r="MC61" s="4"/>
      <c r="MD61" s="4"/>
      <c r="ME61" s="4"/>
      <c r="MF61" s="4"/>
      <c r="MG61" s="4"/>
      <c r="MH61" s="4"/>
      <c r="MI61" s="4"/>
      <c r="MJ61" s="4"/>
      <c r="MK61" s="4"/>
      <c r="ML61" s="4"/>
      <c r="MM61" s="4"/>
      <c r="MN61" s="4"/>
      <c r="MO61" s="4"/>
      <c r="MP61" s="4"/>
    </row>
    <row r="62" spans="1:354">
      <c r="A62" s="4"/>
      <c r="B62" s="4"/>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c r="AQ62" s="4"/>
      <c r="AR62" s="4"/>
      <c r="AS62" s="4"/>
      <c r="AT62" s="4"/>
      <c r="AU62" s="4"/>
      <c r="AV62" s="4"/>
      <c r="AW62" s="4"/>
      <c r="AX62" s="4"/>
      <c r="AY62" s="4"/>
      <c r="AZ62" s="4"/>
      <c r="BA62" s="4"/>
      <c r="BB62" s="4"/>
      <c r="BC62" s="4"/>
      <c r="BD62" s="4"/>
      <c r="BE62" s="4"/>
      <c r="BF62" s="4"/>
      <c r="BG62" s="4"/>
      <c r="BH62" s="4"/>
      <c r="BI62" s="4"/>
      <c r="BJ62" s="4"/>
      <c r="BK62" s="4"/>
      <c r="BL62" s="4"/>
      <c r="BM62" s="4"/>
      <c r="BN62" s="4"/>
      <c r="BO62" s="4"/>
      <c r="BP62" s="4"/>
      <c r="BQ62" s="4"/>
      <c r="BR62" s="4"/>
      <c r="BS62" s="4"/>
      <c r="BT62" s="4"/>
      <c r="BU62" s="4"/>
      <c r="BV62" s="4"/>
      <c r="BW62" s="4"/>
      <c r="BX62" s="4"/>
      <c r="BY62" s="4"/>
      <c r="BZ62" s="4"/>
      <c r="CA62" s="4"/>
      <c r="CB62" s="4"/>
      <c r="CC62" s="4"/>
      <c r="CD62" s="4"/>
      <c r="CE62" s="4"/>
      <c r="CF62" s="4"/>
      <c r="CG62" s="4"/>
      <c r="CH62" s="4"/>
      <c r="CI62" s="4"/>
      <c r="CJ62" s="4"/>
      <c r="CK62" s="4"/>
      <c r="CL62" s="4"/>
      <c r="CM62" s="4"/>
      <c r="CN62" s="4"/>
      <c r="CO62" s="4"/>
      <c r="CP62" s="4"/>
      <c r="CQ62" s="4"/>
      <c r="CR62" s="4"/>
      <c r="CS62" s="4"/>
      <c r="CT62" s="4"/>
      <c r="CU62" s="4"/>
      <c r="CV62" s="4"/>
      <c r="CW62" s="4"/>
      <c r="CX62" s="4"/>
      <c r="CY62" s="4"/>
      <c r="CZ62" s="4"/>
      <c r="DA62" s="4"/>
      <c r="DB62" s="4"/>
      <c r="DC62" s="4"/>
      <c r="DD62" s="4"/>
      <c r="DE62" s="4"/>
      <c r="DF62" s="4"/>
      <c r="DG62" s="4"/>
      <c r="DH62" s="4"/>
      <c r="DI62" s="4"/>
      <c r="DJ62" s="4"/>
      <c r="DK62" s="4"/>
      <c r="DL62" s="4"/>
      <c r="DM62" s="4"/>
      <c r="DN62" s="4"/>
      <c r="DO62" s="4"/>
      <c r="DP62" s="4"/>
      <c r="DQ62" s="4"/>
      <c r="DR62" s="4"/>
      <c r="DS62" s="4"/>
      <c r="DT62" s="4"/>
      <c r="DU62" s="4"/>
      <c r="DV62" s="4"/>
      <c r="DW62" s="4"/>
      <c r="DX62" s="4"/>
      <c r="DY62" s="4"/>
      <c r="DZ62" s="4"/>
      <c r="EA62" s="4"/>
      <c r="EB62" s="4"/>
      <c r="EC62" s="4"/>
      <c r="ED62" s="4"/>
      <c r="EE62" s="4"/>
      <c r="EF62" s="4"/>
      <c r="EG62" s="4"/>
      <c r="EH62" s="4"/>
      <c r="EI62" s="4"/>
      <c r="EJ62" s="4"/>
      <c r="EK62" s="4"/>
      <c r="EL62" s="4"/>
      <c r="EM62" s="4"/>
      <c r="EN62" s="4"/>
      <c r="EO62" s="4"/>
      <c r="EP62" s="4"/>
      <c r="EQ62" s="4"/>
      <c r="ER62" s="4"/>
      <c r="ES62" s="4"/>
      <c r="ET62" s="4"/>
      <c r="EU62" s="4"/>
      <c r="EV62" s="4"/>
      <c r="EW62" s="4"/>
      <c r="EX62" s="4"/>
      <c r="EY62" s="4"/>
      <c r="EZ62" s="4"/>
      <c r="FA62" s="4"/>
      <c r="FB62" s="4"/>
      <c r="FC62" s="4"/>
      <c r="FD62" s="4"/>
      <c r="FE62" s="4"/>
      <c r="FF62" s="4"/>
      <c r="FG62" s="4"/>
      <c r="FH62" s="4"/>
      <c r="FI62" s="4"/>
      <c r="FJ62" s="4"/>
      <c r="FK62" s="4"/>
      <c r="FL62" s="4"/>
      <c r="FM62" s="4"/>
      <c r="FN62" s="4"/>
      <c r="FO62" s="4"/>
      <c r="FP62" s="4"/>
      <c r="FQ62" s="4"/>
      <c r="FR62" s="4"/>
      <c r="FS62" s="4"/>
      <c r="FT62" s="4"/>
      <c r="FU62" s="4"/>
      <c r="FV62" s="4"/>
      <c r="FW62" s="4"/>
      <c r="FX62" s="4"/>
      <c r="FY62" s="4"/>
      <c r="FZ62" s="4"/>
      <c r="GA62" s="4"/>
      <c r="GB62" s="4"/>
      <c r="GC62" s="4"/>
      <c r="GD62" s="4"/>
      <c r="GE62" s="4"/>
      <c r="GF62" s="4"/>
      <c r="GG62" s="4"/>
      <c r="GH62" s="4"/>
      <c r="GI62" s="4"/>
      <c r="GJ62" s="4"/>
      <c r="GK62" s="4"/>
      <c r="GL62" s="4"/>
      <c r="GM62" s="4"/>
      <c r="GN62" s="4"/>
      <c r="GO62" s="4"/>
      <c r="GP62" s="4"/>
      <c r="GQ62" s="4"/>
      <c r="GR62" s="4"/>
      <c r="GS62" s="4"/>
      <c r="GT62" s="4"/>
      <c r="GU62" s="4"/>
      <c r="GV62" s="4"/>
      <c r="GW62" s="4"/>
      <c r="GX62" s="4"/>
      <c r="GY62" s="4"/>
      <c r="GZ62" s="4"/>
      <c r="HA62" s="4"/>
      <c r="HB62" s="4"/>
      <c r="HC62" s="4"/>
      <c r="HD62" s="4"/>
      <c r="HE62" s="4"/>
      <c r="HF62" s="4"/>
      <c r="HG62" s="4"/>
      <c r="HH62" s="4"/>
      <c r="HI62" s="4"/>
      <c r="HJ62" s="4"/>
      <c r="HK62" s="4"/>
      <c r="HL62" s="4"/>
      <c r="HM62" s="4"/>
      <c r="HN62" s="4"/>
      <c r="HO62" s="4"/>
      <c r="HP62" s="4"/>
      <c r="HQ62" s="4"/>
      <c r="HR62" s="4"/>
      <c r="HS62" s="4"/>
      <c r="HT62" s="4"/>
      <c r="HU62" s="4"/>
      <c r="HV62" s="4"/>
      <c r="HW62" s="4"/>
      <c r="HX62" s="4"/>
      <c r="HY62" s="4"/>
      <c r="HZ62" s="4"/>
      <c r="IA62" s="4"/>
      <c r="IB62" s="4"/>
      <c r="IC62" s="4"/>
      <c r="ID62" s="4"/>
      <c r="IE62" s="4"/>
      <c r="IF62" s="4"/>
      <c r="IG62" s="4"/>
      <c r="IH62" s="4"/>
      <c r="II62" s="4"/>
      <c r="IJ62" s="4"/>
      <c r="IK62" s="4"/>
      <c r="IL62" s="4"/>
      <c r="IM62" s="4"/>
      <c r="IN62" s="4"/>
      <c r="IO62" s="4"/>
      <c r="IP62" s="4"/>
      <c r="IQ62" s="4"/>
      <c r="IR62" s="4"/>
      <c r="IS62" s="4"/>
      <c r="IT62" s="4"/>
      <c r="IU62" s="4"/>
      <c r="IV62" s="4"/>
      <c r="IW62" s="4"/>
      <c r="IX62" s="4"/>
      <c r="IY62" s="4"/>
      <c r="IZ62" s="4"/>
      <c r="JA62" s="4"/>
      <c r="JB62" s="4"/>
      <c r="JC62" s="4"/>
      <c r="JD62" s="4"/>
      <c r="JE62" s="4"/>
      <c r="JF62" s="4"/>
      <c r="JG62" s="4"/>
      <c r="JH62" s="4"/>
      <c r="JI62" s="4"/>
      <c r="JJ62" s="4"/>
      <c r="JK62" s="4"/>
      <c r="JL62" s="4"/>
      <c r="JM62" s="4"/>
      <c r="JN62" s="4"/>
      <c r="JO62" s="4"/>
      <c r="JP62" s="4"/>
      <c r="JQ62" s="4"/>
      <c r="JR62" s="4"/>
      <c r="JS62" s="4"/>
      <c r="JT62" s="4"/>
      <c r="JU62" s="4"/>
      <c r="JV62" s="4"/>
      <c r="JW62" s="4"/>
      <c r="JX62" s="4"/>
      <c r="JY62" s="4"/>
      <c r="JZ62" s="4"/>
      <c r="KA62" s="4"/>
      <c r="KB62" s="4"/>
      <c r="KC62" s="4"/>
      <c r="KD62" s="4"/>
      <c r="KE62" s="4"/>
      <c r="KF62" s="4"/>
      <c r="KG62" s="4"/>
      <c r="KH62" s="4"/>
      <c r="KI62" s="4"/>
      <c r="KJ62" s="4"/>
      <c r="KK62" s="4"/>
      <c r="KL62" s="4"/>
      <c r="KM62" s="4"/>
      <c r="KN62" s="4"/>
      <c r="KO62" s="4"/>
      <c r="KP62" s="4"/>
      <c r="KQ62" s="4"/>
      <c r="KR62" s="4"/>
      <c r="KS62" s="4"/>
      <c r="KT62" s="4"/>
      <c r="KU62" s="4"/>
      <c r="KV62" s="4"/>
      <c r="KW62" s="4"/>
      <c r="KX62" s="4"/>
      <c r="KY62" s="4"/>
      <c r="KZ62" s="4"/>
      <c r="LA62" s="4"/>
      <c r="LB62" s="4"/>
      <c r="LC62" s="4"/>
      <c r="LD62" s="4"/>
      <c r="LE62" s="4"/>
      <c r="LF62" s="4"/>
      <c r="LG62" s="4"/>
      <c r="LH62" s="4"/>
      <c r="LI62" s="4"/>
      <c r="LJ62" s="4"/>
      <c r="LK62" s="4"/>
      <c r="LL62" s="4"/>
      <c r="LM62" s="4"/>
      <c r="LN62" s="4"/>
      <c r="LO62" s="4"/>
      <c r="LP62" s="4"/>
      <c r="LQ62" s="4"/>
      <c r="LR62" s="4"/>
      <c r="LS62" s="4"/>
      <c r="LT62" s="4"/>
      <c r="LU62" s="4"/>
      <c r="LV62" s="4"/>
      <c r="LW62" s="4"/>
      <c r="LX62" s="4"/>
      <c r="LY62" s="4"/>
      <c r="LZ62" s="4"/>
      <c r="MA62" s="4"/>
      <c r="MB62" s="4"/>
      <c r="MC62" s="4"/>
      <c r="MD62" s="4"/>
      <c r="ME62" s="4"/>
      <c r="MF62" s="4"/>
      <c r="MG62" s="4"/>
      <c r="MH62" s="4"/>
      <c r="MI62" s="4"/>
      <c r="MJ62" s="4"/>
      <c r="MK62" s="4"/>
      <c r="ML62" s="4"/>
      <c r="MM62" s="4"/>
      <c r="MN62" s="4"/>
      <c r="MO62" s="4"/>
      <c r="MP62" s="4"/>
    </row>
    <row r="63" spans="1:354">
      <c r="A63" s="4"/>
      <c r="B63" s="4"/>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c r="AQ63" s="4"/>
      <c r="AR63" s="4"/>
      <c r="AS63" s="4"/>
      <c r="AT63" s="4"/>
      <c r="AU63" s="4"/>
      <c r="AV63" s="4"/>
      <c r="AW63" s="4"/>
      <c r="AX63" s="4"/>
      <c r="AY63" s="4"/>
      <c r="AZ63" s="4"/>
      <c r="BA63" s="4"/>
      <c r="BB63" s="4"/>
      <c r="BC63" s="4"/>
      <c r="BD63" s="4"/>
      <c r="BE63" s="4"/>
      <c r="BF63" s="4"/>
      <c r="BG63" s="4"/>
      <c r="BH63" s="4"/>
      <c r="BI63" s="4"/>
      <c r="BJ63" s="4"/>
      <c r="BK63" s="4"/>
      <c r="BL63" s="4"/>
      <c r="BM63" s="4"/>
      <c r="BN63" s="4"/>
      <c r="BO63" s="4"/>
      <c r="BP63" s="4"/>
      <c r="BQ63" s="4"/>
      <c r="BR63" s="4"/>
      <c r="BS63" s="4"/>
      <c r="BT63" s="4"/>
      <c r="BU63" s="4"/>
      <c r="BV63" s="4"/>
      <c r="BW63" s="4"/>
      <c r="BX63" s="4"/>
      <c r="BY63" s="4"/>
      <c r="BZ63" s="4"/>
      <c r="CA63" s="4"/>
      <c r="CB63" s="4"/>
      <c r="CC63" s="4"/>
      <c r="CD63" s="4"/>
      <c r="CE63" s="4"/>
      <c r="CF63" s="4"/>
      <c r="CG63" s="4"/>
      <c r="CH63" s="4"/>
      <c r="CI63" s="4"/>
      <c r="CJ63" s="4"/>
      <c r="CK63" s="4"/>
      <c r="CL63" s="4"/>
      <c r="CM63" s="4"/>
      <c r="CN63" s="4"/>
      <c r="CO63" s="4"/>
      <c r="CP63" s="4"/>
      <c r="CQ63" s="4"/>
      <c r="CR63" s="4"/>
      <c r="CS63" s="4"/>
      <c r="CT63" s="4"/>
      <c r="CU63" s="4"/>
      <c r="CV63" s="4"/>
      <c r="CW63" s="4"/>
      <c r="CX63" s="4"/>
      <c r="CY63" s="4"/>
      <c r="CZ63" s="4"/>
      <c r="DA63" s="4"/>
      <c r="DB63" s="4"/>
      <c r="DC63" s="4"/>
      <c r="DD63" s="4"/>
      <c r="DE63" s="4"/>
      <c r="DF63" s="4"/>
      <c r="DG63" s="4"/>
      <c r="DH63" s="4"/>
      <c r="DI63" s="4"/>
      <c r="DJ63" s="4"/>
      <c r="DK63" s="4"/>
      <c r="DL63" s="4"/>
      <c r="DM63" s="4"/>
      <c r="DN63" s="4"/>
      <c r="DO63" s="4"/>
      <c r="DP63" s="4"/>
      <c r="DQ63" s="4"/>
      <c r="DR63" s="4"/>
      <c r="DS63" s="4"/>
      <c r="DT63" s="4"/>
      <c r="DU63" s="4"/>
      <c r="DV63" s="4"/>
      <c r="DW63" s="4"/>
      <c r="DX63" s="4"/>
      <c r="DY63" s="4"/>
      <c r="DZ63" s="4"/>
      <c r="EA63" s="4"/>
      <c r="EB63" s="4"/>
      <c r="EC63" s="4"/>
      <c r="ED63" s="4"/>
      <c r="EE63" s="4"/>
      <c r="EF63" s="4"/>
      <c r="EG63" s="4"/>
      <c r="EH63" s="4"/>
      <c r="EI63" s="4"/>
      <c r="EJ63" s="4"/>
      <c r="EK63" s="4"/>
      <c r="EL63" s="4"/>
      <c r="EM63" s="4"/>
      <c r="EN63" s="4"/>
      <c r="EO63" s="4"/>
      <c r="EP63" s="4"/>
      <c r="EQ63" s="4"/>
      <c r="ER63" s="4"/>
      <c r="ES63" s="4"/>
      <c r="ET63" s="4"/>
      <c r="EU63" s="4"/>
      <c r="EV63" s="4"/>
      <c r="EW63" s="4"/>
      <c r="EX63" s="4"/>
      <c r="EY63" s="4"/>
      <c r="EZ63" s="4"/>
      <c r="FA63" s="4"/>
      <c r="FB63" s="4"/>
      <c r="FC63" s="4"/>
      <c r="FD63" s="4"/>
      <c r="FE63" s="4"/>
      <c r="FF63" s="4"/>
      <c r="FG63" s="4"/>
      <c r="FH63" s="4"/>
      <c r="FI63" s="4"/>
      <c r="FJ63" s="4"/>
      <c r="FK63" s="4"/>
      <c r="FL63" s="4"/>
      <c r="FM63" s="4"/>
      <c r="FN63" s="4"/>
      <c r="FO63" s="4"/>
      <c r="FP63" s="4"/>
      <c r="FQ63" s="4"/>
      <c r="FR63" s="4"/>
      <c r="FS63" s="4"/>
      <c r="FT63" s="4"/>
      <c r="FU63" s="4"/>
      <c r="FV63" s="4"/>
      <c r="FW63" s="4"/>
      <c r="FX63" s="4"/>
      <c r="FY63" s="4"/>
      <c r="FZ63" s="4"/>
      <c r="GA63" s="4"/>
      <c r="GB63" s="4"/>
      <c r="GC63" s="4"/>
      <c r="GD63" s="4"/>
      <c r="GE63" s="4"/>
      <c r="GF63" s="4"/>
      <c r="GG63" s="4"/>
      <c r="GH63" s="4"/>
      <c r="GI63" s="4"/>
      <c r="GJ63" s="4"/>
      <c r="GK63" s="4"/>
      <c r="GL63" s="4"/>
      <c r="GM63" s="4"/>
      <c r="GN63" s="4"/>
      <c r="GO63" s="4"/>
      <c r="GP63" s="4"/>
      <c r="GQ63" s="4"/>
      <c r="GR63" s="4"/>
      <c r="GS63" s="4"/>
      <c r="GT63" s="4"/>
      <c r="GU63" s="4"/>
      <c r="GV63" s="4"/>
      <c r="GW63" s="4"/>
      <c r="GX63" s="4"/>
      <c r="GY63" s="4"/>
      <c r="GZ63" s="4"/>
      <c r="HA63" s="4"/>
      <c r="HB63" s="4"/>
      <c r="HC63" s="4"/>
      <c r="HD63" s="4"/>
      <c r="HE63" s="4"/>
      <c r="HF63" s="4"/>
      <c r="HG63" s="4"/>
      <c r="HH63" s="4"/>
      <c r="HI63" s="4"/>
      <c r="HJ63" s="4"/>
      <c r="HK63" s="4"/>
      <c r="HL63" s="4"/>
      <c r="HM63" s="4"/>
      <c r="HN63" s="4"/>
      <c r="HO63" s="4"/>
      <c r="HP63" s="4"/>
      <c r="HQ63" s="4"/>
      <c r="HR63" s="4"/>
      <c r="HS63" s="4"/>
      <c r="HT63" s="4"/>
      <c r="HU63" s="4"/>
      <c r="HV63" s="4"/>
      <c r="HW63" s="4"/>
      <c r="HX63" s="4"/>
      <c r="HY63" s="4"/>
      <c r="HZ63" s="4"/>
      <c r="IA63" s="4"/>
      <c r="IB63" s="4"/>
      <c r="IC63" s="4"/>
      <c r="ID63" s="4"/>
      <c r="IE63" s="4"/>
      <c r="IF63" s="4"/>
      <c r="IG63" s="4"/>
      <c r="IH63" s="4"/>
      <c r="II63" s="4"/>
      <c r="IJ63" s="4"/>
      <c r="IK63" s="4"/>
      <c r="IL63" s="4"/>
      <c r="IM63" s="4"/>
      <c r="IN63" s="4"/>
      <c r="IO63" s="4"/>
      <c r="IP63" s="4"/>
      <c r="IQ63" s="4"/>
      <c r="IR63" s="4"/>
      <c r="IS63" s="4"/>
      <c r="IT63" s="4"/>
      <c r="IU63" s="4"/>
      <c r="IV63" s="4"/>
      <c r="IW63" s="4"/>
      <c r="IX63" s="4"/>
      <c r="IY63" s="4"/>
      <c r="IZ63" s="4"/>
      <c r="JA63" s="4"/>
      <c r="JB63" s="4"/>
      <c r="JC63" s="4"/>
      <c r="JD63" s="4"/>
      <c r="JE63" s="4"/>
      <c r="JF63" s="4"/>
      <c r="JG63" s="4"/>
      <c r="JH63" s="4"/>
      <c r="JI63" s="4"/>
      <c r="JJ63" s="4"/>
      <c r="JK63" s="4"/>
      <c r="JL63" s="4"/>
      <c r="JM63" s="4"/>
      <c r="JN63" s="4"/>
      <c r="JO63" s="4"/>
      <c r="JP63" s="4"/>
      <c r="JQ63" s="4"/>
      <c r="JR63" s="4"/>
      <c r="JS63" s="4"/>
      <c r="JT63" s="4"/>
      <c r="JU63" s="4"/>
      <c r="JV63" s="4"/>
      <c r="JW63" s="4"/>
      <c r="JX63" s="4"/>
      <c r="JY63" s="4"/>
      <c r="JZ63" s="4"/>
      <c r="KA63" s="4"/>
      <c r="KB63" s="4"/>
      <c r="KC63" s="4"/>
      <c r="KD63" s="4"/>
      <c r="KE63" s="4"/>
      <c r="KF63" s="4"/>
      <c r="KG63" s="4"/>
      <c r="KH63" s="4"/>
      <c r="KI63" s="4"/>
      <c r="KJ63" s="4"/>
      <c r="KK63" s="4"/>
      <c r="KL63" s="4"/>
      <c r="KM63" s="4"/>
      <c r="KN63" s="4"/>
      <c r="KO63" s="4"/>
      <c r="KP63" s="4"/>
      <c r="KQ63" s="4"/>
      <c r="KR63" s="4"/>
      <c r="KS63" s="4"/>
      <c r="KT63" s="4"/>
      <c r="KU63" s="4"/>
      <c r="KV63" s="4"/>
      <c r="KW63" s="4"/>
      <c r="KX63" s="4"/>
      <c r="KY63" s="4"/>
      <c r="KZ63" s="4"/>
      <c r="LA63" s="4"/>
      <c r="LB63" s="4"/>
      <c r="LC63" s="4"/>
      <c r="LD63" s="4"/>
      <c r="LE63" s="4"/>
      <c r="LF63" s="4"/>
      <c r="LG63" s="4"/>
      <c r="LH63" s="4"/>
      <c r="LI63" s="4"/>
      <c r="LJ63" s="4"/>
      <c r="LK63" s="4"/>
      <c r="LL63" s="4"/>
      <c r="LM63" s="4"/>
      <c r="LN63" s="4"/>
      <c r="LO63" s="4"/>
      <c r="LP63" s="4"/>
      <c r="LQ63" s="4"/>
      <c r="LR63" s="4"/>
      <c r="LS63" s="4"/>
      <c r="LT63" s="4"/>
      <c r="LU63" s="4"/>
      <c r="LV63" s="4"/>
      <c r="LW63" s="4"/>
      <c r="LX63" s="4"/>
      <c r="LY63" s="4"/>
      <c r="LZ63" s="4"/>
      <c r="MA63" s="4"/>
      <c r="MB63" s="4"/>
      <c r="MC63" s="4"/>
      <c r="MD63" s="4"/>
      <c r="ME63" s="4"/>
      <c r="MF63" s="4"/>
      <c r="MG63" s="4"/>
      <c r="MH63" s="4"/>
      <c r="MI63" s="4"/>
      <c r="MJ63" s="4"/>
      <c r="MK63" s="4"/>
      <c r="ML63" s="4"/>
      <c r="MM63" s="4"/>
      <c r="MN63" s="4"/>
      <c r="MO63" s="4"/>
      <c r="MP63" s="4"/>
    </row>
    <row r="64" spans="1:354">
      <c r="A64" s="4"/>
      <c r="B64" s="4"/>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c r="AQ64" s="4"/>
      <c r="AR64" s="4"/>
      <c r="AS64" s="4"/>
      <c r="AT64" s="4"/>
      <c r="AU64" s="4"/>
      <c r="AV64" s="4"/>
      <c r="AW64" s="4"/>
      <c r="AX64" s="4"/>
      <c r="AY64" s="4"/>
      <c r="AZ64" s="4"/>
      <c r="BA64" s="4"/>
      <c r="BB64" s="4"/>
      <c r="BC64" s="4"/>
      <c r="BD64" s="4"/>
      <c r="BE64" s="4"/>
      <c r="BF64" s="4"/>
      <c r="BG64" s="4"/>
      <c r="BH64" s="4"/>
      <c r="BI64" s="4"/>
      <c r="BJ64" s="4"/>
      <c r="BK64" s="4"/>
      <c r="BL64" s="4"/>
      <c r="BM64" s="4"/>
      <c r="BN64" s="4"/>
      <c r="BO64" s="4"/>
      <c r="BP64" s="4"/>
      <c r="BQ64" s="4"/>
      <c r="BR64" s="4"/>
      <c r="BS64" s="4"/>
      <c r="BT64" s="4"/>
      <c r="BU64" s="4"/>
      <c r="BV64" s="4"/>
      <c r="BW64" s="4"/>
      <c r="BX64" s="4"/>
      <c r="BY64" s="4"/>
      <c r="BZ64" s="4"/>
      <c r="CA64" s="4"/>
      <c r="CB64" s="4"/>
      <c r="CC64" s="4"/>
      <c r="CD64" s="4"/>
      <c r="CE64" s="4"/>
      <c r="CF64" s="4"/>
      <c r="CG64" s="4"/>
      <c r="CH64" s="4"/>
      <c r="CI64" s="4"/>
      <c r="CJ64" s="4"/>
      <c r="CK64" s="4"/>
      <c r="CL64" s="4"/>
      <c r="CM64" s="4"/>
      <c r="CN64" s="4"/>
      <c r="CO64" s="4"/>
      <c r="CP64" s="4"/>
      <c r="CQ64" s="4"/>
      <c r="CR64" s="4"/>
      <c r="CS64" s="4"/>
      <c r="CT64" s="4"/>
      <c r="CU64" s="4"/>
      <c r="CV64" s="4"/>
      <c r="CW64" s="4"/>
      <c r="CX64" s="4"/>
      <c r="CY64" s="4"/>
      <c r="CZ64" s="4"/>
      <c r="DA64" s="4"/>
      <c r="DB64" s="4"/>
      <c r="DC64" s="4"/>
      <c r="DD64" s="4"/>
      <c r="DE64" s="4"/>
      <c r="DF64" s="4"/>
      <c r="DG64" s="4"/>
      <c r="DH64" s="4"/>
      <c r="DI64" s="4"/>
      <c r="DJ64" s="4"/>
      <c r="DK64" s="4"/>
      <c r="DL64" s="4"/>
      <c r="DM64" s="4"/>
      <c r="DN64" s="4"/>
      <c r="DO64" s="4"/>
      <c r="DP64" s="4"/>
      <c r="DQ64" s="4"/>
      <c r="DR64" s="4"/>
      <c r="DS64" s="4"/>
      <c r="DT64" s="4"/>
      <c r="DU64" s="4"/>
      <c r="DV64" s="4"/>
      <c r="DW64" s="4"/>
      <c r="DX64" s="4"/>
      <c r="DY64" s="4"/>
      <c r="DZ64" s="4"/>
      <c r="EA64" s="4"/>
      <c r="EB64" s="4"/>
      <c r="EC64" s="4"/>
      <c r="ED64" s="4"/>
      <c r="EE64" s="4"/>
      <c r="EF64" s="4"/>
      <c r="EG64" s="4"/>
      <c r="EH64" s="4"/>
      <c r="EI64" s="4"/>
      <c r="EJ64" s="4"/>
      <c r="EK64" s="4"/>
      <c r="EL64" s="4"/>
      <c r="EM64" s="4"/>
      <c r="EN64" s="4"/>
      <c r="EO64" s="4"/>
      <c r="EP64" s="4"/>
      <c r="EQ64" s="4"/>
      <c r="ER64" s="4"/>
      <c r="ES64" s="4"/>
      <c r="ET64" s="4"/>
      <c r="EU64" s="4"/>
      <c r="EV64" s="4"/>
      <c r="EW64" s="4"/>
      <c r="EX64" s="4"/>
      <c r="EY64" s="4"/>
      <c r="EZ64" s="4"/>
      <c r="FA64" s="4"/>
      <c r="FB64" s="4"/>
      <c r="FC64" s="4"/>
      <c r="FD64" s="4"/>
      <c r="FE64" s="4"/>
      <c r="FF64" s="4"/>
      <c r="FG64" s="4"/>
      <c r="FH64" s="4"/>
      <c r="FI64" s="4"/>
      <c r="FJ64" s="4"/>
      <c r="FK64" s="4"/>
      <c r="FL64" s="4"/>
      <c r="FM64" s="4"/>
      <c r="FN64" s="4"/>
      <c r="FO64" s="4"/>
      <c r="FP64" s="4"/>
      <c r="FQ64" s="4"/>
      <c r="FR64" s="4"/>
      <c r="FS64" s="4"/>
      <c r="FT64" s="4"/>
      <c r="FU64" s="4"/>
      <c r="FV64" s="4"/>
      <c r="FW64" s="4"/>
      <c r="FX64" s="4"/>
      <c r="FY64" s="4"/>
      <c r="FZ64" s="4"/>
      <c r="GA64" s="4"/>
      <c r="GB64" s="4"/>
      <c r="GC64" s="4"/>
      <c r="GD64" s="4"/>
      <c r="GE64" s="4"/>
      <c r="GF64" s="4"/>
      <c r="GG64" s="4"/>
      <c r="GH64" s="4"/>
      <c r="GI64" s="4"/>
      <c r="GJ64" s="4"/>
      <c r="GK64" s="4"/>
      <c r="GL64" s="4"/>
      <c r="GM64" s="4"/>
      <c r="GN64" s="4"/>
      <c r="GO64" s="4"/>
      <c r="GP64" s="4"/>
      <c r="GQ64" s="4"/>
      <c r="GR64" s="4"/>
      <c r="GS64" s="4"/>
      <c r="GT64" s="4"/>
      <c r="GU64" s="4"/>
      <c r="GV64" s="4"/>
      <c r="GW64" s="4"/>
      <c r="GX64" s="4"/>
      <c r="GY64" s="4"/>
      <c r="GZ64" s="4"/>
      <c r="HA64" s="4"/>
      <c r="HB64" s="4"/>
      <c r="HC64" s="4"/>
      <c r="HD64" s="4"/>
      <c r="HE64" s="4"/>
      <c r="HF64" s="4"/>
      <c r="HG64" s="4"/>
      <c r="HH64" s="4"/>
      <c r="HI64" s="4"/>
      <c r="HJ64" s="4"/>
      <c r="HK64" s="4"/>
      <c r="HL64" s="4"/>
      <c r="HM64" s="4"/>
      <c r="HN64" s="4"/>
      <c r="HO64" s="4"/>
      <c r="HP64" s="4"/>
      <c r="HQ64" s="4"/>
      <c r="HR64" s="4"/>
      <c r="HS64" s="4"/>
      <c r="HT64" s="4"/>
      <c r="HU64" s="4"/>
      <c r="HV64" s="4"/>
      <c r="HW64" s="4"/>
      <c r="HX64" s="4"/>
      <c r="HY64" s="4"/>
      <c r="HZ64" s="4"/>
      <c r="IA64" s="4"/>
      <c r="IB64" s="4"/>
      <c r="IC64" s="4"/>
      <c r="ID64" s="4"/>
      <c r="IE64" s="4"/>
      <c r="IF64" s="4"/>
      <c r="IG64" s="4"/>
      <c r="IH64" s="4"/>
      <c r="II64" s="4"/>
      <c r="IJ64" s="4"/>
      <c r="IK64" s="4"/>
      <c r="IL64" s="4"/>
      <c r="IM64" s="4"/>
      <c r="IN64" s="4"/>
      <c r="IO64" s="4"/>
      <c r="IP64" s="4"/>
      <c r="IQ64" s="4"/>
      <c r="IR64" s="4"/>
      <c r="IS64" s="4"/>
      <c r="IT64" s="4"/>
      <c r="IU64" s="4"/>
      <c r="IV64" s="4"/>
      <c r="IW64" s="4"/>
      <c r="IX64" s="4"/>
      <c r="IY64" s="4"/>
      <c r="IZ64" s="4"/>
      <c r="JA64" s="4"/>
      <c r="JB64" s="4"/>
      <c r="JC64" s="4"/>
      <c r="JD64" s="4"/>
      <c r="JE64" s="4"/>
      <c r="JF64" s="4"/>
      <c r="JG64" s="4"/>
      <c r="JH64" s="4"/>
      <c r="JI64" s="4"/>
      <c r="JJ64" s="4"/>
      <c r="JK64" s="4"/>
      <c r="JL64" s="4"/>
      <c r="JM64" s="4"/>
      <c r="JN64" s="4"/>
      <c r="JO64" s="4"/>
      <c r="JP64" s="4"/>
      <c r="JQ64" s="4"/>
      <c r="JR64" s="4"/>
      <c r="JS64" s="4"/>
      <c r="JT64" s="4"/>
      <c r="JU64" s="4"/>
      <c r="JV64" s="4"/>
      <c r="JW64" s="4"/>
      <c r="JX64" s="4"/>
      <c r="JY64" s="4"/>
      <c r="JZ64" s="4"/>
      <c r="KA64" s="4"/>
      <c r="KB64" s="4"/>
      <c r="KC64" s="4"/>
      <c r="KD64" s="4"/>
      <c r="KE64" s="4"/>
      <c r="KF64" s="4"/>
      <c r="KG64" s="4"/>
      <c r="KH64" s="4"/>
      <c r="KI64" s="4"/>
      <c r="KJ64" s="4"/>
      <c r="KK64" s="4"/>
      <c r="KL64" s="4"/>
      <c r="KM64" s="4"/>
      <c r="KN64" s="4"/>
      <c r="KO64" s="4"/>
      <c r="KP64" s="4"/>
      <c r="KQ64" s="4"/>
      <c r="KR64" s="4"/>
      <c r="KS64" s="4"/>
      <c r="KT64" s="4"/>
      <c r="KU64" s="4"/>
      <c r="KV64" s="4"/>
      <c r="KW64" s="4"/>
      <c r="KX64" s="4"/>
      <c r="KY64" s="4"/>
      <c r="KZ64" s="4"/>
      <c r="LA64" s="4"/>
      <c r="LB64" s="4"/>
      <c r="LC64" s="4"/>
      <c r="LD64" s="4"/>
      <c r="LE64" s="4"/>
      <c r="LF64" s="4"/>
      <c r="LG64" s="4"/>
      <c r="LH64" s="4"/>
      <c r="LI64" s="4"/>
      <c r="LJ64" s="4"/>
      <c r="LK64" s="4"/>
      <c r="LL64" s="4"/>
      <c r="LM64" s="4"/>
      <c r="LN64" s="4"/>
      <c r="LO64" s="4"/>
      <c r="LP64" s="4"/>
      <c r="LQ64" s="4"/>
      <c r="LR64" s="4"/>
      <c r="LS64" s="4"/>
      <c r="LT64" s="4"/>
      <c r="LU64" s="4"/>
      <c r="LV64" s="4"/>
      <c r="LW64" s="4"/>
      <c r="LX64" s="4"/>
      <c r="LY64" s="4"/>
      <c r="LZ64" s="4"/>
      <c r="MA64" s="4"/>
      <c r="MB64" s="4"/>
      <c r="MC64" s="4"/>
      <c r="MD64" s="4"/>
      <c r="ME64" s="4"/>
      <c r="MF64" s="4"/>
      <c r="MG64" s="4"/>
      <c r="MH64" s="4"/>
      <c r="MI64" s="4"/>
      <c r="MJ64" s="4"/>
      <c r="MK64" s="4"/>
      <c r="ML64" s="4"/>
      <c r="MM64" s="4"/>
      <c r="MN64" s="4"/>
      <c r="MO64" s="4"/>
      <c r="MP64" s="4"/>
    </row>
    <row r="65" spans="1:354">
      <c r="A65" s="4"/>
      <c r="B65" s="4"/>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c r="AQ65" s="4"/>
      <c r="AR65" s="4"/>
      <c r="AS65" s="4"/>
      <c r="AT65" s="4"/>
      <c r="AU65" s="4"/>
      <c r="AV65" s="4"/>
      <c r="AW65" s="4"/>
      <c r="AX65" s="4"/>
      <c r="AY65" s="4"/>
      <c r="AZ65" s="4"/>
      <c r="BA65" s="4"/>
      <c r="BB65" s="4"/>
      <c r="BC65" s="4"/>
      <c r="BD65" s="4"/>
      <c r="BE65" s="4"/>
      <c r="BF65" s="4"/>
      <c r="BG65" s="4"/>
      <c r="BH65" s="4"/>
      <c r="BI65" s="4"/>
      <c r="BJ65" s="4"/>
      <c r="BK65" s="4"/>
      <c r="BL65" s="4"/>
      <c r="BM65" s="4"/>
      <c r="BN65" s="4"/>
      <c r="BO65" s="4"/>
      <c r="BP65" s="4"/>
      <c r="BQ65" s="4"/>
      <c r="BR65" s="4"/>
      <c r="BS65" s="4"/>
      <c r="BT65" s="4"/>
      <c r="BU65" s="4"/>
      <c r="BV65" s="4"/>
      <c r="BW65" s="4"/>
      <c r="BX65" s="4"/>
      <c r="BY65" s="4"/>
      <c r="BZ65" s="4"/>
      <c r="CA65" s="4"/>
      <c r="CB65" s="4"/>
      <c r="CC65" s="4"/>
      <c r="CD65" s="4"/>
      <c r="CE65" s="4"/>
      <c r="CF65" s="4"/>
      <c r="CG65" s="4"/>
      <c r="CH65" s="4"/>
      <c r="CI65" s="4"/>
      <c r="CJ65" s="4"/>
      <c r="CK65" s="4"/>
      <c r="CL65" s="4"/>
      <c r="CM65" s="4"/>
      <c r="CN65" s="4"/>
      <c r="CO65" s="4"/>
      <c r="CP65" s="4"/>
      <c r="CQ65" s="4"/>
      <c r="CR65" s="4"/>
      <c r="CS65" s="4"/>
      <c r="CT65" s="4"/>
      <c r="CU65" s="4"/>
      <c r="CV65" s="4"/>
      <c r="CW65" s="4"/>
      <c r="CX65" s="4"/>
      <c r="CY65" s="4"/>
      <c r="CZ65" s="4"/>
      <c r="DA65" s="4"/>
      <c r="DB65" s="4"/>
      <c r="DC65" s="4"/>
      <c r="DD65" s="4"/>
      <c r="DE65" s="4"/>
      <c r="DF65" s="4"/>
      <c r="DG65" s="4"/>
      <c r="DH65" s="4"/>
      <c r="DI65" s="4"/>
      <c r="DJ65" s="4"/>
      <c r="DK65" s="4"/>
      <c r="DL65" s="4"/>
      <c r="DM65" s="4"/>
      <c r="DN65" s="4"/>
      <c r="DO65" s="4"/>
      <c r="DP65" s="4"/>
      <c r="DQ65" s="4"/>
      <c r="DR65" s="4"/>
      <c r="DS65" s="4"/>
      <c r="DT65" s="4"/>
      <c r="DU65" s="4"/>
      <c r="DV65" s="4"/>
      <c r="DW65" s="4"/>
      <c r="DX65" s="4"/>
      <c r="DY65" s="4"/>
      <c r="DZ65" s="4"/>
      <c r="EA65" s="4"/>
      <c r="EB65" s="4"/>
      <c r="EC65" s="4"/>
      <c r="ED65" s="4"/>
      <c r="EE65" s="4"/>
      <c r="EF65" s="4"/>
      <c r="EG65" s="4"/>
      <c r="EH65" s="4"/>
      <c r="EI65" s="4"/>
      <c r="EJ65" s="4"/>
      <c r="EK65" s="4"/>
      <c r="EL65" s="4"/>
      <c r="EM65" s="4"/>
      <c r="EN65" s="4"/>
      <c r="EO65" s="4"/>
      <c r="EP65" s="4"/>
      <c r="EQ65" s="4"/>
      <c r="ER65" s="4"/>
      <c r="ES65" s="4"/>
      <c r="ET65" s="4"/>
      <c r="EU65" s="4"/>
      <c r="EV65" s="4"/>
      <c r="EW65" s="4"/>
      <c r="EX65" s="4"/>
      <c r="EY65" s="4"/>
      <c r="EZ65" s="4"/>
      <c r="FA65" s="4"/>
      <c r="FB65" s="4"/>
      <c r="FC65" s="4"/>
      <c r="FD65" s="4"/>
      <c r="FE65" s="4"/>
      <c r="FF65" s="4"/>
      <c r="FG65" s="4"/>
      <c r="FH65" s="4"/>
      <c r="FI65" s="4"/>
      <c r="FJ65" s="4"/>
      <c r="FK65" s="4"/>
      <c r="FL65" s="4"/>
      <c r="FM65" s="4"/>
      <c r="FN65" s="4"/>
      <c r="FO65" s="4"/>
      <c r="FP65" s="4"/>
      <c r="FQ65" s="4"/>
      <c r="FR65" s="4"/>
      <c r="FS65" s="4"/>
      <c r="FT65" s="4"/>
      <c r="FU65" s="4"/>
      <c r="FV65" s="4"/>
      <c r="FW65" s="4"/>
      <c r="FX65" s="4"/>
      <c r="FY65" s="4"/>
      <c r="FZ65" s="4"/>
      <c r="GA65" s="4"/>
      <c r="GB65" s="4"/>
      <c r="GC65" s="4"/>
      <c r="GD65" s="4"/>
      <c r="GE65" s="4"/>
      <c r="GF65" s="4"/>
      <c r="GG65" s="4"/>
      <c r="GH65" s="4"/>
      <c r="GI65" s="4"/>
      <c r="GJ65" s="4"/>
      <c r="GK65" s="4"/>
      <c r="GL65" s="4"/>
      <c r="GM65" s="4"/>
      <c r="GN65" s="4"/>
      <c r="GO65" s="4"/>
      <c r="GP65" s="4"/>
      <c r="GQ65" s="4"/>
      <c r="GR65" s="4"/>
      <c r="GS65" s="4"/>
      <c r="GT65" s="4"/>
      <c r="GU65" s="4"/>
      <c r="GV65" s="4"/>
      <c r="GW65" s="4"/>
      <c r="GX65" s="4"/>
      <c r="GY65" s="4"/>
      <c r="GZ65" s="4"/>
      <c r="HA65" s="4"/>
      <c r="HB65" s="4"/>
      <c r="HC65" s="4"/>
      <c r="HD65" s="4"/>
      <c r="HE65" s="4"/>
      <c r="HF65" s="4"/>
      <c r="HG65" s="4"/>
      <c r="HH65" s="4"/>
      <c r="HI65" s="4"/>
      <c r="HJ65" s="4"/>
      <c r="HK65" s="4"/>
      <c r="HL65" s="4"/>
      <c r="HM65" s="4"/>
      <c r="HN65" s="4"/>
      <c r="HO65" s="4"/>
      <c r="HP65" s="4"/>
      <c r="HQ65" s="4"/>
      <c r="HR65" s="4"/>
      <c r="HS65" s="4"/>
      <c r="HT65" s="4"/>
      <c r="HU65" s="4"/>
      <c r="HV65" s="4"/>
      <c r="HW65" s="4"/>
      <c r="HX65" s="4"/>
      <c r="HY65" s="4"/>
      <c r="HZ65" s="4"/>
      <c r="IA65" s="4"/>
      <c r="IB65" s="4"/>
      <c r="IC65" s="4"/>
      <c r="ID65" s="4"/>
      <c r="IE65" s="4"/>
      <c r="IF65" s="4"/>
      <c r="IG65" s="4"/>
      <c r="IH65" s="4"/>
      <c r="II65" s="4"/>
      <c r="IJ65" s="4"/>
      <c r="IK65" s="4"/>
      <c r="IL65" s="4"/>
      <c r="IM65" s="4"/>
      <c r="IN65" s="4"/>
      <c r="IO65" s="4"/>
      <c r="IP65" s="4"/>
      <c r="IQ65" s="4"/>
      <c r="IR65" s="4"/>
      <c r="IS65" s="4"/>
      <c r="IT65" s="4"/>
      <c r="IU65" s="4"/>
      <c r="IV65" s="4"/>
      <c r="IW65" s="4"/>
      <c r="IX65" s="4"/>
      <c r="IY65" s="4"/>
      <c r="IZ65" s="4"/>
      <c r="JA65" s="4"/>
      <c r="JB65" s="4"/>
      <c r="JC65" s="4"/>
      <c r="JD65" s="4"/>
      <c r="JE65" s="4"/>
      <c r="JF65" s="4"/>
      <c r="JG65" s="4"/>
      <c r="JH65" s="4"/>
      <c r="JI65" s="4"/>
      <c r="JJ65" s="4"/>
      <c r="JK65" s="4"/>
      <c r="JL65" s="4"/>
      <c r="JM65" s="4"/>
      <c r="JN65" s="4"/>
      <c r="JO65" s="4"/>
      <c r="JP65" s="4"/>
      <c r="JQ65" s="4"/>
      <c r="JR65" s="4"/>
      <c r="JS65" s="4"/>
      <c r="JT65" s="4"/>
      <c r="JU65" s="4"/>
      <c r="JV65" s="4"/>
      <c r="JW65" s="4"/>
      <c r="JX65" s="4"/>
      <c r="JY65" s="4"/>
      <c r="JZ65" s="4"/>
      <c r="KA65" s="4"/>
      <c r="KB65" s="4"/>
      <c r="KC65" s="4"/>
      <c r="KD65" s="4"/>
      <c r="KE65" s="4"/>
      <c r="KF65" s="4"/>
      <c r="KG65" s="4"/>
      <c r="KH65" s="4"/>
      <c r="KI65" s="4"/>
      <c r="KJ65" s="4"/>
      <c r="KK65" s="4"/>
      <c r="KL65" s="4"/>
      <c r="KM65" s="4"/>
      <c r="KN65" s="4"/>
      <c r="KO65" s="4"/>
      <c r="KP65" s="4"/>
      <c r="KQ65" s="4"/>
      <c r="KR65" s="4"/>
      <c r="KS65" s="4"/>
      <c r="KT65" s="4"/>
      <c r="KU65" s="4"/>
      <c r="KV65" s="4"/>
      <c r="KW65" s="4"/>
      <c r="KX65" s="4"/>
      <c r="KY65" s="4"/>
      <c r="KZ65" s="4"/>
      <c r="LA65" s="4"/>
      <c r="LB65" s="4"/>
      <c r="LC65" s="4"/>
      <c r="LD65" s="4"/>
      <c r="LE65" s="4"/>
      <c r="LF65" s="4"/>
      <c r="LG65" s="4"/>
      <c r="LH65" s="4"/>
      <c r="LI65" s="4"/>
      <c r="LJ65" s="4"/>
      <c r="LK65" s="4"/>
      <c r="LL65" s="4"/>
      <c r="LM65" s="4"/>
      <c r="LN65" s="4"/>
      <c r="LO65" s="4"/>
      <c r="LP65" s="4"/>
      <c r="LQ65" s="4"/>
      <c r="LR65" s="4"/>
      <c r="LS65" s="4"/>
      <c r="LT65" s="4"/>
      <c r="LU65" s="4"/>
      <c r="LV65" s="4"/>
      <c r="LW65" s="4"/>
      <c r="LX65" s="4"/>
      <c r="LY65" s="4"/>
      <c r="LZ65" s="4"/>
      <c r="MA65" s="4"/>
      <c r="MB65" s="4"/>
      <c r="MC65" s="4"/>
      <c r="MD65" s="4"/>
      <c r="ME65" s="4"/>
      <c r="MF65" s="4"/>
      <c r="MG65" s="4"/>
      <c r="MH65" s="4"/>
      <c r="MI65" s="4"/>
      <c r="MJ65" s="4"/>
      <c r="MK65" s="4"/>
      <c r="ML65" s="4"/>
      <c r="MM65" s="4"/>
      <c r="MN65" s="4"/>
      <c r="MO65" s="4"/>
      <c r="MP65" s="4"/>
    </row>
    <row r="66" spans="1:354">
      <c r="A66" s="4"/>
      <c r="B66" s="4"/>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c r="AQ66" s="4"/>
      <c r="AR66" s="4"/>
      <c r="AS66" s="4"/>
      <c r="AT66" s="4"/>
      <c r="AU66" s="4"/>
      <c r="AV66" s="4"/>
      <c r="AW66" s="4"/>
      <c r="AX66" s="4"/>
      <c r="AY66" s="4"/>
      <c r="AZ66" s="4"/>
      <c r="BA66" s="4"/>
      <c r="BB66" s="4"/>
      <c r="BC66" s="4"/>
      <c r="BD66" s="4"/>
      <c r="BE66" s="4"/>
      <c r="BF66" s="4"/>
      <c r="BG66" s="4"/>
      <c r="BH66" s="4"/>
      <c r="BI66" s="4"/>
      <c r="BJ66" s="4"/>
      <c r="BK66" s="4"/>
      <c r="BL66" s="4"/>
      <c r="BM66" s="4"/>
      <c r="BN66" s="4"/>
      <c r="BO66" s="4"/>
      <c r="BP66" s="4"/>
      <c r="BQ66" s="4"/>
      <c r="BR66" s="4"/>
      <c r="BS66" s="4"/>
      <c r="BT66" s="4"/>
      <c r="BU66" s="4"/>
      <c r="BV66" s="4"/>
      <c r="BW66" s="4"/>
      <c r="BX66" s="4"/>
      <c r="BY66" s="4"/>
      <c r="BZ66" s="4"/>
      <c r="CA66" s="4"/>
      <c r="CB66" s="4"/>
      <c r="CC66" s="4"/>
      <c r="CD66" s="4"/>
      <c r="CE66" s="4"/>
      <c r="CF66" s="4"/>
      <c r="CG66" s="4"/>
      <c r="CH66" s="4"/>
      <c r="CI66" s="4"/>
      <c r="CJ66" s="4"/>
      <c r="CK66" s="4"/>
      <c r="CL66" s="4"/>
      <c r="CM66" s="4"/>
      <c r="CN66" s="4"/>
      <c r="CO66" s="4"/>
      <c r="CP66" s="4"/>
      <c r="CQ66" s="4"/>
      <c r="CR66" s="4"/>
      <c r="CS66" s="4"/>
      <c r="CT66" s="4"/>
      <c r="CU66" s="4"/>
      <c r="CV66" s="4"/>
      <c r="CW66" s="4"/>
      <c r="CX66" s="4"/>
      <c r="CY66" s="4"/>
      <c r="CZ66" s="4"/>
      <c r="DA66" s="4"/>
      <c r="DB66" s="4"/>
      <c r="DC66" s="4"/>
      <c r="DD66" s="4"/>
      <c r="DE66" s="4"/>
      <c r="DF66" s="4"/>
      <c r="DG66" s="4"/>
      <c r="DH66" s="4"/>
      <c r="DI66" s="4"/>
      <c r="DJ66" s="4"/>
      <c r="DK66" s="4"/>
      <c r="DL66" s="4"/>
      <c r="DM66" s="4"/>
      <c r="DN66" s="4"/>
      <c r="DO66" s="4"/>
      <c r="DP66" s="4"/>
      <c r="DQ66" s="4"/>
      <c r="DR66" s="4"/>
      <c r="DS66" s="4"/>
      <c r="DT66" s="4"/>
      <c r="DU66" s="4"/>
      <c r="DV66" s="4"/>
      <c r="DW66" s="4"/>
      <c r="DX66" s="4"/>
      <c r="DY66" s="4"/>
      <c r="DZ66" s="4"/>
      <c r="EA66" s="4"/>
      <c r="EB66" s="4"/>
      <c r="EC66" s="4"/>
      <c r="ED66" s="4"/>
      <c r="EE66" s="4"/>
      <c r="EF66" s="4"/>
      <c r="EG66" s="4"/>
      <c r="EH66" s="4"/>
      <c r="EI66" s="4"/>
      <c r="EJ66" s="4"/>
      <c r="EK66" s="4"/>
      <c r="EL66" s="4"/>
      <c r="EM66" s="4"/>
      <c r="EN66" s="4"/>
      <c r="EO66" s="4"/>
      <c r="EP66" s="4"/>
      <c r="EQ66" s="4"/>
      <c r="ER66" s="4"/>
      <c r="ES66" s="4"/>
      <c r="ET66" s="4"/>
      <c r="EU66" s="4"/>
      <c r="EV66" s="4"/>
      <c r="EW66" s="4"/>
      <c r="EX66" s="4"/>
      <c r="EY66" s="4"/>
      <c r="EZ66" s="4"/>
      <c r="FA66" s="4"/>
      <c r="FB66" s="4"/>
      <c r="FC66" s="4"/>
      <c r="FD66" s="4"/>
      <c r="FE66" s="4"/>
      <c r="FF66" s="4"/>
      <c r="FG66" s="4"/>
      <c r="FH66" s="4"/>
      <c r="FI66" s="4"/>
      <c r="FJ66" s="4"/>
      <c r="FK66" s="4"/>
      <c r="FL66" s="4"/>
      <c r="FM66" s="4"/>
      <c r="FN66" s="4"/>
      <c r="FO66" s="4"/>
      <c r="FP66" s="4"/>
      <c r="FQ66" s="4"/>
      <c r="FR66" s="4"/>
      <c r="FS66" s="4"/>
      <c r="FT66" s="4"/>
      <c r="FU66" s="4"/>
      <c r="FV66" s="4"/>
      <c r="FW66" s="4"/>
      <c r="FX66" s="4"/>
      <c r="FY66" s="4"/>
      <c r="FZ66" s="4"/>
      <c r="GA66" s="4"/>
      <c r="GB66" s="4"/>
      <c r="GC66" s="4"/>
      <c r="GD66" s="4"/>
      <c r="GE66" s="4"/>
      <c r="GF66" s="4"/>
      <c r="GG66" s="4"/>
      <c r="GH66" s="4"/>
      <c r="GI66" s="4"/>
      <c r="GJ66" s="4"/>
      <c r="GK66" s="4"/>
      <c r="GL66" s="4"/>
      <c r="GM66" s="4"/>
      <c r="GN66" s="4"/>
      <c r="GO66" s="4"/>
      <c r="GP66" s="4"/>
      <c r="GQ66" s="4"/>
      <c r="GR66" s="4"/>
      <c r="GS66" s="4"/>
      <c r="GT66" s="4"/>
      <c r="GU66" s="4"/>
      <c r="GV66" s="4"/>
      <c r="GW66" s="4"/>
      <c r="GX66" s="4"/>
      <c r="GY66" s="4"/>
      <c r="GZ66" s="4"/>
      <c r="HA66" s="4"/>
      <c r="HB66" s="4"/>
      <c r="HC66" s="4"/>
      <c r="HD66" s="4"/>
      <c r="HE66" s="4"/>
      <c r="HF66" s="4"/>
      <c r="HG66" s="4"/>
      <c r="HH66" s="4"/>
      <c r="HI66" s="4"/>
      <c r="HJ66" s="4"/>
      <c r="HK66" s="4"/>
      <c r="HL66" s="4"/>
      <c r="HM66" s="4"/>
      <c r="HN66" s="4"/>
      <c r="HO66" s="4"/>
      <c r="HP66" s="4"/>
      <c r="HQ66" s="4"/>
      <c r="HR66" s="4"/>
      <c r="HS66" s="4"/>
      <c r="HT66" s="4"/>
      <c r="HU66" s="4"/>
      <c r="HV66" s="4"/>
      <c r="HW66" s="4"/>
      <c r="HX66" s="4"/>
      <c r="HY66" s="4"/>
      <c r="HZ66" s="4"/>
      <c r="IA66" s="4"/>
      <c r="IB66" s="4"/>
      <c r="IC66" s="4"/>
      <c r="ID66" s="4"/>
      <c r="IE66" s="4"/>
      <c r="IF66" s="4"/>
      <c r="IG66" s="4"/>
      <c r="IH66" s="4"/>
      <c r="II66" s="4"/>
      <c r="IJ66" s="4"/>
      <c r="IK66" s="4"/>
      <c r="IL66" s="4"/>
      <c r="IM66" s="4"/>
      <c r="IN66" s="4"/>
      <c r="IO66" s="4"/>
      <c r="IP66" s="4"/>
      <c r="IQ66" s="4"/>
      <c r="IR66" s="4"/>
      <c r="IS66" s="4"/>
      <c r="IT66" s="4"/>
      <c r="IU66" s="4"/>
      <c r="IV66" s="4"/>
      <c r="IW66" s="4"/>
      <c r="IX66" s="4"/>
      <c r="IY66" s="4"/>
      <c r="IZ66" s="4"/>
      <c r="JA66" s="4"/>
      <c r="JB66" s="4"/>
      <c r="JC66" s="4"/>
      <c r="JD66" s="4"/>
      <c r="JE66" s="4"/>
      <c r="JF66" s="4"/>
      <c r="JG66" s="4"/>
      <c r="JH66" s="4"/>
      <c r="JI66" s="4"/>
      <c r="JJ66" s="4"/>
      <c r="JK66" s="4"/>
      <c r="JL66" s="4"/>
      <c r="JM66" s="4"/>
      <c r="JN66" s="4"/>
      <c r="JO66" s="4"/>
      <c r="JP66" s="4"/>
      <c r="JQ66" s="4"/>
      <c r="JR66" s="4"/>
      <c r="JS66" s="4"/>
      <c r="JT66" s="4"/>
      <c r="JU66" s="4"/>
      <c r="JV66" s="4"/>
      <c r="JW66" s="4"/>
      <c r="JX66" s="4"/>
      <c r="JY66" s="4"/>
      <c r="JZ66" s="4"/>
      <c r="KA66" s="4"/>
      <c r="KB66" s="4"/>
      <c r="KC66" s="4"/>
      <c r="KD66" s="4"/>
      <c r="KE66" s="4"/>
      <c r="KF66" s="4"/>
      <c r="KG66" s="4"/>
      <c r="KH66" s="4"/>
      <c r="KI66" s="4"/>
      <c r="KJ66" s="4"/>
      <c r="KK66" s="4"/>
      <c r="KL66" s="4"/>
      <c r="KM66" s="4"/>
      <c r="KN66" s="4"/>
      <c r="KO66" s="4"/>
      <c r="KP66" s="4"/>
      <c r="KQ66" s="4"/>
      <c r="KR66" s="4"/>
      <c r="KS66" s="4"/>
      <c r="KT66" s="4"/>
      <c r="KU66" s="4"/>
      <c r="KV66" s="4"/>
      <c r="KW66" s="4"/>
      <c r="KX66" s="4"/>
      <c r="KY66" s="4"/>
      <c r="KZ66" s="4"/>
      <c r="LA66" s="4"/>
      <c r="LB66" s="4"/>
      <c r="LC66" s="4"/>
      <c r="LD66" s="4"/>
      <c r="LE66" s="4"/>
      <c r="LF66" s="4"/>
      <c r="LG66" s="4"/>
      <c r="LH66" s="4"/>
      <c r="LI66" s="4"/>
      <c r="LJ66" s="4"/>
      <c r="LK66" s="4"/>
      <c r="LL66" s="4"/>
      <c r="LM66" s="4"/>
      <c r="LN66" s="4"/>
      <c r="LO66" s="4"/>
      <c r="LP66" s="4"/>
      <c r="LQ66" s="4"/>
      <c r="LR66" s="4"/>
      <c r="LS66" s="4"/>
      <c r="LT66" s="4"/>
      <c r="LU66" s="4"/>
      <c r="LV66" s="4"/>
      <c r="LW66" s="4"/>
      <c r="LX66" s="4"/>
      <c r="LY66" s="4"/>
      <c r="LZ66" s="4"/>
      <c r="MA66" s="4"/>
      <c r="MB66" s="4"/>
      <c r="MC66" s="4"/>
      <c r="MD66" s="4"/>
      <c r="ME66" s="4"/>
      <c r="MF66" s="4"/>
      <c r="MG66" s="4"/>
      <c r="MH66" s="4"/>
      <c r="MI66" s="4"/>
      <c r="MJ66" s="4"/>
      <c r="MK66" s="4"/>
      <c r="ML66" s="4"/>
      <c r="MM66" s="4"/>
      <c r="MN66" s="4"/>
      <c r="MO66" s="4"/>
      <c r="MP66" s="4"/>
    </row>
    <row r="67" spans="1:354">
      <c r="A67" s="4"/>
      <c r="B67" s="4"/>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c r="AQ67" s="4"/>
      <c r="AR67" s="4"/>
      <c r="AS67" s="4"/>
      <c r="AT67" s="4"/>
      <c r="AU67" s="4"/>
      <c r="AV67" s="4"/>
      <c r="AW67" s="4"/>
      <c r="AX67" s="4"/>
      <c r="AY67" s="4"/>
      <c r="AZ67" s="4"/>
      <c r="BA67" s="4"/>
      <c r="BB67" s="4"/>
      <c r="BC67" s="4"/>
      <c r="BD67" s="4"/>
      <c r="BE67" s="4"/>
      <c r="BF67" s="4"/>
      <c r="BG67" s="4"/>
      <c r="BH67" s="4"/>
      <c r="BI67" s="4"/>
      <c r="BJ67" s="4"/>
      <c r="BK67" s="4"/>
      <c r="BL67" s="4"/>
      <c r="BM67" s="4"/>
      <c r="BN67" s="4"/>
      <c r="BO67" s="4"/>
      <c r="BP67" s="4"/>
      <c r="BQ67" s="4"/>
      <c r="BR67" s="4"/>
      <c r="BS67" s="4"/>
      <c r="BT67" s="4"/>
      <c r="BU67" s="4"/>
      <c r="BV67" s="4"/>
      <c r="BW67" s="4"/>
      <c r="BX67" s="4"/>
      <c r="BY67" s="4"/>
      <c r="BZ67" s="4"/>
      <c r="CA67" s="4"/>
      <c r="CB67" s="4"/>
      <c r="CC67" s="4"/>
      <c r="CD67" s="4"/>
      <c r="CE67" s="4"/>
      <c r="CF67" s="4"/>
      <c r="CG67" s="4"/>
      <c r="CH67" s="4"/>
      <c r="CI67" s="4"/>
      <c r="CJ67" s="4"/>
      <c r="CK67" s="4"/>
      <c r="CL67" s="4"/>
      <c r="CM67" s="4"/>
      <c r="CN67" s="4"/>
      <c r="CO67" s="4"/>
      <c r="CP67" s="4"/>
      <c r="CQ67" s="4"/>
      <c r="CR67" s="4"/>
      <c r="CS67" s="4"/>
      <c r="CT67" s="4"/>
      <c r="CU67" s="4"/>
      <c r="CV67" s="4"/>
      <c r="CW67" s="4"/>
      <c r="CX67" s="4"/>
      <c r="CY67" s="4"/>
      <c r="CZ67" s="4"/>
      <c r="DA67" s="4"/>
      <c r="DB67" s="4"/>
      <c r="DC67" s="4"/>
      <c r="DD67" s="4"/>
      <c r="DE67" s="4"/>
      <c r="DF67" s="4"/>
      <c r="DG67" s="4"/>
      <c r="DH67" s="4"/>
      <c r="DI67" s="4"/>
      <c r="DJ67" s="4"/>
      <c r="DK67" s="4"/>
      <c r="DL67" s="4"/>
      <c r="DM67" s="4"/>
      <c r="DN67" s="4"/>
      <c r="DO67" s="4"/>
      <c r="DP67" s="4"/>
      <c r="DQ67" s="4"/>
      <c r="DR67" s="4"/>
      <c r="DS67" s="4"/>
      <c r="DT67" s="4"/>
      <c r="DU67" s="4"/>
      <c r="DV67" s="4"/>
      <c r="DW67" s="4"/>
      <c r="DX67" s="4"/>
      <c r="DY67" s="4"/>
      <c r="DZ67" s="4"/>
      <c r="EA67" s="4"/>
      <c r="EB67" s="4"/>
      <c r="EC67" s="4"/>
      <c r="ED67" s="4"/>
      <c r="EE67" s="4"/>
      <c r="EF67" s="4"/>
      <c r="EG67" s="4"/>
      <c r="EH67" s="4"/>
      <c r="EI67" s="4"/>
      <c r="EJ67" s="4"/>
      <c r="EK67" s="4"/>
      <c r="EL67" s="4"/>
      <c r="EM67" s="4"/>
      <c r="EN67" s="4"/>
      <c r="EO67" s="4"/>
      <c r="EP67" s="4"/>
      <c r="EQ67" s="4"/>
      <c r="ER67" s="4"/>
      <c r="ES67" s="4"/>
      <c r="ET67" s="4"/>
      <c r="EU67" s="4"/>
      <c r="EV67" s="4"/>
      <c r="EW67" s="4"/>
      <c r="EX67" s="4"/>
      <c r="EY67" s="4"/>
      <c r="EZ67" s="4"/>
      <c r="FA67" s="4"/>
      <c r="FB67" s="4"/>
      <c r="FC67" s="4"/>
      <c r="FD67" s="4"/>
      <c r="FE67" s="4"/>
      <c r="FF67" s="4"/>
      <c r="FG67" s="4"/>
      <c r="FH67" s="4"/>
      <c r="FI67" s="4"/>
      <c r="FJ67" s="4"/>
      <c r="FK67" s="4"/>
      <c r="FL67" s="4"/>
      <c r="FM67" s="4"/>
      <c r="FN67" s="4"/>
      <c r="FO67" s="4"/>
      <c r="FP67" s="4"/>
      <c r="FQ67" s="4"/>
      <c r="FR67" s="4"/>
      <c r="FS67" s="4"/>
      <c r="FT67" s="4"/>
      <c r="FU67" s="4"/>
      <c r="FV67" s="4"/>
      <c r="FW67" s="4"/>
      <c r="FX67" s="4"/>
      <c r="FY67" s="4"/>
      <c r="FZ67" s="4"/>
      <c r="GA67" s="4"/>
      <c r="GB67" s="4"/>
      <c r="GC67" s="4"/>
      <c r="GD67" s="4"/>
      <c r="GE67" s="4"/>
      <c r="GF67" s="4"/>
      <c r="GG67" s="4"/>
      <c r="GH67" s="4"/>
      <c r="GI67" s="4"/>
      <c r="GJ67" s="4"/>
      <c r="GK67" s="4"/>
      <c r="GL67" s="4"/>
      <c r="GM67" s="4"/>
      <c r="GN67" s="4"/>
      <c r="GO67" s="4"/>
      <c r="GP67" s="4"/>
      <c r="GQ67" s="4"/>
      <c r="GR67" s="4"/>
      <c r="GS67" s="4"/>
      <c r="GT67" s="4"/>
      <c r="GU67" s="4"/>
      <c r="GV67" s="4"/>
      <c r="GW67" s="4"/>
      <c r="GX67" s="4"/>
      <c r="GY67" s="4"/>
      <c r="GZ67" s="4"/>
      <c r="HA67" s="4"/>
      <c r="HB67" s="4"/>
      <c r="HC67" s="4"/>
      <c r="HD67" s="4"/>
      <c r="HE67" s="4"/>
      <c r="HF67" s="4"/>
      <c r="HG67" s="4"/>
      <c r="HH67" s="4"/>
      <c r="HI67" s="4"/>
      <c r="HJ67" s="4"/>
      <c r="HK67" s="4"/>
      <c r="HL67" s="4"/>
      <c r="HM67" s="4"/>
      <c r="HN67" s="4"/>
      <c r="HO67" s="4"/>
      <c r="HP67" s="4"/>
      <c r="HQ67" s="4"/>
      <c r="HR67" s="4"/>
      <c r="HS67" s="4"/>
      <c r="HT67" s="4"/>
      <c r="HU67" s="4"/>
      <c r="HV67" s="4"/>
      <c r="HW67" s="4"/>
      <c r="HX67" s="4"/>
      <c r="HY67" s="4"/>
      <c r="HZ67" s="4"/>
      <c r="IA67" s="4"/>
      <c r="IB67" s="4"/>
      <c r="IC67" s="4"/>
      <c r="ID67" s="4"/>
      <c r="IE67" s="4"/>
      <c r="IF67" s="4"/>
      <c r="IG67" s="4"/>
      <c r="IH67" s="4"/>
      <c r="II67" s="4"/>
      <c r="IJ67" s="4"/>
      <c r="IK67" s="4"/>
      <c r="IL67" s="4"/>
      <c r="IM67" s="4"/>
      <c r="IN67" s="4"/>
      <c r="IO67" s="4"/>
      <c r="IP67" s="4"/>
      <c r="IQ67" s="4"/>
      <c r="IR67" s="4"/>
      <c r="IS67" s="4"/>
      <c r="IT67" s="4"/>
      <c r="IU67" s="4"/>
      <c r="IV67" s="4"/>
      <c r="IW67" s="4"/>
      <c r="IX67" s="4"/>
      <c r="IY67" s="4"/>
      <c r="IZ67" s="4"/>
      <c r="JA67" s="4"/>
      <c r="JB67" s="4"/>
      <c r="JC67" s="4"/>
      <c r="JD67" s="4"/>
      <c r="JE67" s="4"/>
      <c r="JF67" s="4"/>
      <c r="JG67" s="4"/>
      <c r="JH67" s="4"/>
      <c r="JI67" s="4"/>
      <c r="JJ67" s="4"/>
      <c r="JK67" s="4"/>
      <c r="JL67" s="4"/>
      <c r="JM67" s="4"/>
      <c r="JN67" s="4"/>
      <c r="JO67" s="4"/>
      <c r="JP67" s="4"/>
      <c r="JQ67" s="4"/>
      <c r="JR67" s="4"/>
      <c r="JS67" s="4"/>
      <c r="JT67" s="4"/>
      <c r="JU67" s="4"/>
      <c r="JV67" s="4"/>
      <c r="JW67" s="4"/>
      <c r="JX67" s="4"/>
      <c r="JY67" s="4"/>
      <c r="JZ67" s="4"/>
      <c r="KA67" s="4"/>
      <c r="KB67" s="4"/>
      <c r="KC67" s="4"/>
      <c r="KD67" s="4"/>
      <c r="KE67" s="4"/>
      <c r="KF67" s="4"/>
      <c r="KG67" s="4"/>
      <c r="KH67" s="4"/>
      <c r="KI67" s="4"/>
      <c r="KJ67" s="4"/>
      <c r="KK67" s="4"/>
      <c r="KL67" s="4"/>
      <c r="KM67" s="4"/>
      <c r="KN67" s="4"/>
      <c r="KO67" s="4"/>
      <c r="KP67" s="4"/>
      <c r="KQ67" s="4"/>
      <c r="KR67" s="4"/>
      <c r="KS67" s="4"/>
      <c r="KT67" s="4"/>
      <c r="KU67" s="4"/>
      <c r="KV67" s="4"/>
      <c r="KW67" s="4"/>
      <c r="KX67" s="4"/>
      <c r="KY67" s="4"/>
      <c r="KZ67" s="4"/>
      <c r="LA67" s="4"/>
      <c r="LB67" s="4"/>
      <c r="LC67" s="4"/>
      <c r="LD67" s="4"/>
      <c r="LE67" s="4"/>
      <c r="LF67" s="4"/>
      <c r="LG67" s="4"/>
      <c r="LH67" s="4"/>
      <c r="LI67" s="4"/>
      <c r="LJ67" s="4"/>
      <c r="LK67" s="4"/>
      <c r="LL67" s="4"/>
      <c r="LM67" s="4"/>
      <c r="LN67" s="4"/>
      <c r="LO67" s="4"/>
      <c r="LP67" s="4"/>
      <c r="LQ67" s="4"/>
      <c r="LR67" s="4"/>
      <c r="LS67" s="4"/>
      <c r="LT67" s="4"/>
      <c r="LU67" s="4"/>
      <c r="LV67" s="4"/>
      <c r="LW67" s="4"/>
      <c r="LX67" s="4"/>
      <c r="LY67" s="4"/>
      <c r="LZ67" s="4"/>
      <c r="MA67" s="4"/>
      <c r="MB67" s="4"/>
      <c r="MC67" s="4"/>
      <c r="MD67" s="4"/>
      <c r="ME67" s="4"/>
      <c r="MF67" s="4"/>
      <c r="MG67" s="4"/>
      <c r="MH67" s="4"/>
      <c r="MI67" s="4"/>
      <c r="MJ67" s="4"/>
      <c r="MK67" s="4"/>
      <c r="ML67" s="4"/>
      <c r="MM67" s="4"/>
      <c r="MN67" s="4"/>
      <c r="MO67" s="4"/>
      <c r="MP67" s="4"/>
    </row>
    <row r="68" spans="1:354">
      <c r="A68" s="4"/>
      <c r="B68" s="4"/>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c r="AQ68" s="4"/>
      <c r="AR68" s="4"/>
      <c r="AS68" s="4"/>
      <c r="AT68" s="4"/>
      <c r="AU68" s="4"/>
      <c r="AV68" s="4"/>
      <c r="AW68" s="4"/>
      <c r="AX68" s="4"/>
      <c r="AY68" s="4"/>
      <c r="AZ68" s="4"/>
      <c r="BA68" s="4"/>
      <c r="BB68" s="4"/>
      <c r="BC68" s="4"/>
      <c r="BD68" s="4"/>
      <c r="BE68" s="4"/>
      <c r="BF68" s="4"/>
      <c r="BG68" s="4"/>
      <c r="BH68" s="4"/>
      <c r="BI68" s="4"/>
      <c r="BJ68" s="4"/>
      <c r="BK68" s="4"/>
      <c r="BL68" s="4"/>
      <c r="BM68" s="4"/>
      <c r="BN68" s="4"/>
      <c r="BO68" s="4"/>
      <c r="BP68" s="4"/>
      <c r="BQ68" s="4"/>
      <c r="BR68" s="4"/>
      <c r="BS68" s="4"/>
      <c r="BT68" s="4"/>
      <c r="BU68" s="4"/>
      <c r="BV68" s="4"/>
      <c r="BW68" s="4"/>
      <c r="BX68" s="4"/>
      <c r="BY68" s="4"/>
      <c r="BZ68" s="4"/>
      <c r="CA68" s="4"/>
      <c r="CB68" s="4"/>
      <c r="CC68" s="4"/>
      <c r="CD68" s="4"/>
      <c r="CE68" s="4"/>
      <c r="CF68" s="4"/>
      <c r="CG68" s="4"/>
      <c r="CH68" s="4"/>
      <c r="CI68" s="4"/>
      <c r="CJ68" s="4"/>
      <c r="CK68" s="4"/>
      <c r="CL68" s="4"/>
      <c r="CM68" s="4"/>
      <c r="CN68" s="4"/>
      <c r="CO68" s="4"/>
      <c r="CP68" s="4"/>
      <c r="CQ68" s="4"/>
      <c r="CR68" s="4"/>
      <c r="CS68" s="4"/>
      <c r="CT68" s="4"/>
      <c r="CU68" s="4"/>
      <c r="CV68" s="4"/>
      <c r="CW68" s="4"/>
      <c r="CX68" s="4"/>
      <c r="CY68" s="4"/>
      <c r="CZ68" s="4"/>
      <c r="DA68" s="4"/>
      <c r="DB68" s="4"/>
      <c r="DC68" s="4"/>
      <c r="DD68" s="4"/>
      <c r="DE68" s="4"/>
      <c r="DF68" s="4"/>
      <c r="DG68" s="4"/>
      <c r="DH68" s="4"/>
      <c r="DI68" s="4"/>
      <c r="DJ68" s="4"/>
      <c r="DK68" s="4"/>
      <c r="DL68" s="4"/>
      <c r="DM68" s="4"/>
      <c r="DN68" s="4"/>
      <c r="DO68" s="4"/>
      <c r="DP68" s="4"/>
      <c r="DQ68" s="4"/>
      <c r="DR68" s="4"/>
      <c r="DS68" s="4"/>
      <c r="DT68" s="4"/>
      <c r="DU68" s="4"/>
      <c r="DV68" s="4"/>
      <c r="DW68" s="4"/>
      <c r="DX68" s="4"/>
      <c r="DY68" s="4"/>
      <c r="DZ68" s="4"/>
      <c r="EA68" s="4"/>
      <c r="EB68" s="4"/>
      <c r="EC68" s="4"/>
      <c r="ED68" s="4"/>
      <c r="EE68" s="4"/>
      <c r="EF68" s="4"/>
      <c r="EG68" s="4"/>
      <c r="EH68" s="4"/>
      <c r="EI68" s="4"/>
      <c r="EJ68" s="4"/>
      <c r="EK68" s="4"/>
      <c r="EL68" s="4"/>
      <c r="EM68" s="4"/>
      <c r="EN68" s="4"/>
      <c r="EO68" s="4"/>
      <c r="EP68" s="4"/>
      <c r="EQ68" s="4"/>
      <c r="ER68" s="4"/>
      <c r="ES68" s="4"/>
      <c r="ET68" s="4"/>
      <c r="EU68" s="4"/>
      <c r="EV68" s="4"/>
      <c r="EW68" s="4"/>
      <c r="EX68" s="4"/>
      <c r="EY68" s="4"/>
      <c r="EZ68" s="4"/>
      <c r="FA68" s="4"/>
      <c r="FB68" s="4"/>
      <c r="FC68" s="4"/>
      <c r="FD68" s="4"/>
      <c r="FE68" s="4"/>
      <c r="FF68" s="4"/>
      <c r="FG68" s="4"/>
      <c r="FH68" s="4"/>
      <c r="FI68" s="4"/>
      <c r="FJ68" s="4"/>
      <c r="FK68" s="4"/>
      <c r="FL68" s="4"/>
      <c r="FM68" s="4"/>
      <c r="FN68" s="4"/>
      <c r="FO68" s="4"/>
      <c r="FP68" s="4"/>
      <c r="FQ68" s="4"/>
      <c r="FR68" s="4"/>
      <c r="FS68" s="4"/>
      <c r="FT68" s="4"/>
      <c r="FU68" s="4"/>
      <c r="FV68" s="4"/>
      <c r="FW68" s="4"/>
      <c r="FX68" s="4"/>
      <c r="FY68" s="4"/>
      <c r="FZ68" s="4"/>
      <c r="GA68" s="4"/>
      <c r="GB68" s="4"/>
      <c r="GC68" s="4"/>
      <c r="GD68" s="4"/>
      <c r="GE68" s="4"/>
      <c r="GF68" s="4"/>
      <c r="GG68" s="4"/>
      <c r="GH68" s="4"/>
      <c r="GI68" s="4"/>
      <c r="GJ68" s="4"/>
      <c r="GK68" s="4"/>
      <c r="GL68" s="4"/>
      <c r="GM68" s="4"/>
      <c r="GN68" s="4"/>
      <c r="GO68" s="4"/>
      <c r="GP68" s="4"/>
      <c r="GQ68" s="4"/>
      <c r="GR68" s="4"/>
      <c r="GS68" s="4"/>
      <c r="GT68" s="4"/>
      <c r="GU68" s="4"/>
      <c r="GV68" s="4"/>
      <c r="GW68" s="4"/>
      <c r="GX68" s="4"/>
      <c r="GY68" s="4"/>
      <c r="GZ68" s="4"/>
      <c r="HA68" s="4"/>
      <c r="HB68" s="4"/>
      <c r="HC68" s="4"/>
      <c r="HD68" s="4"/>
      <c r="HE68" s="4"/>
      <c r="HF68" s="4"/>
      <c r="HG68" s="4"/>
      <c r="HH68" s="4"/>
      <c r="HI68" s="4"/>
      <c r="HJ68" s="4"/>
      <c r="HK68" s="4"/>
      <c r="HL68" s="4"/>
      <c r="HM68" s="4"/>
      <c r="HN68" s="4"/>
      <c r="HO68" s="4"/>
      <c r="HP68" s="4"/>
      <c r="HQ68" s="4"/>
      <c r="HR68" s="4"/>
      <c r="HS68" s="4"/>
      <c r="HT68" s="4"/>
      <c r="HU68" s="4"/>
      <c r="HV68" s="4"/>
      <c r="HW68" s="4"/>
      <c r="HX68" s="4"/>
      <c r="HY68" s="4"/>
      <c r="HZ68" s="4"/>
      <c r="IA68" s="4"/>
      <c r="IB68" s="4"/>
      <c r="IC68" s="4"/>
      <c r="ID68" s="4"/>
      <c r="IE68" s="4"/>
      <c r="IF68" s="4"/>
      <c r="IG68" s="4"/>
      <c r="IH68" s="4"/>
      <c r="II68" s="4"/>
      <c r="IJ68" s="4"/>
      <c r="IK68" s="4"/>
      <c r="IL68" s="4"/>
      <c r="IM68" s="4"/>
      <c r="IN68" s="4"/>
      <c r="IO68" s="4"/>
      <c r="IP68" s="4"/>
      <c r="IQ68" s="4"/>
      <c r="IR68" s="4"/>
      <c r="IS68" s="4"/>
      <c r="IT68" s="4"/>
      <c r="IU68" s="4"/>
      <c r="IV68" s="4"/>
      <c r="IW68" s="4"/>
      <c r="IX68" s="4"/>
      <c r="IY68" s="4"/>
      <c r="IZ68" s="4"/>
      <c r="JA68" s="4"/>
      <c r="JB68" s="4"/>
      <c r="JC68" s="4"/>
      <c r="JD68" s="4"/>
      <c r="JE68" s="4"/>
      <c r="JF68" s="4"/>
      <c r="JG68" s="4"/>
      <c r="JH68" s="4"/>
      <c r="JI68" s="4"/>
      <c r="JJ68" s="4"/>
      <c r="JK68" s="4"/>
      <c r="JL68" s="4"/>
      <c r="JM68" s="4"/>
      <c r="JN68" s="4"/>
      <c r="JO68" s="4"/>
      <c r="JP68" s="4"/>
      <c r="JQ68" s="4"/>
      <c r="JR68" s="4"/>
      <c r="JS68" s="4"/>
      <c r="JT68" s="4"/>
      <c r="JU68" s="4"/>
      <c r="JV68" s="4"/>
      <c r="JW68" s="4"/>
      <c r="JX68" s="4"/>
      <c r="JY68" s="4"/>
      <c r="JZ68" s="4"/>
      <c r="KA68" s="4"/>
      <c r="KB68" s="4"/>
      <c r="KC68" s="4"/>
      <c r="KD68" s="4"/>
      <c r="KE68" s="4"/>
      <c r="KF68" s="4"/>
      <c r="KG68" s="4"/>
      <c r="KH68" s="4"/>
      <c r="KI68" s="4"/>
      <c r="KJ68" s="4"/>
      <c r="KK68" s="4"/>
      <c r="KL68" s="4"/>
      <c r="KM68" s="4"/>
      <c r="KN68" s="4"/>
      <c r="KO68" s="4"/>
      <c r="KP68" s="4"/>
      <c r="KQ68" s="4"/>
      <c r="KR68" s="4"/>
      <c r="KS68" s="4"/>
      <c r="KT68" s="4"/>
      <c r="KU68" s="4"/>
      <c r="KV68" s="4"/>
      <c r="KW68" s="4"/>
      <c r="KX68" s="4"/>
      <c r="KY68" s="4"/>
      <c r="KZ68" s="4"/>
      <c r="LA68" s="4"/>
      <c r="LB68" s="4"/>
      <c r="LC68" s="4"/>
      <c r="LD68" s="4"/>
      <c r="LE68" s="4"/>
      <c r="LF68" s="4"/>
      <c r="LG68" s="4"/>
      <c r="LH68" s="4"/>
      <c r="LI68" s="4"/>
      <c r="LJ68" s="4"/>
      <c r="LK68" s="4"/>
      <c r="LL68" s="4"/>
      <c r="LM68" s="4"/>
      <c r="LN68" s="4"/>
      <c r="LO68" s="4"/>
      <c r="LP68" s="4"/>
      <c r="LQ68" s="4"/>
      <c r="LR68" s="4"/>
      <c r="LS68" s="4"/>
      <c r="LT68" s="4"/>
      <c r="LU68" s="4"/>
      <c r="LV68" s="4"/>
      <c r="LW68" s="4"/>
      <c r="LX68" s="4"/>
      <c r="LY68" s="4"/>
      <c r="LZ68" s="4"/>
      <c r="MA68" s="4"/>
      <c r="MB68" s="4"/>
      <c r="MC68" s="4"/>
      <c r="MD68" s="4"/>
      <c r="ME68" s="4"/>
      <c r="MF68" s="4"/>
      <c r="MG68" s="4"/>
      <c r="MH68" s="4"/>
      <c r="MI68" s="4"/>
      <c r="MJ68" s="4"/>
      <c r="MK68" s="4"/>
      <c r="ML68" s="4"/>
      <c r="MM68" s="4"/>
      <c r="MN68" s="4"/>
      <c r="MO68" s="4"/>
      <c r="MP68" s="4"/>
    </row>
    <row r="69" spans="1:354">
      <c r="A69" s="4"/>
      <c r="B69" s="4"/>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c r="AQ69" s="4"/>
      <c r="AR69" s="4"/>
      <c r="AS69" s="4"/>
      <c r="AT69" s="4"/>
      <c r="AU69" s="4"/>
      <c r="AV69" s="4"/>
      <c r="AW69" s="4"/>
      <c r="AX69" s="4"/>
      <c r="AY69" s="4"/>
      <c r="AZ69" s="4"/>
      <c r="BA69" s="4"/>
      <c r="BB69" s="4"/>
      <c r="BC69" s="4"/>
      <c r="BD69" s="4"/>
      <c r="BE69" s="4"/>
      <c r="BF69" s="4"/>
      <c r="BG69" s="4"/>
      <c r="BH69" s="4"/>
      <c r="BI69" s="4"/>
      <c r="BJ69" s="4"/>
      <c r="BK69" s="4"/>
      <c r="BL69" s="4"/>
      <c r="BM69" s="4"/>
      <c r="BN69" s="4"/>
      <c r="BO69" s="4"/>
      <c r="BP69" s="4"/>
      <c r="BQ69" s="4"/>
      <c r="BR69" s="4"/>
      <c r="BS69" s="4"/>
      <c r="BT69" s="4"/>
      <c r="BU69" s="4"/>
      <c r="BV69" s="4"/>
      <c r="BW69" s="4"/>
      <c r="BX69" s="4"/>
      <c r="BY69" s="4"/>
      <c r="BZ69" s="4"/>
      <c r="CA69" s="4"/>
      <c r="CB69" s="4"/>
      <c r="CC69" s="4"/>
      <c r="CD69" s="4"/>
      <c r="CE69" s="4"/>
      <c r="CF69" s="4"/>
      <c r="CG69" s="4"/>
      <c r="CH69" s="4"/>
      <c r="CI69" s="4"/>
      <c r="CJ69" s="4"/>
      <c r="CK69" s="4"/>
      <c r="CL69" s="4"/>
      <c r="CM69" s="4"/>
      <c r="CN69" s="4"/>
      <c r="CO69" s="4"/>
      <c r="CP69" s="4"/>
      <c r="CQ69" s="4"/>
      <c r="CR69" s="4"/>
      <c r="CS69" s="4"/>
      <c r="CT69" s="4"/>
      <c r="CU69" s="4"/>
      <c r="CV69" s="4"/>
      <c r="CW69" s="4"/>
      <c r="CX69" s="4"/>
      <c r="CY69" s="4"/>
      <c r="CZ69" s="4"/>
      <c r="DA69" s="4"/>
      <c r="DB69" s="4"/>
      <c r="DC69" s="4"/>
      <c r="DD69" s="4"/>
      <c r="DE69" s="4"/>
      <c r="DF69" s="4"/>
      <c r="DG69" s="4"/>
      <c r="DH69" s="4"/>
      <c r="DI69" s="4"/>
      <c r="DJ69" s="4"/>
      <c r="DK69" s="4"/>
      <c r="DL69" s="4"/>
      <c r="DM69" s="4"/>
      <c r="DN69" s="4"/>
      <c r="DO69" s="4"/>
      <c r="DP69" s="4"/>
      <c r="DQ69" s="4"/>
      <c r="DR69" s="4"/>
      <c r="DS69" s="4"/>
      <c r="DT69" s="4"/>
      <c r="DU69" s="4"/>
      <c r="DV69" s="4"/>
      <c r="DW69" s="4"/>
      <c r="DX69" s="4"/>
      <c r="DY69" s="4"/>
      <c r="DZ69" s="4"/>
      <c r="EA69" s="4"/>
      <c r="EB69" s="4"/>
      <c r="EC69" s="4"/>
      <c r="ED69" s="4"/>
      <c r="EE69" s="4"/>
      <c r="EF69" s="4"/>
      <c r="EG69" s="4"/>
      <c r="EH69" s="4"/>
      <c r="EI69" s="4"/>
      <c r="EJ69" s="4"/>
      <c r="EK69" s="4"/>
      <c r="EL69" s="4"/>
      <c r="EM69" s="4"/>
      <c r="EN69" s="4"/>
      <c r="EO69" s="4"/>
      <c r="EP69" s="4"/>
      <c r="EQ69" s="4"/>
      <c r="ER69" s="4"/>
      <c r="ES69" s="4"/>
      <c r="ET69" s="4"/>
      <c r="EU69" s="4"/>
      <c r="EV69" s="4"/>
      <c r="EW69" s="4"/>
      <c r="EX69" s="4"/>
      <c r="EY69" s="4"/>
      <c r="EZ69" s="4"/>
      <c r="FA69" s="4"/>
      <c r="FB69" s="4"/>
      <c r="FC69" s="4"/>
      <c r="FD69" s="4"/>
      <c r="FE69" s="4"/>
      <c r="FF69" s="4"/>
      <c r="FG69" s="4"/>
      <c r="FH69" s="4"/>
      <c r="FI69" s="4"/>
      <c r="FJ69" s="4"/>
      <c r="FK69" s="4"/>
      <c r="FL69" s="4"/>
      <c r="FM69" s="4"/>
      <c r="FN69" s="4"/>
      <c r="FO69" s="4"/>
      <c r="FP69" s="4"/>
      <c r="FQ69" s="4"/>
      <c r="FR69" s="4"/>
      <c r="FS69" s="4"/>
      <c r="FT69" s="4"/>
      <c r="FU69" s="4"/>
      <c r="FV69" s="4"/>
      <c r="FW69" s="4"/>
      <c r="FX69" s="4"/>
      <c r="FY69" s="4"/>
      <c r="FZ69" s="4"/>
      <c r="GA69" s="4"/>
      <c r="GB69" s="4"/>
      <c r="GC69" s="4"/>
      <c r="GD69" s="4"/>
      <c r="GE69" s="4"/>
      <c r="GF69" s="4"/>
      <c r="GG69" s="4"/>
      <c r="GH69" s="4"/>
      <c r="GI69" s="4"/>
      <c r="GJ69" s="4"/>
      <c r="GK69" s="4"/>
      <c r="GL69" s="4"/>
      <c r="GM69" s="4"/>
      <c r="GN69" s="4"/>
      <c r="GO69" s="4"/>
      <c r="GP69" s="4"/>
      <c r="GQ69" s="4"/>
      <c r="GR69" s="4"/>
      <c r="GS69" s="4"/>
      <c r="GT69" s="4"/>
      <c r="GU69" s="4"/>
      <c r="GV69" s="4"/>
      <c r="GW69" s="4"/>
      <c r="GX69" s="4"/>
      <c r="GY69" s="4"/>
      <c r="GZ69" s="4"/>
      <c r="HA69" s="4"/>
      <c r="HB69" s="4"/>
      <c r="HC69" s="4"/>
      <c r="HD69" s="4"/>
      <c r="HE69" s="4"/>
      <c r="HF69" s="4"/>
      <c r="HG69" s="4"/>
      <c r="HH69" s="4"/>
      <c r="HI69" s="4"/>
      <c r="HJ69" s="4"/>
      <c r="HK69" s="4"/>
      <c r="HL69" s="4"/>
      <c r="HM69" s="4"/>
      <c r="HN69" s="4"/>
      <c r="HO69" s="4"/>
      <c r="HP69" s="4"/>
      <c r="HQ69" s="4"/>
      <c r="HR69" s="4"/>
      <c r="HS69" s="4"/>
      <c r="HT69" s="4"/>
      <c r="HU69" s="4"/>
      <c r="HV69" s="4"/>
      <c r="HW69" s="4"/>
      <c r="HX69" s="4"/>
      <c r="HY69" s="4"/>
      <c r="HZ69" s="4"/>
      <c r="IA69" s="4"/>
      <c r="IB69" s="4"/>
      <c r="IC69" s="4"/>
      <c r="ID69" s="4"/>
      <c r="IE69" s="4"/>
      <c r="IF69" s="4"/>
      <c r="IG69" s="4"/>
      <c r="IH69" s="4"/>
      <c r="II69" s="4"/>
      <c r="IJ69" s="4"/>
      <c r="IK69" s="4"/>
      <c r="IL69" s="4"/>
      <c r="IM69" s="4"/>
      <c r="IN69" s="4"/>
      <c r="IO69" s="4"/>
      <c r="IP69" s="4"/>
      <c r="IQ69" s="4"/>
      <c r="IR69" s="4"/>
      <c r="IS69" s="4"/>
      <c r="IT69" s="4"/>
      <c r="IU69" s="4"/>
      <c r="IV69" s="4"/>
      <c r="IW69" s="4"/>
      <c r="IX69" s="4"/>
      <c r="IY69" s="4"/>
      <c r="IZ69" s="4"/>
      <c r="JA69" s="4"/>
      <c r="JB69" s="4"/>
      <c r="JC69" s="4"/>
      <c r="JD69" s="4"/>
      <c r="JE69" s="4"/>
      <c r="JF69" s="4"/>
      <c r="JG69" s="4"/>
      <c r="JH69" s="4"/>
      <c r="JI69" s="4"/>
      <c r="JJ69" s="4"/>
      <c r="JK69" s="4"/>
      <c r="JL69" s="4"/>
      <c r="JM69" s="4"/>
      <c r="JN69" s="4"/>
      <c r="JO69" s="4"/>
      <c r="JP69" s="4"/>
      <c r="JQ69" s="4"/>
      <c r="JR69" s="4"/>
      <c r="JS69" s="4"/>
      <c r="JT69" s="4"/>
      <c r="JU69" s="4"/>
      <c r="JV69" s="4"/>
      <c r="JW69" s="4"/>
      <c r="JX69" s="4"/>
      <c r="JY69" s="4"/>
      <c r="JZ69" s="4"/>
      <c r="KA69" s="4"/>
      <c r="KB69" s="4"/>
      <c r="KC69" s="4"/>
      <c r="KD69" s="4"/>
      <c r="KE69" s="4"/>
      <c r="KF69" s="4"/>
      <c r="KG69" s="4"/>
      <c r="KH69" s="4"/>
      <c r="KI69" s="4"/>
      <c r="KJ69" s="4"/>
      <c r="KK69" s="4"/>
      <c r="KL69" s="4"/>
      <c r="KM69" s="4"/>
      <c r="KN69" s="4"/>
      <c r="KO69" s="4"/>
      <c r="KP69" s="4"/>
      <c r="KQ69" s="4"/>
      <c r="KR69" s="4"/>
      <c r="KS69" s="4"/>
      <c r="KT69" s="4"/>
      <c r="KU69" s="4"/>
      <c r="KV69" s="4"/>
      <c r="KW69" s="4"/>
      <c r="KX69" s="4"/>
      <c r="KY69" s="4"/>
      <c r="KZ69" s="4"/>
      <c r="LA69" s="4"/>
      <c r="LB69" s="4"/>
      <c r="LC69" s="4"/>
      <c r="LD69" s="4"/>
      <c r="LE69" s="4"/>
      <c r="LF69" s="4"/>
      <c r="LG69" s="4"/>
      <c r="LH69" s="4"/>
      <c r="LI69" s="4"/>
      <c r="LJ69" s="4"/>
      <c r="LK69" s="4"/>
      <c r="LL69" s="4"/>
      <c r="LM69" s="4"/>
      <c r="LN69" s="4"/>
      <c r="LO69" s="4"/>
      <c r="LP69" s="4"/>
      <c r="LQ69" s="4"/>
      <c r="LR69" s="4"/>
      <c r="LS69" s="4"/>
      <c r="LT69" s="4"/>
      <c r="LU69" s="4"/>
      <c r="LV69" s="4"/>
      <c r="LW69" s="4"/>
      <c r="LX69" s="4"/>
      <c r="LY69" s="4"/>
      <c r="LZ69" s="4"/>
      <c r="MA69" s="4"/>
      <c r="MB69" s="4"/>
      <c r="MC69" s="4"/>
      <c r="MD69" s="4"/>
      <c r="ME69" s="4"/>
      <c r="MF69" s="4"/>
      <c r="MG69" s="4"/>
      <c r="MH69" s="4"/>
      <c r="MI69" s="4"/>
      <c r="MJ69" s="4"/>
      <c r="MK69" s="4"/>
      <c r="ML69" s="4"/>
      <c r="MM69" s="4"/>
      <c r="MN69" s="4"/>
      <c r="MO69" s="4"/>
      <c r="MP69" s="4"/>
    </row>
    <row r="70" spans="1:354">
      <c r="A70" s="4"/>
      <c r="B70" s="4"/>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c r="AQ70" s="4"/>
      <c r="AR70" s="4"/>
      <c r="AS70" s="4"/>
      <c r="AT70" s="4"/>
      <c r="AU70" s="4"/>
      <c r="AV70" s="4"/>
      <c r="AW70" s="4"/>
      <c r="AX70" s="4"/>
      <c r="AY70" s="4"/>
      <c r="AZ70" s="4"/>
      <c r="BA70" s="4"/>
      <c r="BB70" s="4"/>
      <c r="BC70" s="4"/>
      <c r="BD70" s="4"/>
      <c r="BE70" s="4"/>
      <c r="BF70" s="4"/>
      <c r="BG70" s="4"/>
      <c r="BH70" s="4"/>
      <c r="BI70" s="4"/>
      <c r="BJ70" s="4"/>
      <c r="BK70" s="4"/>
      <c r="BL70" s="4"/>
      <c r="BM70" s="4"/>
      <c r="BN70" s="4"/>
      <c r="BO70" s="4"/>
      <c r="BP70" s="4"/>
      <c r="BQ70" s="4"/>
      <c r="BR70" s="4"/>
      <c r="BS70" s="4"/>
      <c r="BT70" s="4"/>
      <c r="BU70" s="4"/>
      <c r="BV70" s="4"/>
      <c r="BW70" s="4"/>
      <c r="BX70" s="4"/>
      <c r="BY70" s="4"/>
      <c r="BZ70" s="4"/>
      <c r="CA70" s="4"/>
      <c r="CB70" s="4"/>
      <c r="CC70" s="4"/>
      <c r="CD70" s="4"/>
      <c r="CE70" s="4"/>
      <c r="CF70" s="4"/>
      <c r="CG70" s="4"/>
      <c r="CH70" s="4"/>
      <c r="CI70" s="4"/>
      <c r="CJ70" s="4"/>
      <c r="CK70" s="4"/>
      <c r="CL70" s="4"/>
      <c r="CM70" s="4"/>
      <c r="CN70" s="4"/>
      <c r="CO70" s="4"/>
      <c r="CP70" s="4"/>
      <c r="CQ70" s="4"/>
      <c r="CR70" s="4"/>
      <c r="CS70" s="4"/>
      <c r="CT70" s="4"/>
      <c r="CU70" s="4"/>
      <c r="CV70" s="4"/>
      <c r="CW70" s="4"/>
      <c r="CX70" s="4"/>
      <c r="CY70" s="4"/>
      <c r="CZ70" s="4"/>
      <c r="DA70" s="4"/>
      <c r="DB70" s="4"/>
      <c r="DC70" s="4"/>
      <c r="DD70" s="4"/>
      <c r="DE70" s="4"/>
      <c r="DF70" s="4"/>
      <c r="DG70" s="4"/>
      <c r="DH70" s="4"/>
      <c r="DI70" s="4"/>
      <c r="DJ70" s="4"/>
      <c r="DK70" s="4"/>
      <c r="DL70" s="4"/>
      <c r="DM70" s="4"/>
      <c r="DN70" s="4"/>
      <c r="DO70" s="4"/>
      <c r="DP70" s="4"/>
      <c r="DQ70" s="4"/>
      <c r="DR70" s="4"/>
      <c r="DS70" s="4"/>
      <c r="DT70" s="4"/>
      <c r="DU70" s="4"/>
      <c r="DV70" s="4"/>
      <c r="DW70" s="4"/>
      <c r="DX70" s="4"/>
      <c r="DY70" s="4"/>
      <c r="DZ70" s="4"/>
      <c r="EA70" s="4"/>
      <c r="EB70" s="4"/>
      <c r="EC70" s="4"/>
      <c r="ED70" s="4"/>
      <c r="EE70" s="4"/>
      <c r="EF70" s="4"/>
      <c r="EG70" s="4"/>
      <c r="EH70" s="4"/>
      <c r="EI70" s="4"/>
      <c r="EJ70" s="4"/>
      <c r="EK70" s="4"/>
      <c r="EL70" s="4"/>
      <c r="EM70" s="4"/>
      <c r="EN70" s="4"/>
      <c r="EO70" s="4"/>
      <c r="EP70" s="4"/>
      <c r="EQ70" s="4"/>
      <c r="ER70" s="4"/>
      <c r="ES70" s="4"/>
      <c r="ET70" s="4"/>
      <c r="EU70" s="4"/>
      <c r="EV70" s="4"/>
      <c r="EW70" s="4"/>
      <c r="EX70" s="4"/>
      <c r="EY70" s="4"/>
      <c r="EZ70" s="4"/>
      <c r="FA70" s="4"/>
      <c r="FB70" s="4"/>
      <c r="FC70" s="4"/>
      <c r="FD70" s="4"/>
      <c r="FE70" s="4"/>
      <c r="FF70" s="4"/>
      <c r="FG70" s="4"/>
      <c r="FH70" s="4"/>
      <c r="FI70" s="4"/>
      <c r="FJ70" s="4"/>
      <c r="FK70" s="4"/>
      <c r="FL70" s="4"/>
      <c r="FM70" s="4"/>
      <c r="FN70" s="4"/>
      <c r="FO70" s="4"/>
      <c r="FP70" s="4"/>
      <c r="FQ70" s="4"/>
      <c r="FR70" s="4"/>
      <c r="FS70" s="4"/>
      <c r="FT70" s="4"/>
      <c r="FU70" s="4"/>
      <c r="FV70" s="4"/>
      <c r="FW70" s="4"/>
      <c r="FX70" s="4"/>
      <c r="FY70" s="4"/>
      <c r="FZ70" s="4"/>
      <c r="GA70" s="4"/>
      <c r="GB70" s="4"/>
      <c r="GC70" s="4"/>
      <c r="GD70" s="4"/>
      <c r="GE70" s="4"/>
      <c r="GF70" s="4"/>
      <c r="GG70" s="4"/>
      <c r="GH70" s="4"/>
      <c r="GI70" s="4"/>
      <c r="GJ70" s="4"/>
      <c r="GK70" s="4"/>
      <c r="GL70" s="4"/>
      <c r="GM70" s="4"/>
      <c r="GN70" s="4"/>
      <c r="GO70" s="4"/>
      <c r="GP70" s="4"/>
      <c r="GQ70" s="4"/>
      <c r="GR70" s="4"/>
      <c r="GS70" s="4"/>
      <c r="GT70" s="4"/>
      <c r="GU70" s="4"/>
      <c r="GV70" s="4"/>
      <c r="GW70" s="4"/>
      <c r="GX70" s="4"/>
      <c r="GY70" s="4"/>
      <c r="GZ70" s="4"/>
      <c r="HA70" s="4"/>
      <c r="HB70" s="4"/>
      <c r="HC70" s="4"/>
      <c r="HD70" s="4"/>
      <c r="HE70" s="4"/>
      <c r="HF70" s="4"/>
      <c r="HG70" s="4"/>
      <c r="HH70" s="4"/>
      <c r="HI70" s="4"/>
      <c r="HJ70" s="4"/>
      <c r="HK70" s="4"/>
      <c r="HL70" s="4"/>
      <c r="HM70" s="4"/>
      <c r="HN70" s="4"/>
      <c r="HO70" s="4"/>
      <c r="HP70" s="4"/>
      <c r="HQ70" s="4"/>
      <c r="HR70" s="4"/>
      <c r="HS70" s="4"/>
      <c r="HT70" s="4"/>
      <c r="HU70" s="4"/>
      <c r="HV70" s="4"/>
      <c r="HW70" s="4"/>
      <c r="HX70" s="4"/>
      <c r="HY70" s="4"/>
      <c r="HZ70" s="4"/>
      <c r="IA70" s="4"/>
      <c r="IB70" s="4"/>
      <c r="IC70" s="4"/>
      <c r="ID70" s="4"/>
      <c r="IE70" s="4"/>
      <c r="IF70" s="4"/>
      <c r="IG70" s="4"/>
      <c r="IH70" s="4"/>
      <c r="II70" s="4"/>
      <c r="IJ70" s="4"/>
      <c r="IK70" s="4"/>
      <c r="IL70" s="4"/>
      <c r="IM70" s="4"/>
      <c r="IN70" s="4"/>
      <c r="IO70" s="4"/>
      <c r="IP70" s="4"/>
      <c r="IQ70" s="4"/>
      <c r="IR70" s="4"/>
      <c r="IS70" s="4"/>
      <c r="IT70" s="4"/>
      <c r="IU70" s="4"/>
      <c r="IV70" s="4"/>
      <c r="IW70" s="4"/>
      <c r="IX70" s="4"/>
      <c r="IY70" s="4"/>
      <c r="IZ70" s="4"/>
      <c r="JA70" s="4"/>
      <c r="JB70" s="4"/>
      <c r="JC70" s="4"/>
      <c r="JD70" s="4"/>
      <c r="JE70" s="4"/>
      <c r="JF70" s="4"/>
      <c r="JG70" s="4"/>
      <c r="JH70" s="4"/>
      <c r="JI70" s="4"/>
      <c r="JJ70" s="4"/>
      <c r="JK70" s="4"/>
      <c r="JL70" s="4"/>
      <c r="JM70" s="4"/>
      <c r="JN70" s="4"/>
      <c r="JO70" s="4"/>
      <c r="JP70" s="4"/>
      <c r="JQ70" s="4"/>
      <c r="JR70" s="4"/>
      <c r="JS70" s="4"/>
      <c r="JT70" s="4"/>
      <c r="JU70" s="4"/>
      <c r="JV70" s="4"/>
      <c r="JW70" s="4"/>
      <c r="JX70" s="4"/>
      <c r="JY70" s="4"/>
      <c r="JZ70" s="4"/>
      <c r="KA70" s="4"/>
      <c r="KB70" s="4"/>
      <c r="KC70" s="4"/>
      <c r="KD70" s="4"/>
      <c r="KE70" s="4"/>
      <c r="KF70" s="4"/>
      <c r="KG70" s="4"/>
      <c r="KH70" s="4"/>
      <c r="KI70" s="4"/>
      <c r="KJ70" s="4"/>
      <c r="KK70" s="4"/>
      <c r="KL70" s="4"/>
      <c r="KM70" s="4"/>
      <c r="KN70" s="4"/>
      <c r="KO70" s="4"/>
      <c r="KP70" s="4"/>
      <c r="KQ70" s="4"/>
      <c r="KR70" s="4"/>
      <c r="KS70" s="4"/>
      <c r="KT70" s="4"/>
      <c r="KU70" s="4"/>
      <c r="KV70" s="4"/>
      <c r="KW70" s="4"/>
      <c r="KX70" s="4"/>
      <c r="KY70" s="4"/>
      <c r="KZ70" s="4"/>
      <c r="LA70" s="4"/>
      <c r="LB70" s="4"/>
      <c r="LC70" s="4"/>
      <c r="LD70" s="4"/>
      <c r="LE70" s="4"/>
      <c r="LF70" s="4"/>
      <c r="LG70" s="4"/>
      <c r="LH70" s="4"/>
      <c r="LI70" s="4"/>
      <c r="LJ70" s="4"/>
      <c r="LK70" s="4"/>
      <c r="LL70" s="4"/>
      <c r="LM70" s="4"/>
      <c r="LN70" s="4"/>
      <c r="LO70" s="4"/>
      <c r="LP70" s="4"/>
      <c r="LQ70" s="4"/>
      <c r="LR70" s="4"/>
      <c r="LS70" s="4"/>
      <c r="LT70" s="4"/>
      <c r="LU70" s="4"/>
      <c r="LV70" s="4"/>
      <c r="LW70" s="4"/>
      <c r="LX70" s="4"/>
      <c r="LY70" s="4"/>
      <c r="LZ70" s="4"/>
      <c r="MA70" s="4"/>
      <c r="MB70" s="4"/>
      <c r="MC70" s="4"/>
      <c r="MD70" s="4"/>
      <c r="ME70" s="4"/>
      <c r="MF70" s="4"/>
      <c r="MG70" s="4"/>
      <c r="MH70" s="4"/>
      <c r="MI70" s="4"/>
      <c r="MJ70" s="4"/>
      <c r="MK70" s="4"/>
      <c r="ML70" s="4"/>
      <c r="MM70" s="4"/>
      <c r="MN70" s="4"/>
      <c r="MO70" s="4"/>
      <c r="MP70" s="4"/>
    </row>
    <row r="71" spans="1:354">
      <c r="A71" s="4"/>
      <c r="B71" s="4"/>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c r="AQ71" s="4"/>
      <c r="AR71" s="4"/>
      <c r="AS71" s="4"/>
      <c r="AT71" s="4"/>
      <c r="AU71" s="4"/>
      <c r="AV71" s="4"/>
      <c r="AW71" s="4"/>
      <c r="AX71" s="4"/>
      <c r="AY71" s="4"/>
      <c r="AZ71" s="4"/>
      <c r="BA71" s="4"/>
      <c r="BB71" s="4"/>
      <c r="BC71" s="4"/>
      <c r="BD71" s="4"/>
      <c r="BE71" s="4"/>
      <c r="BF71" s="4"/>
      <c r="BG71" s="4"/>
      <c r="BH71" s="4"/>
      <c r="BI71" s="4"/>
      <c r="BJ71" s="4"/>
      <c r="BK71" s="4"/>
      <c r="BL71" s="4"/>
      <c r="BM71" s="4"/>
      <c r="BN71" s="4"/>
      <c r="BO71" s="4"/>
      <c r="BP71" s="4"/>
      <c r="BQ71" s="4"/>
      <c r="BR71" s="4"/>
      <c r="BS71" s="4"/>
      <c r="BT71" s="4"/>
      <c r="BU71" s="4"/>
      <c r="BV71" s="4"/>
      <c r="BW71" s="4"/>
      <c r="BX71" s="4"/>
      <c r="BY71" s="4"/>
      <c r="BZ71" s="4"/>
      <c r="CA71" s="4"/>
      <c r="CB71" s="4"/>
      <c r="CC71" s="4"/>
      <c r="CD71" s="4"/>
      <c r="CE71" s="4"/>
      <c r="CF71" s="4"/>
      <c r="CG71" s="4"/>
      <c r="CH71" s="4"/>
      <c r="CI71" s="4"/>
      <c r="CJ71" s="4"/>
      <c r="CK71" s="4"/>
      <c r="CL71" s="4"/>
      <c r="CM71" s="4"/>
      <c r="CN71" s="4"/>
      <c r="CO71" s="4"/>
      <c r="CP71" s="4"/>
      <c r="CQ71" s="4"/>
      <c r="CR71" s="4"/>
      <c r="CS71" s="4"/>
      <c r="CT71" s="4"/>
      <c r="CU71" s="4"/>
      <c r="CV71" s="4"/>
      <c r="CW71" s="4"/>
      <c r="CX71" s="4"/>
      <c r="CY71" s="4"/>
      <c r="CZ71" s="4"/>
      <c r="DA71" s="4"/>
      <c r="DB71" s="4"/>
      <c r="DC71" s="4"/>
      <c r="DD71" s="4"/>
      <c r="DE71" s="4"/>
      <c r="DF71" s="4"/>
      <c r="DG71" s="4"/>
      <c r="DH71" s="4"/>
      <c r="DI71" s="4"/>
      <c r="DJ71" s="4"/>
      <c r="DK71" s="4"/>
      <c r="DL71" s="4"/>
      <c r="DM71" s="4"/>
      <c r="DN71" s="4"/>
      <c r="DO71" s="4"/>
      <c r="DP71" s="4"/>
      <c r="DQ71" s="4"/>
      <c r="DR71" s="4"/>
      <c r="DS71" s="4"/>
      <c r="DT71" s="4"/>
      <c r="DU71" s="4"/>
      <c r="DV71" s="4"/>
      <c r="DW71" s="4"/>
      <c r="DX71" s="4"/>
      <c r="DY71" s="4"/>
      <c r="DZ71" s="4"/>
      <c r="EA71" s="4"/>
      <c r="EB71" s="4"/>
      <c r="EC71" s="4"/>
      <c r="ED71" s="4"/>
      <c r="EE71" s="4"/>
      <c r="EF71" s="4"/>
      <c r="EG71" s="4"/>
      <c r="EH71" s="4"/>
      <c r="EI71" s="4"/>
      <c r="EJ71" s="4"/>
      <c r="EK71" s="4"/>
      <c r="EL71" s="4"/>
      <c r="EM71" s="4"/>
      <c r="EN71" s="4"/>
      <c r="EO71" s="4"/>
      <c r="EP71" s="4"/>
      <c r="EQ71" s="4"/>
      <c r="ER71" s="4"/>
      <c r="ES71" s="4"/>
      <c r="ET71" s="4"/>
      <c r="EU71" s="4"/>
      <c r="EV71" s="4"/>
      <c r="EW71" s="4"/>
      <c r="EX71" s="4"/>
      <c r="EY71" s="4"/>
      <c r="EZ71" s="4"/>
      <c r="FA71" s="4"/>
      <c r="FB71" s="4"/>
      <c r="FC71" s="4"/>
      <c r="FD71" s="4"/>
      <c r="FE71" s="4"/>
      <c r="FF71" s="4"/>
      <c r="FG71" s="4"/>
      <c r="FH71" s="4"/>
      <c r="FI71" s="4"/>
      <c r="FJ71" s="4"/>
      <c r="FK71" s="4"/>
      <c r="FL71" s="4"/>
      <c r="FM71" s="4"/>
      <c r="FN71" s="4"/>
      <c r="FO71" s="4"/>
      <c r="FP71" s="4"/>
      <c r="FQ71" s="4"/>
      <c r="FR71" s="4"/>
      <c r="FS71" s="4"/>
      <c r="FT71" s="4"/>
      <c r="FU71" s="4"/>
      <c r="FV71" s="4"/>
      <c r="FW71" s="4"/>
      <c r="FX71" s="4"/>
      <c r="FY71" s="4"/>
      <c r="FZ71" s="4"/>
      <c r="GA71" s="4"/>
      <c r="GB71" s="4"/>
      <c r="GC71" s="4"/>
      <c r="GD71" s="4"/>
      <c r="GE71" s="4"/>
      <c r="GF71" s="4"/>
      <c r="GG71" s="4"/>
      <c r="GH71" s="4"/>
      <c r="GI71" s="4"/>
      <c r="GJ71" s="4"/>
      <c r="GK71" s="4"/>
      <c r="GL71" s="4"/>
      <c r="GM71" s="4"/>
      <c r="GN71" s="4"/>
      <c r="GO71" s="4"/>
      <c r="GP71" s="4"/>
      <c r="GQ71" s="4"/>
      <c r="GR71" s="4"/>
      <c r="GS71" s="4"/>
      <c r="GT71" s="4"/>
      <c r="GU71" s="4"/>
      <c r="GV71" s="4"/>
      <c r="GW71" s="4"/>
      <c r="GX71" s="4"/>
      <c r="GY71" s="4"/>
      <c r="GZ71" s="4"/>
      <c r="HA71" s="4"/>
      <c r="HB71" s="4"/>
      <c r="HC71" s="4"/>
      <c r="HD71" s="4"/>
      <c r="HE71" s="4"/>
      <c r="HF71" s="4"/>
      <c r="HG71" s="4"/>
      <c r="HH71" s="4"/>
      <c r="HI71" s="4"/>
      <c r="HJ71" s="4"/>
      <c r="HK71" s="4"/>
      <c r="HL71" s="4"/>
      <c r="HM71" s="4"/>
      <c r="HN71" s="4"/>
      <c r="HO71" s="4"/>
      <c r="HP71" s="4"/>
      <c r="HQ71" s="4"/>
      <c r="HR71" s="4"/>
      <c r="HS71" s="4"/>
      <c r="HT71" s="4"/>
      <c r="HU71" s="4"/>
      <c r="HV71" s="4"/>
      <c r="HW71" s="4"/>
      <c r="HX71" s="4"/>
      <c r="HY71" s="4"/>
      <c r="HZ71" s="4"/>
      <c r="IA71" s="4"/>
      <c r="IB71" s="4"/>
      <c r="IC71" s="4"/>
      <c r="ID71" s="4"/>
      <c r="IE71" s="4"/>
      <c r="IF71" s="4"/>
      <c r="IG71" s="4"/>
      <c r="IH71" s="4"/>
      <c r="II71" s="4"/>
      <c r="IJ71" s="4"/>
      <c r="IK71" s="4"/>
      <c r="IL71" s="4"/>
      <c r="IM71" s="4"/>
      <c r="IN71" s="4"/>
      <c r="IO71" s="4"/>
      <c r="IP71" s="4"/>
      <c r="IQ71" s="4"/>
      <c r="IR71" s="4"/>
      <c r="IS71" s="4"/>
      <c r="IT71" s="4"/>
      <c r="IU71" s="4"/>
      <c r="IV71" s="4"/>
      <c r="IW71" s="4"/>
      <c r="IX71" s="4"/>
      <c r="IY71" s="4"/>
      <c r="IZ71" s="4"/>
      <c r="JA71" s="4"/>
      <c r="JB71" s="4"/>
      <c r="JC71" s="4"/>
      <c r="JD71" s="4"/>
      <c r="JE71" s="4"/>
      <c r="JF71" s="4"/>
      <c r="JG71" s="4"/>
      <c r="JH71" s="4"/>
      <c r="JI71" s="4"/>
      <c r="JJ71" s="4"/>
      <c r="JK71" s="4"/>
      <c r="JL71" s="4"/>
      <c r="JM71" s="4"/>
      <c r="JN71" s="4"/>
      <c r="JO71" s="4"/>
      <c r="JP71" s="4"/>
      <c r="JQ71" s="4"/>
      <c r="JR71" s="4"/>
      <c r="JS71" s="4"/>
      <c r="JT71" s="4"/>
      <c r="JU71" s="4"/>
      <c r="JV71" s="4"/>
      <c r="JW71" s="4"/>
      <c r="JX71" s="4"/>
      <c r="JY71" s="4"/>
      <c r="JZ71" s="4"/>
      <c r="KA71" s="4"/>
      <c r="KB71" s="4"/>
      <c r="KC71" s="4"/>
      <c r="KD71" s="4"/>
      <c r="KE71" s="4"/>
      <c r="KF71" s="4"/>
      <c r="KG71" s="4"/>
      <c r="KH71" s="4"/>
      <c r="KI71" s="4"/>
      <c r="KJ71" s="4"/>
      <c r="KK71" s="4"/>
      <c r="KL71" s="4"/>
      <c r="KM71" s="4"/>
      <c r="KN71" s="4"/>
      <c r="KO71" s="4"/>
      <c r="KP71" s="4"/>
      <c r="KQ71" s="4"/>
      <c r="KR71" s="4"/>
      <c r="KS71" s="4"/>
      <c r="KT71" s="4"/>
      <c r="KU71" s="4"/>
      <c r="KV71" s="4"/>
      <c r="KW71" s="4"/>
      <c r="KX71" s="4"/>
      <c r="KY71" s="4"/>
      <c r="KZ71" s="4"/>
      <c r="LA71" s="4"/>
      <c r="LB71" s="4"/>
      <c r="LC71" s="4"/>
      <c r="LD71" s="4"/>
      <c r="LE71" s="4"/>
      <c r="LF71" s="4"/>
      <c r="LG71" s="4"/>
      <c r="LH71" s="4"/>
      <c r="LI71" s="4"/>
      <c r="LJ71" s="4"/>
      <c r="LK71" s="4"/>
      <c r="LL71" s="4"/>
      <c r="LM71" s="4"/>
      <c r="LN71" s="4"/>
      <c r="LO71" s="4"/>
      <c r="LP71" s="4"/>
      <c r="LQ71" s="4"/>
      <c r="LR71" s="4"/>
      <c r="LS71" s="4"/>
      <c r="LT71" s="4"/>
      <c r="LU71" s="4"/>
      <c r="LV71" s="4"/>
      <c r="LW71" s="4"/>
      <c r="LX71" s="4"/>
      <c r="LY71" s="4"/>
      <c r="LZ71" s="4"/>
      <c r="MA71" s="4"/>
      <c r="MB71" s="4"/>
      <c r="MC71" s="4"/>
      <c r="MD71" s="4"/>
      <c r="ME71" s="4"/>
      <c r="MF71" s="4"/>
      <c r="MG71" s="4"/>
      <c r="MH71" s="4"/>
      <c r="MI71" s="4"/>
      <c r="MJ71" s="4"/>
      <c r="MK71" s="4"/>
      <c r="ML71" s="4"/>
      <c r="MM71" s="4"/>
      <c r="MN71" s="4"/>
      <c r="MO71" s="4"/>
      <c r="MP71" s="4"/>
    </row>
    <row r="72" spans="1:354">
      <c r="A72" s="4"/>
      <c r="B72" s="4"/>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c r="AQ72" s="4"/>
      <c r="AR72" s="4"/>
      <c r="AS72" s="4"/>
      <c r="AT72" s="4"/>
      <c r="AU72" s="4"/>
      <c r="AV72" s="4"/>
      <c r="AW72" s="4"/>
      <c r="AX72" s="4"/>
      <c r="AY72" s="4"/>
      <c r="AZ72" s="4"/>
      <c r="BA72" s="4"/>
      <c r="BB72" s="4"/>
      <c r="BC72" s="4"/>
      <c r="BD72" s="4"/>
      <c r="BE72" s="4"/>
      <c r="BF72" s="4"/>
      <c r="BG72" s="4"/>
      <c r="BH72" s="4"/>
      <c r="BI72" s="4"/>
      <c r="BJ72" s="4"/>
      <c r="BK72" s="4"/>
      <c r="BL72" s="4"/>
      <c r="BM72" s="4"/>
      <c r="BN72" s="4"/>
      <c r="BO72" s="4"/>
      <c r="BP72" s="4"/>
      <c r="BQ72" s="4"/>
      <c r="BR72" s="4"/>
      <c r="BS72" s="4"/>
      <c r="BT72" s="4"/>
      <c r="BU72" s="4"/>
      <c r="BV72" s="4"/>
      <c r="BW72" s="4"/>
      <c r="BX72" s="4"/>
      <c r="BY72" s="4"/>
      <c r="BZ72" s="4"/>
      <c r="CA72" s="4"/>
      <c r="CB72" s="4"/>
      <c r="CC72" s="4"/>
      <c r="CD72" s="4"/>
      <c r="CE72" s="4"/>
      <c r="CF72" s="4"/>
      <c r="CG72" s="4"/>
      <c r="CH72" s="4"/>
      <c r="CI72" s="4"/>
      <c r="CJ72" s="4"/>
      <c r="CK72" s="4"/>
      <c r="CL72" s="4"/>
      <c r="CM72" s="4"/>
      <c r="CN72" s="4"/>
      <c r="CO72" s="4"/>
      <c r="CP72" s="4"/>
      <c r="CQ72" s="4"/>
      <c r="CR72" s="4"/>
      <c r="CS72" s="4"/>
      <c r="CT72" s="4"/>
      <c r="CU72" s="4"/>
      <c r="CV72" s="4"/>
      <c r="CW72" s="4"/>
      <c r="CX72" s="4"/>
      <c r="CY72" s="4"/>
      <c r="CZ72" s="4"/>
      <c r="DA72" s="4"/>
      <c r="DB72" s="4"/>
      <c r="DC72" s="4"/>
      <c r="DD72" s="4"/>
      <c r="DE72" s="4"/>
      <c r="DF72" s="4"/>
      <c r="DG72" s="4"/>
      <c r="DH72" s="4"/>
      <c r="DI72" s="4"/>
      <c r="DJ72" s="4"/>
      <c r="DK72" s="4"/>
      <c r="DL72" s="4"/>
      <c r="DM72" s="4"/>
      <c r="DN72" s="4"/>
      <c r="DO72" s="4"/>
      <c r="DP72" s="4"/>
      <c r="DQ72" s="4"/>
      <c r="DR72" s="4"/>
      <c r="DS72" s="4"/>
      <c r="DT72" s="4"/>
      <c r="DU72" s="4"/>
      <c r="DV72" s="4"/>
      <c r="DW72" s="4"/>
      <c r="DX72" s="4"/>
      <c r="DY72" s="4"/>
      <c r="DZ72" s="4"/>
      <c r="EA72" s="4"/>
      <c r="EB72" s="4"/>
      <c r="EC72" s="4"/>
      <c r="ED72" s="4"/>
      <c r="EE72" s="4"/>
      <c r="EF72" s="4"/>
      <c r="EG72" s="4"/>
      <c r="EH72" s="4"/>
      <c r="EI72" s="4"/>
      <c r="EJ72" s="4"/>
      <c r="EK72" s="4"/>
      <c r="EL72" s="4"/>
      <c r="EM72" s="4"/>
      <c r="EN72" s="4"/>
      <c r="EO72" s="4"/>
      <c r="EP72" s="4"/>
      <c r="EQ72" s="4"/>
      <c r="ER72" s="4"/>
      <c r="ES72" s="4"/>
      <c r="ET72" s="4"/>
      <c r="EU72" s="4"/>
      <c r="EV72" s="4"/>
      <c r="EW72" s="4"/>
      <c r="EX72" s="4"/>
      <c r="EY72" s="4"/>
      <c r="EZ72" s="4"/>
      <c r="FA72" s="4"/>
      <c r="FB72" s="4"/>
      <c r="FC72" s="4"/>
      <c r="FD72" s="4"/>
      <c r="FE72" s="4"/>
      <c r="FF72" s="4"/>
      <c r="FG72" s="4"/>
      <c r="FH72" s="4"/>
      <c r="FI72" s="4"/>
      <c r="FJ72" s="4"/>
      <c r="FK72" s="4"/>
      <c r="FL72" s="4"/>
      <c r="FM72" s="4"/>
      <c r="FN72" s="4"/>
      <c r="FO72" s="4"/>
      <c r="FP72" s="4"/>
      <c r="FQ72" s="4"/>
      <c r="FR72" s="4"/>
      <c r="FS72" s="4"/>
      <c r="FT72" s="4"/>
      <c r="FU72" s="4"/>
      <c r="FV72" s="4"/>
      <c r="FW72" s="4"/>
      <c r="FX72" s="4"/>
      <c r="FY72" s="4"/>
      <c r="FZ72" s="4"/>
      <c r="GA72" s="4"/>
      <c r="GB72" s="4"/>
      <c r="GC72" s="4"/>
      <c r="GD72" s="4"/>
      <c r="GE72" s="4"/>
      <c r="GF72" s="4"/>
      <c r="GG72" s="4"/>
      <c r="GH72" s="4"/>
      <c r="GI72" s="4"/>
      <c r="GJ72" s="4"/>
      <c r="GK72" s="4"/>
      <c r="GL72" s="4"/>
      <c r="GM72" s="4"/>
      <c r="GN72" s="4"/>
      <c r="GO72" s="4"/>
      <c r="GP72" s="4"/>
      <c r="GQ72" s="4"/>
      <c r="GR72" s="4"/>
      <c r="GS72" s="4"/>
      <c r="GT72" s="4"/>
      <c r="GU72" s="4"/>
      <c r="GV72" s="4"/>
      <c r="GW72" s="4"/>
      <c r="GX72" s="4"/>
      <c r="GY72" s="4"/>
      <c r="GZ72" s="4"/>
      <c r="HA72" s="4"/>
      <c r="HB72" s="4"/>
      <c r="HC72" s="4"/>
      <c r="HD72" s="4"/>
      <c r="HE72" s="4"/>
      <c r="HF72" s="4"/>
      <c r="HG72" s="4"/>
      <c r="HH72" s="4"/>
      <c r="HI72" s="4"/>
      <c r="HJ72" s="4"/>
      <c r="HK72" s="4"/>
      <c r="HL72" s="4"/>
      <c r="HM72" s="4"/>
      <c r="HN72" s="4"/>
      <c r="HO72" s="4"/>
      <c r="HP72" s="4"/>
      <c r="HQ72" s="4"/>
      <c r="HR72" s="4"/>
      <c r="HS72" s="4"/>
      <c r="HT72" s="4"/>
      <c r="HU72" s="4"/>
      <c r="HV72" s="4"/>
      <c r="HW72" s="4"/>
      <c r="HX72" s="4"/>
      <c r="HY72" s="4"/>
      <c r="HZ72" s="4"/>
      <c r="IA72" s="4"/>
      <c r="IB72" s="4"/>
      <c r="IC72" s="4"/>
      <c r="ID72" s="4"/>
      <c r="IE72" s="4"/>
      <c r="IF72" s="4"/>
      <c r="IG72" s="4"/>
      <c r="IH72" s="4"/>
      <c r="II72" s="4"/>
      <c r="IJ72" s="4"/>
      <c r="IK72" s="4"/>
      <c r="IL72" s="4"/>
      <c r="IM72" s="4"/>
      <c r="IN72" s="4"/>
      <c r="IO72" s="4"/>
      <c r="IP72" s="4"/>
      <c r="IQ72" s="4"/>
      <c r="IR72" s="4"/>
      <c r="IS72" s="4"/>
      <c r="IT72" s="4"/>
      <c r="IU72" s="4"/>
      <c r="IV72" s="4"/>
      <c r="IW72" s="4"/>
      <c r="IX72" s="4"/>
      <c r="IY72" s="4"/>
      <c r="IZ72" s="4"/>
      <c r="JA72" s="4"/>
      <c r="JB72" s="4"/>
      <c r="JC72" s="4"/>
      <c r="JD72" s="4"/>
      <c r="JE72" s="4"/>
      <c r="JF72" s="4"/>
      <c r="JG72" s="4"/>
      <c r="JH72" s="4"/>
      <c r="JI72" s="4"/>
      <c r="JJ72" s="4"/>
      <c r="JK72" s="4"/>
      <c r="JL72" s="4"/>
      <c r="JM72" s="4"/>
      <c r="JN72" s="4"/>
      <c r="JO72" s="4"/>
      <c r="JP72" s="4"/>
      <c r="JQ72" s="4"/>
      <c r="JR72" s="4"/>
      <c r="JS72" s="4"/>
      <c r="JT72" s="4"/>
      <c r="JU72" s="4"/>
      <c r="JV72" s="4"/>
      <c r="JW72" s="4"/>
      <c r="JX72" s="4"/>
      <c r="JY72" s="4"/>
      <c r="JZ72" s="4"/>
      <c r="KA72" s="4"/>
      <c r="KB72" s="4"/>
      <c r="KC72" s="4"/>
      <c r="KD72" s="4"/>
      <c r="KE72" s="4"/>
      <c r="KF72" s="4"/>
      <c r="KG72" s="4"/>
      <c r="KH72" s="4"/>
      <c r="KI72" s="4"/>
      <c r="KJ72" s="4"/>
      <c r="KK72" s="4"/>
      <c r="KL72" s="4"/>
      <c r="KM72" s="4"/>
      <c r="KN72" s="4"/>
      <c r="KO72" s="4"/>
      <c r="KP72" s="4"/>
      <c r="KQ72" s="4"/>
      <c r="KR72" s="4"/>
      <c r="KS72" s="4"/>
      <c r="KT72" s="4"/>
      <c r="KU72" s="4"/>
      <c r="KV72" s="4"/>
      <c r="KW72" s="4"/>
      <c r="KX72" s="4"/>
      <c r="KY72" s="4"/>
      <c r="KZ72" s="4"/>
      <c r="LA72" s="4"/>
      <c r="LB72" s="4"/>
      <c r="LC72" s="4"/>
      <c r="LD72" s="4"/>
      <c r="LE72" s="4"/>
      <c r="LF72" s="4"/>
      <c r="LG72" s="4"/>
      <c r="LH72" s="4"/>
      <c r="LI72" s="4"/>
      <c r="LJ72" s="4"/>
      <c r="LK72" s="4"/>
      <c r="LL72" s="4"/>
      <c r="LM72" s="4"/>
      <c r="LN72" s="4"/>
      <c r="LO72" s="4"/>
      <c r="LP72" s="4"/>
      <c r="LQ72" s="4"/>
      <c r="LR72" s="4"/>
      <c r="LS72" s="4"/>
      <c r="LT72" s="4"/>
      <c r="LU72" s="4"/>
      <c r="LV72" s="4"/>
      <c r="LW72" s="4"/>
      <c r="LX72" s="4"/>
      <c r="LY72" s="4"/>
      <c r="LZ72" s="4"/>
      <c r="MA72" s="4"/>
      <c r="MB72" s="4"/>
      <c r="MC72" s="4"/>
      <c r="MD72" s="4"/>
      <c r="ME72" s="4"/>
      <c r="MF72" s="4"/>
      <c r="MG72" s="4"/>
      <c r="MH72" s="4"/>
      <c r="MI72" s="4"/>
      <c r="MJ72" s="4"/>
      <c r="MK72" s="4"/>
      <c r="ML72" s="4"/>
      <c r="MM72" s="4"/>
      <c r="MN72" s="4"/>
      <c r="MO72" s="4"/>
      <c r="MP72" s="4"/>
    </row>
    <row r="73" spans="1:354">
      <c r="A73" s="4"/>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c r="AQ73" s="4"/>
      <c r="AR73" s="4"/>
      <c r="AS73" s="4"/>
      <c r="AT73" s="4"/>
      <c r="AU73" s="4"/>
      <c r="AV73" s="4"/>
      <c r="AW73" s="4"/>
      <c r="AX73" s="4"/>
      <c r="AY73" s="4"/>
      <c r="AZ73" s="4"/>
      <c r="BA73" s="4"/>
      <c r="BB73" s="4"/>
      <c r="BC73" s="4"/>
      <c r="BD73" s="4"/>
      <c r="BE73" s="4"/>
      <c r="BF73" s="4"/>
      <c r="BG73" s="4"/>
      <c r="BH73" s="4"/>
      <c r="BI73" s="4"/>
      <c r="BJ73" s="4"/>
      <c r="BK73" s="4"/>
      <c r="BL73" s="4"/>
      <c r="BM73" s="4"/>
      <c r="BN73" s="4"/>
      <c r="BO73" s="4"/>
      <c r="BP73" s="4"/>
      <c r="BQ73" s="4"/>
      <c r="BR73" s="4"/>
      <c r="BS73" s="4"/>
      <c r="BT73" s="4"/>
      <c r="BU73" s="4"/>
      <c r="BV73" s="4"/>
      <c r="BW73" s="4"/>
      <c r="BX73" s="4"/>
      <c r="BY73" s="4"/>
      <c r="BZ73" s="4"/>
      <c r="CA73" s="4"/>
      <c r="CB73" s="4"/>
      <c r="CC73" s="4"/>
      <c r="CD73" s="4"/>
      <c r="CE73" s="4"/>
      <c r="CF73" s="4"/>
      <c r="CG73" s="4"/>
      <c r="CH73" s="4"/>
      <c r="CI73" s="4"/>
      <c r="CJ73" s="4"/>
      <c r="CK73" s="4"/>
      <c r="CL73" s="4"/>
      <c r="CM73" s="4"/>
      <c r="CN73" s="4"/>
      <c r="CO73" s="4"/>
      <c r="CP73" s="4"/>
      <c r="CQ73" s="4"/>
      <c r="CR73" s="4"/>
      <c r="CS73" s="4"/>
      <c r="CT73" s="4"/>
      <c r="CU73" s="4"/>
      <c r="CV73" s="4"/>
      <c r="CW73" s="4"/>
      <c r="CX73" s="4"/>
      <c r="CY73" s="4"/>
      <c r="CZ73" s="4"/>
      <c r="DA73" s="4"/>
      <c r="DB73" s="4"/>
      <c r="DC73" s="4"/>
      <c r="DD73" s="4"/>
      <c r="DE73" s="4"/>
      <c r="DF73" s="4"/>
      <c r="DG73" s="4"/>
      <c r="DH73" s="4"/>
      <c r="DI73" s="4"/>
      <c r="DJ73" s="4"/>
      <c r="DK73" s="4"/>
      <c r="DL73" s="4"/>
      <c r="DM73" s="4"/>
      <c r="DN73" s="4"/>
      <c r="DO73" s="4"/>
      <c r="DP73" s="4"/>
      <c r="DQ73" s="4"/>
      <c r="DR73" s="4"/>
      <c r="DS73" s="4"/>
      <c r="DT73" s="4"/>
      <c r="DU73" s="4"/>
      <c r="DV73" s="4"/>
      <c r="DW73" s="4"/>
      <c r="DX73" s="4"/>
      <c r="DY73" s="4"/>
      <c r="DZ73" s="4"/>
      <c r="EA73" s="4"/>
      <c r="EB73" s="4"/>
      <c r="EC73" s="4"/>
      <c r="ED73" s="4"/>
      <c r="EE73" s="4"/>
      <c r="EF73" s="4"/>
      <c r="EG73" s="4"/>
      <c r="EH73" s="4"/>
      <c r="EI73" s="4"/>
      <c r="EJ73" s="4"/>
      <c r="EK73" s="4"/>
      <c r="EL73" s="4"/>
      <c r="EM73" s="4"/>
      <c r="EN73" s="4"/>
      <c r="EO73" s="4"/>
      <c r="EP73" s="4"/>
      <c r="EQ73" s="4"/>
      <c r="ER73" s="4"/>
      <c r="ES73" s="4"/>
      <c r="ET73" s="4"/>
      <c r="EU73" s="4"/>
      <c r="EV73" s="4"/>
      <c r="EW73" s="4"/>
      <c r="EX73" s="4"/>
      <c r="EY73" s="4"/>
      <c r="EZ73" s="4"/>
      <c r="FA73" s="4"/>
      <c r="FB73" s="4"/>
      <c r="FC73" s="4"/>
      <c r="FD73" s="4"/>
      <c r="FE73" s="4"/>
      <c r="FF73" s="4"/>
      <c r="FG73" s="4"/>
      <c r="FH73" s="4"/>
      <c r="FI73" s="4"/>
      <c r="FJ73" s="4"/>
      <c r="FK73" s="4"/>
      <c r="FL73" s="4"/>
      <c r="FM73" s="4"/>
      <c r="FN73" s="4"/>
      <c r="FO73" s="4"/>
      <c r="FP73" s="4"/>
      <c r="FQ73" s="4"/>
      <c r="FR73" s="4"/>
      <c r="FS73" s="4"/>
      <c r="FT73" s="4"/>
      <c r="FU73" s="4"/>
      <c r="FV73" s="4"/>
      <c r="FW73" s="4"/>
      <c r="FX73" s="4"/>
      <c r="FY73" s="4"/>
      <c r="FZ73" s="4"/>
      <c r="GA73" s="4"/>
      <c r="GB73" s="4"/>
      <c r="GC73" s="4"/>
      <c r="GD73" s="4"/>
      <c r="GE73" s="4"/>
      <c r="GF73" s="4"/>
      <c r="GG73" s="4"/>
      <c r="GH73" s="4"/>
      <c r="GI73" s="4"/>
      <c r="GJ73" s="4"/>
      <c r="GK73" s="4"/>
      <c r="GL73" s="4"/>
      <c r="GM73" s="4"/>
      <c r="GN73" s="4"/>
      <c r="GO73" s="4"/>
      <c r="GP73" s="4"/>
      <c r="GQ73" s="4"/>
      <c r="GR73" s="4"/>
      <c r="GS73" s="4"/>
      <c r="GT73" s="4"/>
      <c r="GU73" s="4"/>
      <c r="GV73" s="4"/>
      <c r="GW73" s="4"/>
      <c r="GX73" s="4"/>
      <c r="GY73" s="4"/>
      <c r="GZ73" s="4"/>
      <c r="HA73" s="4"/>
      <c r="HB73" s="4"/>
      <c r="HC73" s="4"/>
      <c r="HD73" s="4"/>
      <c r="HE73" s="4"/>
      <c r="HF73" s="4"/>
      <c r="HG73" s="4"/>
      <c r="HH73" s="4"/>
      <c r="HI73" s="4"/>
      <c r="HJ73" s="4"/>
      <c r="HK73" s="4"/>
      <c r="HL73" s="4"/>
      <c r="HM73" s="4"/>
      <c r="HN73" s="4"/>
      <c r="HO73" s="4"/>
      <c r="HP73" s="4"/>
      <c r="HQ73" s="4"/>
      <c r="HR73" s="4"/>
      <c r="HS73" s="4"/>
      <c r="HT73" s="4"/>
      <c r="HU73" s="4"/>
      <c r="HV73" s="4"/>
      <c r="HW73" s="4"/>
      <c r="HX73" s="4"/>
      <c r="HY73" s="4"/>
      <c r="HZ73" s="4"/>
      <c r="IA73" s="4"/>
      <c r="IB73" s="4"/>
      <c r="IC73" s="4"/>
      <c r="ID73" s="4"/>
      <c r="IE73" s="4"/>
      <c r="IF73" s="4"/>
      <c r="IG73" s="4"/>
      <c r="IH73" s="4"/>
      <c r="II73" s="4"/>
      <c r="IJ73" s="4"/>
      <c r="IK73" s="4"/>
      <c r="IL73" s="4"/>
      <c r="IM73" s="4"/>
      <c r="IN73" s="4"/>
      <c r="IO73" s="4"/>
      <c r="IP73" s="4"/>
      <c r="IQ73" s="4"/>
      <c r="IR73" s="4"/>
      <c r="IS73" s="4"/>
      <c r="IT73" s="4"/>
      <c r="IU73" s="4"/>
      <c r="IV73" s="4"/>
      <c r="IW73" s="4"/>
      <c r="IX73" s="4"/>
      <c r="IY73" s="4"/>
      <c r="IZ73" s="4"/>
      <c r="JA73" s="4"/>
      <c r="JB73" s="4"/>
      <c r="JC73" s="4"/>
      <c r="JD73" s="4"/>
      <c r="JE73" s="4"/>
      <c r="JF73" s="4"/>
      <c r="JG73" s="4"/>
      <c r="JH73" s="4"/>
      <c r="JI73" s="4"/>
      <c r="JJ73" s="4"/>
      <c r="JK73" s="4"/>
      <c r="JL73" s="4"/>
      <c r="JM73" s="4"/>
      <c r="JN73" s="4"/>
      <c r="JO73" s="4"/>
      <c r="JP73" s="4"/>
      <c r="JQ73" s="4"/>
      <c r="JR73" s="4"/>
      <c r="JS73" s="4"/>
      <c r="JT73" s="4"/>
      <c r="JU73" s="4"/>
      <c r="JV73" s="4"/>
      <c r="JW73" s="4"/>
      <c r="JX73" s="4"/>
      <c r="JY73" s="4"/>
      <c r="JZ73" s="4"/>
      <c r="KA73" s="4"/>
      <c r="KB73" s="4"/>
      <c r="KC73" s="4"/>
      <c r="KD73" s="4"/>
      <c r="KE73" s="4"/>
      <c r="KF73" s="4"/>
      <c r="KG73" s="4"/>
      <c r="KH73" s="4"/>
      <c r="KI73" s="4"/>
      <c r="KJ73" s="4"/>
      <c r="KK73" s="4"/>
      <c r="KL73" s="4"/>
      <c r="KM73" s="4"/>
      <c r="KN73" s="4"/>
      <c r="KO73" s="4"/>
      <c r="KP73" s="4"/>
      <c r="KQ73" s="4"/>
      <c r="KR73" s="4"/>
      <c r="KS73" s="4"/>
      <c r="KT73" s="4"/>
      <c r="KU73" s="4"/>
      <c r="KV73" s="4"/>
      <c r="KW73" s="4"/>
      <c r="KX73" s="4"/>
      <c r="KY73" s="4"/>
      <c r="KZ73" s="4"/>
      <c r="LA73" s="4"/>
      <c r="LB73" s="4"/>
      <c r="LC73" s="4"/>
      <c r="LD73" s="4"/>
      <c r="LE73" s="4"/>
      <c r="LF73" s="4"/>
      <c r="LG73" s="4"/>
      <c r="LH73" s="4"/>
      <c r="LI73" s="4"/>
      <c r="LJ73" s="4"/>
      <c r="LK73" s="4"/>
      <c r="LL73" s="4"/>
      <c r="LM73" s="4"/>
      <c r="LN73" s="4"/>
      <c r="LO73" s="4"/>
      <c r="LP73" s="4"/>
      <c r="LQ73" s="4"/>
      <c r="LR73" s="4"/>
      <c r="LS73" s="4"/>
      <c r="LT73" s="4"/>
      <c r="LU73" s="4"/>
      <c r="LV73" s="4"/>
      <c r="LW73" s="4"/>
      <c r="LX73" s="4"/>
      <c r="LY73" s="4"/>
      <c r="LZ73" s="4"/>
      <c r="MA73" s="4"/>
      <c r="MB73" s="4"/>
      <c r="MC73" s="4"/>
      <c r="MD73" s="4"/>
      <c r="ME73" s="4"/>
      <c r="MF73" s="4"/>
      <c r="MG73" s="4"/>
      <c r="MH73" s="4"/>
      <c r="MI73" s="4"/>
      <c r="MJ73" s="4"/>
      <c r="MK73" s="4"/>
      <c r="ML73" s="4"/>
      <c r="MM73" s="4"/>
      <c r="MN73" s="4"/>
      <c r="MO73" s="4"/>
      <c r="MP73" s="4"/>
    </row>
    <row r="74" spans="1:354">
      <c r="A74" s="4"/>
      <c r="B74" s="4"/>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c r="AQ74" s="4"/>
      <c r="AR74" s="4"/>
      <c r="AS74" s="4"/>
      <c r="AT74" s="4"/>
      <c r="AU74" s="4"/>
      <c r="AV74" s="4"/>
      <c r="AW74" s="4"/>
      <c r="AX74" s="4"/>
      <c r="AY74" s="4"/>
      <c r="AZ74" s="4"/>
      <c r="BA74" s="4"/>
      <c r="BB74" s="4"/>
      <c r="BC74" s="4"/>
      <c r="BD74" s="4"/>
      <c r="BE74" s="4"/>
      <c r="BF74" s="4"/>
      <c r="BG74" s="4"/>
      <c r="BH74" s="4"/>
      <c r="BI74" s="4"/>
      <c r="BJ74" s="4"/>
      <c r="BK74" s="4"/>
      <c r="BL74" s="4"/>
      <c r="BM74" s="4"/>
      <c r="BN74" s="4"/>
      <c r="BO74" s="4"/>
      <c r="BP74" s="4"/>
      <c r="BQ74" s="4"/>
      <c r="BR74" s="4"/>
      <c r="BS74" s="4"/>
      <c r="BT74" s="4"/>
      <c r="BU74" s="4"/>
      <c r="BV74" s="4"/>
      <c r="BW74" s="4"/>
      <c r="BX74" s="4"/>
      <c r="BY74" s="4"/>
      <c r="BZ74" s="4"/>
      <c r="CA74" s="4"/>
      <c r="CB74" s="4"/>
      <c r="CC74" s="4"/>
      <c r="CD74" s="4"/>
      <c r="CE74" s="4"/>
      <c r="CF74" s="4"/>
      <c r="CG74" s="4"/>
      <c r="CH74" s="4"/>
      <c r="CI74" s="4"/>
      <c r="CJ74" s="4"/>
      <c r="CK74" s="4"/>
      <c r="CL74" s="4"/>
      <c r="CM74" s="4"/>
      <c r="CN74" s="4"/>
      <c r="CO74" s="4"/>
      <c r="CP74" s="4"/>
      <c r="CQ74" s="4"/>
      <c r="CR74" s="4"/>
      <c r="CS74" s="4"/>
      <c r="CT74" s="4"/>
      <c r="CU74" s="4"/>
      <c r="CV74" s="4"/>
      <c r="CW74" s="4"/>
      <c r="CX74" s="4"/>
      <c r="CY74" s="4"/>
      <c r="CZ74" s="4"/>
      <c r="DA74" s="4"/>
      <c r="DB74" s="4"/>
      <c r="DC74" s="4"/>
      <c r="DD74" s="4"/>
      <c r="DE74" s="4"/>
      <c r="DF74" s="4"/>
      <c r="DG74" s="4"/>
      <c r="DH74" s="4"/>
      <c r="DI74" s="4"/>
      <c r="DJ74" s="4"/>
      <c r="DK74" s="4"/>
      <c r="DL74" s="4"/>
      <c r="DM74" s="4"/>
      <c r="DN74" s="4"/>
      <c r="DO74" s="4"/>
      <c r="DP74" s="4"/>
      <c r="DQ74" s="4"/>
      <c r="DR74" s="4"/>
      <c r="DS74" s="4"/>
      <c r="DT74" s="4"/>
      <c r="DU74" s="4"/>
      <c r="DV74" s="4"/>
      <c r="DW74" s="4"/>
      <c r="DX74" s="4"/>
      <c r="DY74" s="4"/>
      <c r="DZ74" s="4"/>
      <c r="EA74" s="4"/>
      <c r="EB74" s="4"/>
      <c r="EC74" s="4"/>
      <c r="ED74" s="4"/>
      <c r="EE74" s="4"/>
      <c r="EF74" s="4"/>
      <c r="EG74" s="4"/>
      <c r="EH74" s="4"/>
      <c r="EI74" s="4"/>
      <c r="EJ74" s="4"/>
      <c r="EK74" s="4"/>
      <c r="EL74" s="4"/>
      <c r="EM74" s="4"/>
      <c r="EN74" s="4"/>
      <c r="EO74" s="4"/>
      <c r="EP74" s="4"/>
      <c r="EQ74" s="4"/>
      <c r="ER74" s="4"/>
      <c r="ES74" s="4"/>
      <c r="ET74" s="4"/>
      <c r="EU74" s="4"/>
      <c r="EV74" s="4"/>
      <c r="EW74" s="4"/>
      <c r="EX74" s="4"/>
      <c r="EY74" s="4"/>
      <c r="EZ74" s="4"/>
      <c r="FA74" s="4"/>
      <c r="FB74" s="4"/>
      <c r="FC74" s="4"/>
      <c r="FD74" s="4"/>
      <c r="FE74" s="4"/>
      <c r="FF74" s="4"/>
      <c r="FG74" s="4"/>
      <c r="FH74" s="4"/>
      <c r="FI74" s="4"/>
      <c r="FJ74" s="4"/>
      <c r="FK74" s="4"/>
      <c r="FL74" s="4"/>
      <c r="FM74" s="4"/>
      <c r="FN74" s="4"/>
      <c r="FO74" s="4"/>
      <c r="FP74" s="4"/>
      <c r="FQ74" s="4"/>
      <c r="FR74" s="4"/>
      <c r="FS74" s="4"/>
      <c r="FT74" s="4"/>
      <c r="FU74" s="4"/>
      <c r="FV74" s="4"/>
      <c r="FW74" s="4"/>
      <c r="FX74" s="4"/>
      <c r="FY74" s="4"/>
      <c r="FZ74" s="4"/>
      <c r="GA74" s="4"/>
      <c r="GB74" s="4"/>
      <c r="GC74" s="4"/>
      <c r="GD74" s="4"/>
      <c r="GE74" s="4"/>
      <c r="GF74" s="4"/>
      <c r="GG74" s="4"/>
      <c r="GH74" s="4"/>
      <c r="GI74" s="4"/>
      <c r="GJ74" s="4"/>
      <c r="GK74" s="4"/>
      <c r="GL74" s="4"/>
      <c r="GM74" s="4"/>
      <c r="GN74" s="4"/>
      <c r="GO74" s="4"/>
      <c r="GP74" s="4"/>
      <c r="GQ74" s="4"/>
      <c r="GR74" s="4"/>
      <c r="GS74" s="4"/>
      <c r="GT74" s="4"/>
      <c r="GU74" s="4"/>
      <c r="GV74" s="4"/>
      <c r="GW74" s="4"/>
      <c r="GX74" s="4"/>
      <c r="GY74" s="4"/>
      <c r="GZ74" s="4"/>
      <c r="HA74" s="4"/>
      <c r="HB74" s="4"/>
      <c r="HC74" s="4"/>
      <c r="HD74" s="4"/>
      <c r="HE74" s="4"/>
      <c r="HF74" s="4"/>
      <c r="HG74" s="4"/>
      <c r="HH74" s="4"/>
      <c r="HI74" s="4"/>
      <c r="HJ74" s="4"/>
      <c r="HK74" s="4"/>
      <c r="HL74" s="4"/>
      <c r="HM74" s="4"/>
      <c r="HN74" s="4"/>
      <c r="HO74" s="4"/>
      <c r="HP74" s="4"/>
      <c r="HQ74" s="4"/>
      <c r="HR74" s="4"/>
      <c r="HS74" s="4"/>
      <c r="HT74" s="4"/>
      <c r="HU74" s="4"/>
      <c r="HV74" s="4"/>
      <c r="HW74" s="4"/>
      <c r="HX74" s="4"/>
      <c r="HY74" s="4"/>
      <c r="HZ74" s="4"/>
      <c r="IA74" s="4"/>
      <c r="IB74" s="4"/>
      <c r="IC74" s="4"/>
      <c r="ID74" s="4"/>
      <c r="IE74" s="4"/>
      <c r="IF74" s="4"/>
      <c r="IG74" s="4"/>
      <c r="IH74" s="4"/>
      <c r="II74" s="4"/>
      <c r="IJ74" s="4"/>
      <c r="IK74" s="4"/>
      <c r="IL74" s="4"/>
      <c r="IM74" s="4"/>
      <c r="IN74" s="4"/>
      <c r="IO74" s="4"/>
      <c r="IP74" s="4"/>
      <c r="IQ74" s="4"/>
      <c r="IR74" s="4"/>
      <c r="IS74" s="4"/>
      <c r="IT74" s="4"/>
      <c r="IU74" s="4"/>
      <c r="IV74" s="4"/>
      <c r="IW74" s="4"/>
      <c r="IX74" s="4"/>
      <c r="IY74" s="4"/>
      <c r="IZ74" s="4"/>
      <c r="JA74" s="4"/>
      <c r="JB74" s="4"/>
      <c r="JC74" s="4"/>
      <c r="JD74" s="4"/>
      <c r="JE74" s="4"/>
      <c r="JF74" s="4"/>
      <c r="JG74" s="4"/>
      <c r="JH74" s="4"/>
      <c r="JI74" s="4"/>
      <c r="JJ74" s="4"/>
      <c r="JK74" s="4"/>
      <c r="JL74" s="4"/>
      <c r="JM74" s="4"/>
      <c r="JN74" s="4"/>
      <c r="JO74" s="4"/>
      <c r="JP74" s="4"/>
      <c r="JQ74" s="4"/>
      <c r="JR74" s="4"/>
      <c r="JS74" s="4"/>
      <c r="JT74" s="4"/>
      <c r="JU74" s="4"/>
      <c r="JV74" s="4"/>
      <c r="JW74" s="4"/>
      <c r="JX74" s="4"/>
      <c r="JY74" s="4"/>
      <c r="JZ74" s="4"/>
      <c r="KA74" s="4"/>
      <c r="KB74" s="4"/>
      <c r="KC74" s="4"/>
      <c r="KD74" s="4"/>
      <c r="KE74" s="4"/>
      <c r="KF74" s="4"/>
      <c r="KG74" s="4"/>
      <c r="KH74" s="4"/>
      <c r="KI74" s="4"/>
      <c r="KJ74" s="4"/>
      <c r="KK74" s="4"/>
      <c r="KL74" s="4"/>
      <c r="KM74" s="4"/>
      <c r="KN74" s="4"/>
      <c r="KO74" s="4"/>
      <c r="KP74" s="4"/>
      <c r="KQ74" s="4"/>
      <c r="KR74" s="4"/>
      <c r="KS74" s="4"/>
      <c r="KT74" s="4"/>
      <c r="KU74" s="4"/>
      <c r="KV74" s="4"/>
      <c r="KW74" s="4"/>
      <c r="KX74" s="4"/>
      <c r="KY74" s="4"/>
      <c r="KZ74" s="4"/>
      <c r="LA74" s="4"/>
      <c r="LB74" s="4"/>
      <c r="LC74" s="4"/>
      <c r="LD74" s="4"/>
      <c r="LE74" s="4"/>
      <c r="LF74" s="4"/>
      <c r="LG74" s="4"/>
      <c r="LH74" s="4"/>
      <c r="LI74" s="4"/>
      <c r="LJ74" s="4"/>
      <c r="LK74" s="4"/>
      <c r="LL74" s="4"/>
      <c r="LM74" s="4"/>
      <c r="LN74" s="4"/>
      <c r="LO74" s="4"/>
      <c r="LP74" s="4"/>
      <c r="LQ74" s="4"/>
      <c r="LR74" s="4"/>
      <c r="LS74" s="4"/>
      <c r="LT74" s="4"/>
      <c r="LU74" s="4"/>
      <c r="LV74" s="4"/>
      <c r="LW74" s="4"/>
      <c r="LX74" s="4"/>
      <c r="LY74" s="4"/>
      <c r="LZ74" s="4"/>
      <c r="MA74" s="4"/>
      <c r="MB74" s="4"/>
      <c r="MC74" s="4"/>
      <c r="MD74" s="4"/>
      <c r="ME74" s="4"/>
      <c r="MF74" s="4"/>
      <c r="MG74" s="4"/>
      <c r="MH74" s="4"/>
      <c r="MI74" s="4"/>
      <c r="MJ74" s="4"/>
      <c r="MK74" s="4"/>
      <c r="ML74" s="4"/>
      <c r="MM74" s="4"/>
      <c r="MN74" s="4"/>
      <c r="MO74" s="4"/>
      <c r="MP74" s="4"/>
    </row>
    <row r="75" spans="1:354">
      <c r="A75" s="4"/>
      <c r="B75" s="4"/>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c r="AQ75" s="4"/>
      <c r="AR75" s="4"/>
      <c r="AS75" s="4"/>
      <c r="AT75" s="4"/>
      <c r="AU75" s="4"/>
      <c r="AV75" s="4"/>
      <c r="AW75" s="4"/>
      <c r="AX75" s="4"/>
      <c r="AY75" s="4"/>
      <c r="AZ75" s="4"/>
      <c r="BA75" s="4"/>
      <c r="BB75" s="4"/>
      <c r="BC75" s="4"/>
      <c r="BD75" s="4"/>
      <c r="BE75" s="4"/>
      <c r="BF75" s="4"/>
      <c r="BG75" s="4"/>
      <c r="BH75" s="4"/>
      <c r="BI75" s="4"/>
      <c r="BJ75" s="4"/>
      <c r="BK75" s="4"/>
      <c r="BL75" s="4"/>
      <c r="BM75" s="4"/>
      <c r="BN75" s="4"/>
      <c r="BO75" s="4"/>
      <c r="BP75" s="4"/>
      <c r="BQ75" s="4"/>
      <c r="BR75" s="4"/>
      <c r="BS75" s="4"/>
      <c r="BT75" s="4"/>
      <c r="BU75" s="4"/>
      <c r="BV75" s="4"/>
      <c r="BW75" s="4"/>
      <c r="BX75" s="4"/>
      <c r="BY75" s="4"/>
      <c r="BZ75" s="4"/>
      <c r="CA75" s="4"/>
      <c r="CB75" s="4"/>
      <c r="CC75" s="4"/>
      <c r="CD75" s="4"/>
      <c r="CE75" s="4"/>
      <c r="CF75" s="4"/>
      <c r="CG75" s="4"/>
      <c r="CH75" s="4"/>
      <c r="CI75" s="4"/>
      <c r="CJ75" s="4"/>
      <c r="CK75" s="4"/>
      <c r="CL75" s="4"/>
      <c r="CM75" s="4"/>
      <c r="CN75" s="4"/>
      <c r="CO75" s="4"/>
      <c r="CP75" s="4"/>
      <c r="CQ75" s="4"/>
      <c r="CR75" s="4"/>
      <c r="CS75" s="4"/>
      <c r="CT75" s="4"/>
      <c r="CU75" s="4"/>
      <c r="CV75" s="4"/>
      <c r="CW75" s="4"/>
      <c r="CX75" s="4"/>
      <c r="CY75" s="4"/>
      <c r="CZ75" s="4"/>
      <c r="DA75" s="4"/>
      <c r="DB75" s="4"/>
      <c r="DC75" s="4"/>
      <c r="DD75" s="4"/>
      <c r="DE75" s="4"/>
      <c r="DF75" s="4"/>
      <c r="DG75" s="4"/>
      <c r="DH75" s="4"/>
      <c r="DI75" s="4"/>
      <c r="DJ75" s="4"/>
      <c r="DK75" s="4"/>
      <c r="DL75" s="4"/>
      <c r="DM75" s="4"/>
      <c r="DN75" s="4"/>
      <c r="DO75" s="4"/>
      <c r="DP75" s="4"/>
      <c r="DQ75" s="4"/>
      <c r="DR75" s="4"/>
      <c r="DS75" s="4"/>
      <c r="DT75" s="4"/>
      <c r="DU75" s="4"/>
      <c r="DV75" s="4"/>
      <c r="DW75" s="4"/>
      <c r="DX75" s="4"/>
      <c r="DY75" s="4"/>
      <c r="DZ75" s="4"/>
      <c r="EA75" s="4"/>
      <c r="EB75" s="4"/>
      <c r="EC75" s="4"/>
      <c r="ED75" s="4"/>
      <c r="EE75" s="4"/>
      <c r="EF75" s="4"/>
      <c r="EG75" s="4"/>
      <c r="EH75" s="4"/>
      <c r="EI75" s="4"/>
      <c r="EJ75" s="4"/>
      <c r="EK75" s="4"/>
      <c r="EL75" s="4"/>
      <c r="EM75" s="4"/>
      <c r="EN75" s="4"/>
      <c r="EO75" s="4"/>
      <c r="EP75" s="4"/>
      <c r="EQ75" s="4"/>
      <c r="ER75" s="4"/>
      <c r="ES75" s="4"/>
      <c r="ET75" s="4"/>
      <c r="EU75" s="4"/>
      <c r="EV75" s="4"/>
      <c r="EW75" s="4"/>
      <c r="EX75" s="4"/>
      <c r="EY75" s="4"/>
      <c r="EZ75" s="4"/>
      <c r="FA75" s="4"/>
      <c r="FB75" s="4"/>
      <c r="FC75" s="4"/>
      <c r="FD75" s="4"/>
      <c r="FE75" s="4"/>
      <c r="FF75" s="4"/>
      <c r="FG75" s="4"/>
      <c r="FH75" s="4"/>
      <c r="FI75" s="4"/>
      <c r="FJ75" s="4"/>
      <c r="FK75" s="4"/>
      <c r="FL75" s="4"/>
      <c r="FM75" s="4"/>
      <c r="FN75" s="4"/>
      <c r="FO75" s="4"/>
      <c r="FP75" s="4"/>
      <c r="FQ75" s="4"/>
      <c r="FR75" s="4"/>
      <c r="FS75" s="4"/>
      <c r="FT75" s="4"/>
      <c r="FU75" s="4"/>
      <c r="FV75" s="4"/>
      <c r="FW75" s="4"/>
      <c r="FX75" s="4"/>
      <c r="FY75" s="4"/>
      <c r="FZ75" s="4"/>
      <c r="GA75" s="4"/>
      <c r="GB75" s="4"/>
      <c r="GC75" s="4"/>
      <c r="GD75" s="4"/>
      <c r="GE75" s="4"/>
      <c r="GF75" s="4"/>
      <c r="GG75" s="4"/>
      <c r="GH75" s="4"/>
      <c r="GI75" s="4"/>
      <c r="GJ75" s="4"/>
      <c r="GK75" s="4"/>
      <c r="GL75" s="4"/>
      <c r="GM75" s="4"/>
      <c r="GN75" s="4"/>
      <c r="GO75" s="4"/>
      <c r="GP75" s="4"/>
      <c r="GQ75" s="4"/>
      <c r="GR75" s="4"/>
      <c r="GS75" s="4"/>
      <c r="GT75" s="4"/>
      <c r="GU75" s="4"/>
      <c r="GV75" s="4"/>
      <c r="GW75" s="4"/>
      <c r="GX75" s="4"/>
      <c r="GY75" s="4"/>
      <c r="GZ75" s="4"/>
      <c r="HA75" s="4"/>
      <c r="HB75" s="4"/>
      <c r="HC75" s="4"/>
      <c r="HD75" s="4"/>
      <c r="HE75" s="4"/>
      <c r="HF75" s="4"/>
      <c r="HG75" s="4"/>
      <c r="HH75" s="4"/>
      <c r="HI75" s="4"/>
      <c r="HJ75" s="4"/>
      <c r="HK75" s="4"/>
      <c r="HL75" s="4"/>
      <c r="HM75" s="4"/>
      <c r="HN75" s="4"/>
      <c r="HO75" s="4"/>
      <c r="HP75" s="4"/>
      <c r="HQ75" s="4"/>
      <c r="HR75" s="4"/>
      <c r="HS75" s="4"/>
      <c r="HT75" s="4"/>
      <c r="HU75" s="4"/>
      <c r="HV75" s="4"/>
      <c r="HW75" s="4"/>
      <c r="HX75" s="4"/>
      <c r="HY75" s="4"/>
      <c r="HZ75" s="4"/>
      <c r="IA75" s="4"/>
      <c r="IB75" s="4"/>
      <c r="IC75" s="4"/>
      <c r="ID75" s="4"/>
      <c r="IE75" s="4"/>
      <c r="IF75" s="4"/>
      <c r="IG75" s="4"/>
      <c r="IH75" s="4"/>
      <c r="II75" s="4"/>
      <c r="IJ75" s="4"/>
      <c r="IK75" s="4"/>
      <c r="IL75" s="4"/>
      <c r="IM75" s="4"/>
      <c r="IN75" s="4"/>
      <c r="IO75" s="4"/>
      <c r="IP75" s="4"/>
      <c r="IQ75" s="4"/>
      <c r="IR75" s="4"/>
      <c r="IS75" s="4"/>
      <c r="IT75" s="4"/>
      <c r="IU75" s="4"/>
      <c r="IV75" s="4"/>
      <c r="IW75" s="4"/>
      <c r="IX75" s="4"/>
      <c r="IY75" s="4"/>
      <c r="IZ75" s="4"/>
      <c r="JA75" s="4"/>
      <c r="JB75" s="4"/>
      <c r="JC75" s="4"/>
      <c r="JD75" s="4"/>
      <c r="JE75" s="4"/>
      <c r="JF75" s="4"/>
      <c r="JG75" s="4"/>
      <c r="JH75" s="4"/>
      <c r="JI75" s="4"/>
      <c r="JJ75" s="4"/>
      <c r="JK75" s="4"/>
      <c r="JL75" s="4"/>
      <c r="JM75" s="4"/>
      <c r="JN75" s="4"/>
      <c r="JO75" s="4"/>
      <c r="JP75" s="4"/>
      <c r="JQ75" s="4"/>
      <c r="JR75" s="4"/>
      <c r="JS75" s="4"/>
      <c r="JT75" s="4"/>
      <c r="JU75" s="4"/>
      <c r="JV75" s="4"/>
      <c r="JW75" s="4"/>
      <c r="JX75" s="4"/>
      <c r="JY75" s="4"/>
      <c r="JZ75" s="4"/>
      <c r="KA75" s="4"/>
      <c r="KB75" s="4"/>
      <c r="KC75" s="4"/>
      <c r="KD75" s="4"/>
      <c r="KE75" s="4"/>
      <c r="KF75" s="4"/>
      <c r="KG75" s="4"/>
      <c r="KH75" s="4"/>
      <c r="KI75" s="4"/>
      <c r="KJ75" s="4"/>
      <c r="KK75" s="4"/>
      <c r="KL75" s="4"/>
      <c r="KM75" s="4"/>
      <c r="KN75" s="4"/>
      <c r="KO75" s="4"/>
      <c r="KP75" s="4"/>
      <c r="KQ75" s="4"/>
      <c r="KR75" s="4"/>
      <c r="KS75" s="4"/>
      <c r="KT75" s="4"/>
      <c r="KU75" s="4"/>
      <c r="KV75" s="4"/>
      <c r="KW75" s="4"/>
      <c r="KX75" s="4"/>
      <c r="KY75" s="4"/>
      <c r="KZ75" s="4"/>
      <c r="LA75" s="4"/>
      <c r="LB75" s="4"/>
      <c r="LC75" s="4"/>
      <c r="LD75" s="4"/>
      <c r="LE75" s="4"/>
      <c r="LF75" s="4"/>
      <c r="LG75" s="4"/>
      <c r="LH75" s="4"/>
      <c r="LI75" s="4"/>
      <c r="LJ75" s="4"/>
      <c r="LK75" s="4"/>
      <c r="LL75" s="4"/>
      <c r="LM75" s="4"/>
      <c r="LN75" s="4"/>
      <c r="LO75" s="4"/>
      <c r="LP75" s="4"/>
      <c r="LQ75" s="4"/>
      <c r="LR75" s="4"/>
      <c r="LS75" s="4"/>
      <c r="LT75" s="4"/>
      <c r="LU75" s="4"/>
      <c r="LV75" s="4"/>
      <c r="LW75" s="4"/>
      <c r="LX75" s="4"/>
      <c r="LY75" s="4"/>
      <c r="LZ75" s="4"/>
      <c r="MA75" s="4"/>
      <c r="MB75" s="4"/>
      <c r="MC75" s="4"/>
      <c r="MD75" s="4"/>
      <c r="ME75" s="4"/>
      <c r="MF75" s="4"/>
      <c r="MG75" s="4"/>
      <c r="MH75" s="4"/>
      <c r="MI75" s="4"/>
      <c r="MJ75" s="4"/>
      <c r="MK75" s="4"/>
      <c r="ML75" s="4"/>
      <c r="MM75" s="4"/>
      <c r="MN75" s="4"/>
      <c r="MO75" s="4"/>
      <c r="MP75" s="4"/>
    </row>
    <row r="76" spans="1:354">
      <c r="A76" s="4"/>
      <c r="B76" s="4"/>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c r="AQ76" s="4"/>
      <c r="AR76" s="4"/>
      <c r="AS76" s="4"/>
      <c r="AT76" s="4"/>
      <c r="AU76" s="4"/>
      <c r="AV76" s="4"/>
      <c r="AW76" s="4"/>
      <c r="AX76" s="4"/>
      <c r="AY76" s="4"/>
      <c r="AZ76" s="4"/>
      <c r="BA76" s="4"/>
      <c r="BB76" s="4"/>
      <c r="BC76" s="4"/>
      <c r="BD76" s="4"/>
      <c r="BE76" s="4"/>
      <c r="BF76" s="4"/>
      <c r="BG76" s="4"/>
      <c r="BH76" s="4"/>
      <c r="BI76" s="4"/>
      <c r="BJ76" s="4"/>
      <c r="BK76" s="4"/>
      <c r="BL76" s="4"/>
      <c r="BM76" s="4"/>
      <c r="BN76" s="4"/>
      <c r="BO76" s="4"/>
      <c r="BP76" s="4"/>
      <c r="BQ76" s="4"/>
      <c r="BR76" s="4"/>
      <c r="BS76" s="4"/>
      <c r="BT76" s="4"/>
      <c r="BU76" s="4"/>
      <c r="BV76" s="4"/>
      <c r="BW76" s="4"/>
      <c r="BX76" s="4"/>
      <c r="BY76" s="4"/>
      <c r="BZ76" s="4"/>
      <c r="CA76" s="4"/>
      <c r="CB76" s="4"/>
      <c r="CC76" s="4"/>
      <c r="CD76" s="4"/>
      <c r="CE76" s="4"/>
      <c r="CF76" s="4"/>
      <c r="CG76" s="4"/>
      <c r="CH76" s="4"/>
      <c r="CI76" s="4"/>
      <c r="CJ76" s="4"/>
      <c r="CK76" s="4"/>
      <c r="CL76" s="4"/>
      <c r="CM76" s="4"/>
      <c r="CN76" s="4"/>
      <c r="CO76" s="4"/>
      <c r="CP76" s="4"/>
      <c r="CQ76" s="4"/>
      <c r="CR76" s="4"/>
      <c r="CS76" s="4"/>
      <c r="CT76" s="4"/>
      <c r="CU76" s="4"/>
      <c r="CV76" s="4"/>
      <c r="CW76" s="4"/>
      <c r="CX76" s="4"/>
      <c r="CY76" s="4"/>
      <c r="CZ76" s="4"/>
      <c r="DA76" s="4"/>
      <c r="DB76" s="4"/>
      <c r="DC76" s="4"/>
      <c r="DD76" s="4"/>
      <c r="DE76" s="4"/>
      <c r="DF76" s="4"/>
      <c r="DG76" s="4"/>
      <c r="DH76" s="4"/>
      <c r="DI76" s="4"/>
      <c r="DJ76" s="4"/>
      <c r="DK76" s="4"/>
      <c r="DL76" s="4"/>
      <c r="DM76" s="4"/>
      <c r="DN76" s="4"/>
      <c r="DO76" s="4"/>
      <c r="DP76" s="4"/>
      <c r="DQ76" s="4"/>
      <c r="DR76" s="4"/>
      <c r="DS76" s="4"/>
      <c r="DT76" s="4"/>
      <c r="DU76" s="4"/>
      <c r="DV76" s="4"/>
      <c r="DW76" s="4"/>
      <c r="DX76" s="4"/>
      <c r="DY76" s="4"/>
      <c r="DZ76" s="4"/>
      <c r="EA76" s="4"/>
      <c r="EB76" s="4"/>
      <c r="EC76" s="4"/>
      <c r="ED76" s="4"/>
      <c r="EE76" s="4"/>
      <c r="EF76" s="4"/>
      <c r="EG76" s="4"/>
      <c r="EH76" s="4"/>
      <c r="EI76" s="4"/>
      <c r="EJ76" s="4"/>
      <c r="EK76" s="4"/>
      <c r="EL76" s="4"/>
      <c r="EM76" s="4"/>
      <c r="EN76" s="4"/>
      <c r="EO76" s="4"/>
      <c r="EP76" s="4"/>
      <c r="EQ76" s="4"/>
      <c r="ER76" s="4"/>
      <c r="ES76" s="4"/>
      <c r="ET76" s="4"/>
      <c r="EU76" s="4"/>
      <c r="EV76" s="4"/>
      <c r="EW76" s="4"/>
      <c r="EX76" s="4"/>
      <c r="EY76" s="4"/>
      <c r="EZ76" s="4"/>
      <c r="FA76" s="4"/>
      <c r="FB76" s="4"/>
      <c r="FC76" s="4"/>
      <c r="FD76" s="4"/>
      <c r="FE76" s="4"/>
      <c r="FF76" s="4"/>
      <c r="FG76" s="4"/>
      <c r="FH76" s="4"/>
      <c r="FI76" s="4"/>
      <c r="FJ76" s="4"/>
      <c r="FK76" s="4"/>
      <c r="FL76" s="4"/>
      <c r="FM76" s="4"/>
      <c r="FN76" s="4"/>
      <c r="FO76" s="4"/>
      <c r="FP76" s="4"/>
      <c r="FQ76" s="4"/>
      <c r="FR76" s="4"/>
      <c r="FS76" s="4"/>
      <c r="FT76" s="4"/>
      <c r="FU76" s="4"/>
      <c r="FV76" s="4"/>
      <c r="FW76" s="4"/>
      <c r="FX76" s="4"/>
      <c r="FY76" s="4"/>
      <c r="FZ76" s="4"/>
      <c r="GA76" s="4"/>
      <c r="GB76" s="4"/>
      <c r="GC76" s="4"/>
      <c r="GD76" s="4"/>
      <c r="GE76" s="4"/>
      <c r="GF76" s="4"/>
      <c r="GG76" s="4"/>
      <c r="GH76" s="4"/>
      <c r="GI76" s="4"/>
      <c r="GJ76" s="4"/>
      <c r="GK76" s="4"/>
      <c r="GL76" s="4"/>
      <c r="GM76" s="4"/>
      <c r="GN76" s="4"/>
      <c r="GO76" s="4"/>
      <c r="GP76" s="4"/>
      <c r="GQ76" s="4"/>
      <c r="GR76" s="4"/>
      <c r="GS76" s="4"/>
      <c r="GT76" s="4"/>
      <c r="GU76" s="4"/>
      <c r="GV76" s="4"/>
      <c r="GW76" s="4"/>
      <c r="GX76" s="4"/>
      <c r="GY76" s="4"/>
      <c r="GZ76" s="4"/>
      <c r="HA76" s="4"/>
      <c r="HB76" s="4"/>
      <c r="HC76" s="4"/>
      <c r="HD76" s="4"/>
      <c r="HE76" s="4"/>
      <c r="HF76" s="4"/>
      <c r="HG76" s="4"/>
      <c r="HH76" s="4"/>
      <c r="HI76" s="4"/>
      <c r="HJ76" s="4"/>
      <c r="HK76" s="4"/>
      <c r="HL76" s="4"/>
      <c r="HM76" s="4"/>
      <c r="HN76" s="4"/>
      <c r="HO76" s="4"/>
      <c r="HP76" s="4"/>
      <c r="HQ76" s="4"/>
      <c r="HR76" s="4"/>
      <c r="HS76" s="4"/>
      <c r="HT76" s="4"/>
      <c r="HU76" s="4"/>
      <c r="HV76" s="4"/>
      <c r="HW76" s="4"/>
      <c r="HX76" s="4"/>
      <c r="HY76" s="4"/>
      <c r="HZ76" s="4"/>
      <c r="IA76" s="4"/>
      <c r="IB76" s="4"/>
      <c r="IC76" s="4"/>
      <c r="ID76" s="4"/>
      <c r="IE76" s="4"/>
      <c r="IF76" s="4"/>
      <c r="IG76" s="4"/>
      <c r="IH76" s="4"/>
      <c r="II76" s="4"/>
      <c r="IJ76" s="4"/>
      <c r="IK76" s="4"/>
      <c r="IL76" s="4"/>
      <c r="IM76" s="4"/>
      <c r="IN76" s="4"/>
      <c r="IO76" s="4"/>
      <c r="IP76" s="4"/>
      <c r="IQ76" s="4"/>
      <c r="IR76" s="4"/>
      <c r="IS76" s="4"/>
      <c r="IT76" s="4"/>
      <c r="IU76" s="4"/>
      <c r="IV76" s="4"/>
      <c r="IW76" s="4"/>
      <c r="IX76" s="4"/>
      <c r="IY76" s="4"/>
      <c r="IZ76" s="4"/>
      <c r="JA76" s="4"/>
      <c r="JB76" s="4"/>
      <c r="JC76" s="4"/>
      <c r="JD76" s="4"/>
      <c r="JE76" s="4"/>
      <c r="JF76" s="4"/>
      <c r="JG76" s="4"/>
      <c r="JH76" s="4"/>
      <c r="JI76" s="4"/>
      <c r="JJ76" s="4"/>
      <c r="JK76" s="4"/>
      <c r="JL76" s="4"/>
      <c r="JM76" s="4"/>
      <c r="JN76" s="4"/>
      <c r="JO76" s="4"/>
      <c r="JP76" s="4"/>
      <c r="JQ76" s="4"/>
      <c r="JR76" s="4"/>
      <c r="JS76" s="4"/>
      <c r="JT76" s="4"/>
      <c r="JU76" s="4"/>
      <c r="JV76" s="4"/>
      <c r="JW76" s="4"/>
      <c r="JX76" s="4"/>
      <c r="JY76" s="4"/>
      <c r="JZ76" s="4"/>
      <c r="KA76" s="4"/>
      <c r="KB76" s="4"/>
      <c r="KC76" s="4"/>
      <c r="KD76" s="4"/>
      <c r="KE76" s="4"/>
      <c r="KF76" s="4"/>
      <c r="KG76" s="4"/>
      <c r="KH76" s="4"/>
      <c r="KI76" s="4"/>
      <c r="KJ76" s="4"/>
      <c r="KK76" s="4"/>
      <c r="KL76" s="4"/>
      <c r="KM76" s="4"/>
      <c r="KN76" s="4"/>
      <c r="KO76" s="4"/>
      <c r="KP76" s="4"/>
      <c r="KQ76" s="4"/>
      <c r="KR76" s="4"/>
      <c r="KS76" s="4"/>
      <c r="KT76" s="4"/>
      <c r="KU76" s="4"/>
      <c r="KV76" s="4"/>
      <c r="KW76" s="4"/>
      <c r="KX76" s="4"/>
      <c r="KY76" s="4"/>
      <c r="KZ76" s="4"/>
      <c r="LA76" s="4"/>
      <c r="LB76" s="4"/>
      <c r="LC76" s="4"/>
      <c r="LD76" s="4"/>
      <c r="LE76" s="4"/>
      <c r="LF76" s="4"/>
      <c r="LG76" s="4"/>
      <c r="LH76" s="4"/>
      <c r="LI76" s="4"/>
      <c r="LJ76" s="4"/>
      <c r="LK76" s="4"/>
      <c r="LL76" s="4"/>
      <c r="LM76" s="4"/>
      <c r="LN76" s="4"/>
      <c r="LO76" s="4"/>
      <c r="LP76" s="4"/>
      <c r="LQ76" s="4"/>
      <c r="LR76" s="4"/>
      <c r="LS76" s="4"/>
      <c r="LT76" s="4"/>
      <c r="LU76" s="4"/>
      <c r="LV76" s="4"/>
      <c r="LW76" s="4"/>
      <c r="LX76" s="4"/>
      <c r="LY76" s="4"/>
      <c r="LZ76" s="4"/>
      <c r="MA76" s="4"/>
      <c r="MB76" s="4"/>
      <c r="MC76" s="4"/>
      <c r="MD76" s="4"/>
      <c r="ME76" s="4"/>
      <c r="MF76" s="4"/>
      <c r="MG76" s="4"/>
      <c r="MH76" s="4"/>
      <c r="MI76" s="4"/>
      <c r="MJ76" s="4"/>
      <c r="MK76" s="4"/>
      <c r="ML76" s="4"/>
      <c r="MM76" s="4"/>
      <c r="MN76" s="4"/>
      <c r="MO76" s="4"/>
      <c r="MP76" s="4"/>
    </row>
    <row r="77" spans="1:354">
      <c r="A77" s="4"/>
      <c r="B77" s="4"/>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c r="AQ77" s="4"/>
      <c r="AR77" s="4"/>
      <c r="AS77" s="4"/>
      <c r="AT77" s="4"/>
      <c r="AU77" s="4"/>
      <c r="AV77" s="4"/>
      <c r="AW77" s="4"/>
      <c r="AX77" s="4"/>
      <c r="AY77" s="4"/>
      <c r="AZ77" s="4"/>
      <c r="BA77" s="4"/>
      <c r="BB77" s="4"/>
      <c r="BC77" s="4"/>
      <c r="BD77" s="4"/>
      <c r="BE77" s="4"/>
      <c r="BF77" s="4"/>
      <c r="BG77" s="4"/>
      <c r="BH77" s="4"/>
      <c r="BI77" s="4"/>
      <c r="BJ77" s="4"/>
      <c r="BK77" s="4"/>
      <c r="BL77" s="4"/>
      <c r="BM77" s="4"/>
      <c r="BN77" s="4"/>
      <c r="BO77" s="4"/>
      <c r="BP77" s="4"/>
      <c r="BQ77" s="4"/>
      <c r="BR77" s="4"/>
      <c r="BS77" s="4"/>
      <c r="BT77" s="4"/>
      <c r="BU77" s="4"/>
      <c r="BV77" s="4"/>
      <c r="BW77" s="4"/>
      <c r="BX77" s="4"/>
      <c r="BY77" s="4"/>
      <c r="BZ77" s="4"/>
      <c r="CA77" s="4"/>
      <c r="CB77" s="4"/>
      <c r="CC77" s="4"/>
      <c r="CD77" s="4"/>
      <c r="CE77" s="4"/>
      <c r="CF77" s="4"/>
      <c r="CG77" s="4"/>
      <c r="CH77" s="4"/>
      <c r="CI77" s="4"/>
      <c r="CJ77" s="4"/>
      <c r="CK77" s="4"/>
      <c r="CL77" s="4"/>
      <c r="CM77" s="4"/>
      <c r="CN77" s="4"/>
      <c r="CO77" s="4"/>
      <c r="CP77" s="4"/>
      <c r="CQ77" s="4"/>
      <c r="CR77" s="4"/>
      <c r="CS77" s="4"/>
      <c r="CT77" s="4"/>
      <c r="CU77" s="4"/>
      <c r="CV77" s="4"/>
      <c r="CW77" s="4"/>
      <c r="CX77" s="4"/>
      <c r="CY77" s="4"/>
      <c r="CZ77" s="4"/>
      <c r="DA77" s="4"/>
      <c r="DB77" s="4"/>
      <c r="DC77" s="4"/>
      <c r="DD77" s="4"/>
      <c r="DE77" s="4"/>
      <c r="DF77" s="4"/>
      <c r="DG77" s="4"/>
      <c r="DH77" s="4"/>
      <c r="DI77" s="4"/>
      <c r="DJ77" s="4"/>
      <c r="DK77" s="4"/>
      <c r="DL77" s="4"/>
      <c r="DM77" s="4"/>
      <c r="DN77" s="4"/>
      <c r="DO77" s="4"/>
      <c r="DP77" s="4"/>
      <c r="DQ77" s="4"/>
      <c r="DR77" s="4"/>
      <c r="DS77" s="4"/>
      <c r="DT77" s="4"/>
      <c r="DU77" s="4"/>
      <c r="DV77" s="4"/>
      <c r="DW77" s="4"/>
      <c r="DX77" s="4"/>
      <c r="DY77" s="4"/>
      <c r="DZ77" s="4"/>
      <c r="EA77" s="4"/>
      <c r="EB77" s="4"/>
      <c r="EC77" s="4"/>
      <c r="ED77" s="4"/>
      <c r="EE77" s="4"/>
      <c r="EF77" s="4"/>
      <c r="EG77" s="4"/>
      <c r="EH77" s="4"/>
      <c r="EI77" s="4"/>
      <c r="EJ77" s="4"/>
      <c r="EK77" s="4"/>
      <c r="EL77" s="4"/>
      <c r="EM77" s="4"/>
      <c r="EN77" s="4"/>
      <c r="EO77" s="4"/>
      <c r="EP77" s="4"/>
      <c r="EQ77" s="4"/>
      <c r="ER77" s="4"/>
      <c r="ES77" s="4"/>
      <c r="ET77" s="4"/>
      <c r="EU77" s="4"/>
      <c r="EV77" s="4"/>
      <c r="EW77" s="4"/>
      <c r="EX77" s="4"/>
      <c r="EY77" s="4"/>
      <c r="EZ77" s="4"/>
      <c r="FA77" s="4"/>
      <c r="FB77" s="4"/>
      <c r="FC77" s="4"/>
      <c r="FD77" s="4"/>
      <c r="FE77" s="4"/>
      <c r="FF77" s="4"/>
      <c r="FG77" s="4"/>
      <c r="FH77" s="4"/>
      <c r="FI77" s="4"/>
      <c r="FJ77" s="4"/>
      <c r="FK77" s="4"/>
      <c r="FL77" s="4"/>
      <c r="FM77" s="4"/>
      <c r="FN77" s="4"/>
      <c r="FO77" s="4"/>
      <c r="FP77" s="4"/>
      <c r="FQ77" s="4"/>
      <c r="FR77" s="4"/>
      <c r="FS77" s="4"/>
      <c r="FT77" s="4"/>
      <c r="FU77" s="4"/>
      <c r="FV77" s="4"/>
      <c r="FW77" s="4"/>
      <c r="FX77" s="4"/>
      <c r="FY77" s="4"/>
      <c r="FZ77" s="4"/>
      <c r="GA77" s="4"/>
      <c r="GB77" s="4"/>
      <c r="GC77" s="4"/>
      <c r="GD77" s="4"/>
      <c r="GE77" s="4"/>
      <c r="GF77" s="4"/>
      <c r="GG77" s="4"/>
      <c r="GH77" s="4"/>
      <c r="GI77" s="4"/>
      <c r="GJ77" s="4"/>
      <c r="GK77" s="4"/>
      <c r="GL77" s="4"/>
      <c r="GM77" s="4"/>
      <c r="GN77" s="4"/>
      <c r="GO77" s="4"/>
      <c r="GP77" s="4"/>
      <c r="GQ77" s="4"/>
      <c r="GR77" s="4"/>
      <c r="GS77" s="4"/>
      <c r="GT77" s="4"/>
      <c r="GU77" s="4"/>
      <c r="GV77" s="4"/>
      <c r="GW77" s="4"/>
      <c r="GX77" s="4"/>
      <c r="GY77" s="4"/>
      <c r="GZ77" s="4"/>
      <c r="HA77" s="4"/>
      <c r="HB77" s="4"/>
      <c r="HC77" s="4"/>
      <c r="HD77" s="4"/>
      <c r="HE77" s="4"/>
      <c r="HF77" s="4"/>
      <c r="HG77" s="4"/>
      <c r="HH77" s="4"/>
      <c r="HI77" s="4"/>
      <c r="HJ77" s="4"/>
      <c r="HK77" s="4"/>
      <c r="HL77" s="4"/>
      <c r="HM77" s="4"/>
      <c r="HN77" s="4"/>
      <c r="HO77" s="4"/>
      <c r="HP77" s="4"/>
      <c r="HQ77" s="4"/>
      <c r="HR77" s="4"/>
      <c r="HS77" s="4"/>
      <c r="HT77" s="4"/>
      <c r="HU77" s="4"/>
      <c r="HV77" s="4"/>
      <c r="HW77" s="4"/>
      <c r="HX77" s="4"/>
      <c r="HY77" s="4"/>
      <c r="HZ77" s="4"/>
      <c r="IA77" s="4"/>
      <c r="IB77" s="4"/>
      <c r="IC77" s="4"/>
      <c r="ID77" s="4"/>
      <c r="IE77" s="4"/>
      <c r="IF77" s="4"/>
      <c r="IG77" s="4"/>
      <c r="IH77" s="4"/>
      <c r="II77" s="4"/>
      <c r="IJ77" s="4"/>
      <c r="IK77" s="4"/>
      <c r="IL77" s="4"/>
      <c r="IM77" s="4"/>
      <c r="IN77" s="4"/>
      <c r="IO77" s="4"/>
      <c r="IP77" s="4"/>
      <c r="IQ77" s="4"/>
      <c r="IR77" s="4"/>
      <c r="IS77" s="4"/>
      <c r="IT77" s="4"/>
      <c r="IU77" s="4"/>
      <c r="IV77" s="4"/>
      <c r="IW77" s="4"/>
      <c r="IX77" s="4"/>
      <c r="IY77" s="4"/>
      <c r="IZ77" s="4"/>
      <c r="JA77" s="4"/>
      <c r="JB77" s="4"/>
      <c r="JC77" s="4"/>
      <c r="JD77" s="4"/>
      <c r="JE77" s="4"/>
      <c r="JF77" s="4"/>
      <c r="JG77" s="4"/>
      <c r="JH77" s="4"/>
      <c r="JI77" s="4"/>
      <c r="JJ77" s="4"/>
      <c r="JK77" s="4"/>
      <c r="JL77" s="4"/>
      <c r="JM77" s="4"/>
      <c r="JN77" s="4"/>
      <c r="JO77" s="4"/>
      <c r="JP77" s="4"/>
      <c r="JQ77" s="4"/>
      <c r="JR77" s="4"/>
      <c r="JS77" s="4"/>
      <c r="JT77" s="4"/>
      <c r="JU77" s="4"/>
      <c r="JV77" s="4"/>
      <c r="JW77" s="4"/>
      <c r="JX77" s="4"/>
      <c r="JY77" s="4"/>
      <c r="JZ77" s="4"/>
      <c r="KA77" s="4"/>
      <c r="KB77" s="4"/>
      <c r="KC77" s="4"/>
      <c r="KD77" s="4"/>
      <c r="KE77" s="4"/>
      <c r="KF77" s="4"/>
      <c r="KG77" s="4"/>
      <c r="KH77" s="4"/>
      <c r="KI77" s="4"/>
      <c r="KJ77" s="4"/>
      <c r="KK77" s="4"/>
      <c r="KL77" s="4"/>
      <c r="KM77" s="4"/>
      <c r="KN77" s="4"/>
      <c r="KO77" s="4"/>
      <c r="KP77" s="4"/>
      <c r="KQ77" s="4"/>
      <c r="KR77" s="4"/>
      <c r="KS77" s="4"/>
      <c r="KT77" s="4"/>
      <c r="KU77" s="4"/>
      <c r="KV77" s="4"/>
      <c r="KW77" s="4"/>
      <c r="KX77" s="4"/>
      <c r="KY77" s="4"/>
      <c r="KZ77" s="4"/>
      <c r="LA77" s="4"/>
      <c r="LB77" s="4"/>
      <c r="LC77" s="4"/>
      <c r="LD77" s="4"/>
      <c r="LE77" s="4"/>
      <c r="LF77" s="4"/>
      <c r="LG77" s="4"/>
      <c r="LH77" s="4"/>
      <c r="LI77" s="4"/>
      <c r="LJ77" s="4"/>
      <c r="LK77" s="4"/>
      <c r="LL77" s="4"/>
      <c r="LM77" s="4"/>
      <c r="LN77" s="4"/>
      <c r="LO77" s="4"/>
      <c r="LP77" s="4"/>
      <c r="LQ77" s="4"/>
      <c r="LR77" s="4"/>
      <c r="LS77" s="4"/>
      <c r="LT77" s="4"/>
      <c r="LU77" s="4"/>
      <c r="LV77" s="4"/>
      <c r="LW77" s="4"/>
      <c r="LX77" s="4"/>
      <c r="LY77" s="4"/>
      <c r="LZ77" s="4"/>
      <c r="MA77" s="4"/>
      <c r="MB77" s="4"/>
      <c r="MC77" s="4"/>
      <c r="MD77" s="4"/>
      <c r="ME77" s="4"/>
      <c r="MF77" s="4"/>
      <c r="MG77" s="4"/>
      <c r="MH77" s="4"/>
      <c r="MI77" s="4"/>
      <c r="MJ77" s="4"/>
      <c r="MK77" s="4"/>
      <c r="ML77" s="4"/>
      <c r="MM77" s="4"/>
      <c r="MN77" s="4"/>
      <c r="MO77" s="4"/>
      <c r="MP77" s="4"/>
    </row>
    <row r="78" spans="1:354">
      <c r="A78" s="4"/>
      <c r="B78" s="4"/>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c r="AQ78" s="4"/>
      <c r="AR78" s="4"/>
      <c r="AS78" s="4"/>
      <c r="AT78" s="4"/>
      <c r="AU78" s="4"/>
      <c r="AV78" s="4"/>
      <c r="AW78" s="4"/>
      <c r="AX78" s="4"/>
      <c r="AY78" s="4"/>
      <c r="AZ78" s="4"/>
      <c r="BA78" s="4"/>
      <c r="BB78" s="4"/>
      <c r="BC78" s="4"/>
      <c r="BD78" s="4"/>
      <c r="BE78" s="4"/>
      <c r="BF78" s="4"/>
      <c r="BG78" s="4"/>
      <c r="BH78" s="4"/>
      <c r="BI78" s="4"/>
      <c r="BJ78" s="4"/>
      <c r="BK78" s="4"/>
      <c r="BL78" s="4"/>
      <c r="BM78" s="4"/>
      <c r="BN78" s="4"/>
      <c r="BO78" s="4"/>
      <c r="BP78" s="4"/>
      <c r="BQ78" s="4"/>
      <c r="BR78" s="4"/>
      <c r="BS78" s="4"/>
      <c r="BT78" s="4"/>
      <c r="BU78" s="4"/>
      <c r="BV78" s="4"/>
      <c r="BW78" s="4"/>
      <c r="BX78" s="4"/>
      <c r="BY78" s="4"/>
      <c r="BZ78" s="4"/>
      <c r="CA78" s="4"/>
      <c r="CB78" s="4"/>
      <c r="CC78" s="4"/>
      <c r="CD78" s="4"/>
      <c r="CE78" s="4"/>
      <c r="CF78" s="4"/>
      <c r="CG78" s="4"/>
      <c r="CH78" s="4"/>
      <c r="CI78" s="4"/>
      <c r="CJ78" s="4"/>
      <c r="CK78" s="4"/>
      <c r="CL78" s="4"/>
      <c r="CM78" s="4"/>
      <c r="CN78" s="4"/>
      <c r="CO78" s="4"/>
      <c r="CP78" s="4"/>
      <c r="CQ78" s="4"/>
      <c r="CR78" s="4"/>
      <c r="CS78" s="4"/>
      <c r="CT78" s="4"/>
      <c r="CU78" s="4"/>
      <c r="CV78" s="4"/>
      <c r="CW78" s="4"/>
      <c r="CX78" s="4"/>
      <c r="CY78" s="4"/>
      <c r="CZ78" s="4"/>
      <c r="DA78" s="4"/>
      <c r="DB78" s="4"/>
      <c r="DC78" s="4"/>
      <c r="DD78" s="4"/>
      <c r="DE78" s="4"/>
      <c r="DF78" s="4"/>
      <c r="DG78" s="4"/>
      <c r="DH78" s="4"/>
      <c r="DI78" s="4"/>
      <c r="DJ78" s="4"/>
      <c r="DK78" s="4"/>
      <c r="DL78" s="4"/>
      <c r="DM78" s="4"/>
      <c r="DN78" s="4"/>
      <c r="DO78" s="4"/>
      <c r="DP78" s="4"/>
      <c r="DQ78" s="4"/>
      <c r="DR78" s="4"/>
      <c r="DS78" s="4"/>
      <c r="DT78" s="4"/>
      <c r="DU78" s="4"/>
      <c r="DV78" s="4"/>
      <c r="DW78" s="4"/>
      <c r="DX78" s="4"/>
      <c r="DY78" s="4"/>
      <c r="DZ78" s="4"/>
      <c r="EA78" s="4"/>
      <c r="EB78" s="4"/>
      <c r="EC78" s="4"/>
      <c r="ED78" s="4"/>
      <c r="EE78" s="4"/>
      <c r="EF78" s="4"/>
      <c r="EG78" s="4"/>
      <c r="EH78" s="4"/>
      <c r="EI78" s="4"/>
      <c r="EJ78" s="4"/>
      <c r="EK78" s="4"/>
      <c r="EL78" s="4"/>
      <c r="EM78" s="4"/>
      <c r="EN78" s="4"/>
      <c r="EO78" s="4"/>
      <c r="EP78" s="4"/>
      <c r="EQ78" s="4"/>
      <c r="ER78" s="4"/>
      <c r="ES78" s="4"/>
      <c r="ET78" s="4"/>
      <c r="EU78" s="4"/>
      <c r="EV78" s="4"/>
      <c r="EW78" s="4"/>
      <c r="EX78" s="4"/>
      <c r="EY78" s="4"/>
      <c r="EZ78" s="4"/>
      <c r="FA78" s="4"/>
      <c r="FB78" s="4"/>
      <c r="FC78" s="4"/>
      <c r="FD78" s="4"/>
      <c r="FE78" s="4"/>
      <c r="FF78" s="4"/>
      <c r="FG78" s="4"/>
      <c r="FH78" s="4"/>
      <c r="FI78" s="4"/>
      <c r="FJ78" s="4"/>
      <c r="FK78" s="4"/>
      <c r="FL78" s="4"/>
      <c r="FM78" s="4"/>
      <c r="FN78" s="4"/>
      <c r="FO78" s="4"/>
      <c r="FP78" s="4"/>
      <c r="FQ78" s="4"/>
      <c r="FR78" s="4"/>
      <c r="FS78" s="4"/>
      <c r="FT78" s="4"/>
      <c r="FU78" s="4"/>
      <c r="FV78" s="4"/>
      <c r="FW78" s="4"/>
      <c r="FX78" s="4"/>
      <c r="FY78" s="4"/>
      <c r="FZ78" s="4"/>
      <c r="GA78" s="4"/>
      <c r="GB78" s="4"/>
      <c r="GC78" s="4"/>
      <c r="GD78" s="4"/>
      <c r="GE78" s="4"/>
      <c r="GF78" s="4"/>
      <c r="GG78" s="4"/>
      <c r="GH78" s="4"/>
      <c r="GI78" s="4"/>
      <c r="GJ78" s="4"/>
      <c r="GK78" s="4"/>
      <c r="GL78" s="4"/>
      <c r="GM78" s="4"/>
      <c r="GN78" s="4"/>
      <c r="GO78" s="4"/>
      <c r="GP78" s="4"/>
      <c r="GQ78" s="4"/>
      <c r="GR78" s="4"/>
      <c r="GS78" s="4"/>
      <c r="GT78" s="4"/>
      <c r="GU78" s="4"/>
      <c r="GV78" s="4"/>
      <c r="GW78" s="4"/>
      <c r="GX78" s="4"/>
      <c r="GY78" s="4"/>
      <c r="GZ78" s="4"/>
      <c r="HA78" s="4"/>
      <c r="HB78" s="4"/>
      <c r="HC78" s="4"/>
      <c r="HD78" s="4"/>
      <c r="HE78" s="4"/>
      <c r="HF78" s="4"/>
      <c r="HG78" s="4"/>
      <c r="HH78" s="4"/>
      <c r="HI78" s="4"/>
      <c r="HJ78" s="4"/>
      <c r="HK78" s="4"/>
      <c r="HL78" s="4"/>
      <c r="HM78" s="4"/>
      <c r="HN78" s="4"/>
      <c r="HO78" s="4"/>
      <c r="HP78" s="4"/>
      <c r="HQ78" s="4"/>
      <c r="HR78" s="4"/>
      <c r="HS78" s="4"/>
      <c r="HT78" s="4"/>
      <c r="HU78" s="4"/>
      <c r="HV78" s="4"/>
      <c r="HW78" s="4"/>
      <c r="HX78" s="4"/>
      <c r="HY78" s="4"/>
      <c r="HZ78" s="4"/>
      <c r="IA78" s="4"/>
      <c r="IB78" s="4"/>
      <c r="IC78" s="4"/>
      <c r="ID78" s="4"/>
      <c r="IE78" s="4"/>
      <c r="IF78" s="4"/>
      <c r="IG78" s="4"/>
      <c r="IH78" s="4"/>
      <c r="II78" s="4"/>
      <c r="IJ78" s="4"/>
      <c r="IK78" s="4"/>
      <c r="IL78" s="4"/>
      <c r="IM78" s="4"/>
      <c r="IN78" s="4"/>
      <c r="IO78" s="4"/>
      <c r="IP78" s="4"/>
      <c r="IQ78" s="4"/>
      <c r="IR78" s="4"/>
      <c r="IS78" s="4"/>
      <c r="IT78" s="4"/>
      <c r="IU78" s="4"/>
      <c r="IV78" s="4"/>
      <c r="IW78" s="4"/>
      <c r="IX78" s="4"/>
      <c r="IY78" s="4"/>
      <c r="IZ78" s="4"/>
      <c r="JA78" s="4"/>
      <c r="JB78" s="4"/>
      <c r="JC78" s="4"/>
      <c r="JD78" s="4"/>
      <c r="JE78" s="4"/>
      <c r="JF78" s="4"/>
      <c r="JG78" s="4"/>
      <c r="JH78" s="4"/>
      <c r="JI78" s="4"/>
      <c r="JJ78" s="4"/>
      <c r="JK78" s="4"/>
      <c r="JL78" s="4"/>
      <c r="JM78" s="4"/>
      <c r="JN78" s="4"/>
      <c r="JO78" s="4"/>
      <c r="JP78" s="4"/>
      <c r="JQ78" s="4"/>
      <c r="JR78" s="4"/>
      <c r="JS78" s="4"/>
      <c r="JT78" s="4"/>
      <c r="JU78" s="4"/>
      <c r="JV78" s="4"/>
      <c r="JW78" s="4"/>
      <c r="JX78" s="4"/>
      <c r="JY78" s="4"/>
      <c r="JZ78" s="4"/>
      <c r="KA78" s="4"/>
      <c r="KB78" s="4"/>
      <c r="KC78" s="4"/>
      <c r="KD78" s="4"/>
      <c r="KE78" s="4"/>
      <c r="KF78" s="4"/>
      <c r="KG78" s="4"/>
      <c r="KH78" s="4"/>
      <c r="KI78" s="4"/>
      <c r="KJ78" s="4"/>
      <c r="KK78" s="4"/>
      <c r="KL78" s="4"/>
      <c r="KM78" s="4"/>
      <c r="KN78" s="4"/>
      <c r="KO78" s="4"/>
      <c r="KP78" s="4"/>
      <c r="KQ78" s="4"/>
      <c r="KR78" s="4"/>
      <c r="KS78" s="4"/>
      <c r="KT78" s="4"/>
      <c r="KU78" s="4"/>
      <c r="KV78" s="4"/>
      <c r="KW78" s="4"/>
      <c r="KX78" s="4"/>
      <c r="KY78" s="4"/>
      <c r="KZ78" s="4"/>
      <c r="LA78" s="4"/>
      <c r="LB78" s="4"/>
      <c r="LC78" s="4"/>
      <c r="LD78" s="4"/>
      <c r="LE78" s="4"/>
      <c r="LF78" s="4"/>
      <c r="LG78" s="4"/>
      <c r="LH78" s="4"/>
      <c r="LI78" s="4"/>
      <c r="LJ78" s="4"/>
      <c r="LK78" s="4"/>
      <c r="LL78" s="4"/>
      <c r="LM78" s="4"/>
      <c r="LN78" s="4"/>
      <c r="LO78" s="4"/>
      <c r="LP78" s="4"/>
      <c r="LQ78" s="4"/>
      <c r="LR78" s="4"/>
      <c r="LS78" s="4"/>
      <c r="LT78" s="4"/>
      <c r="LU78" s="4"/>
      <c r="LV78" s="4"/>
      <c r="LW78" s="4"/>
      <c r="LX78" s="4"/>
      <c r="LY78" s="4"/>
      <c r="LZ78" s="4"/>
      <c r="MA78" s="4"/>
      <c r="MB78" s="4"/>
      <c r="MC78" s="4"/>
      <c r="MD78" s="4"/>
      <c r="ME78" s="4"/>
      <c r="MF78" s="4"/>
      <c r="MG78" s="4"/>
      <c r="MH78" s="4"/>
      <c r="MI78" s="4"/>
      <c r="MJ78" s="4"/>
      <c r="MK78" s="4"/>
      <c r="ML78" s="4"/>
      <c r="MM78" s="4"/>
      <c r="MN78" s="4"/>
      <c r="MO78" s="4"/>
      <c r="MP78" s="4"/>
    </row>
    <row r="79" spans="1:354">
      <c r="A79" s="4"/>
      <c r="B79" s="4"/>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c r="AQ79" s="4"/>
      <c r="AR79" s="4"/>
      <c r="AS79" s="4"/>
      <c r="AT79" s="4"/>
      <c r="AU79" s="4"/>
      <c r="AV79" s="4"/>
      <c r="AW79" s="4"/>
      <c r="AX79" s="4"/>
      <c r="AY79" s="4"/>
      <c r="AZ79" s="4"/>
      <c r="BA79" s="4"/>
      <c r="BB79" s="4"/>
      <c r="BC79" s="4"/>
      <c r="BD79" s="4"/>
      <c r="BE79" s="4"/>
      <c r="BF79" s="4"/>
      <c r="BG79" s="4"/>
      <c r="BH79" s="4"/>
      <c r="BI79" s="4"/>
      <c r="BJ79" s="4"/>
      <c r="BK79" s="4"/>
      <c r="BL79" s="4"/>
      <c r="BM79" s="4"/>
      <c r="BN79" s="4"/>
      <c r="BO79" s="4"/>
      <c r="BP79" s="4"/>
      <c r="BQ79" s="4"/>
      <c r="BR79" s="4"/>
      <c r="BS79" s="4"/>
      <c r="BT79" s="4"/>
      <c r="BU79" s="4"/>
      <c r="BV79" s="4"/>
      <c r="BW79" s="4"/>
      <c r="BX79" s="4"/>
      <c r="BY79" s="4"/>
      <c r="BZ79" s="4"/>
      <c r="CA79" s="4"/>
      <c r="CB79" s="4"/>
      <c r="CC79" s="4"/>
      <c r="CD79" s="4"/>
      <c r="CE79" s="4"/>
      <c r="CF79" s="4"/>
      <c r="CG79" s="4"/>
      <c r="CH79" s="4"/>
      <c r="CI79" s="4"/>
      <c r="CJ79" s="4"/>
      <c r="CK79" s="4"/>
      <c r="CL79" s="4"/>
      <c r="CM79" s="4"/>
      <c r="CN79" s="4"/>
      <c r="CO79" s="4"/>
      <c r="CP79" s="4"/>
      <c r="CQ79" s="4"/>
      <c r="CR79" s="4"/>
      <c r="CS79" s="4"/>
      <c r="CT79" s="4"/>
      <c r="CU79" s="4"/>
      <c r="CV79" s="4"/>
      <c r="CW79" s="4"/>
      <c r="CX79" s="4"/>
      <c r="CY79" s="4"/>
      <c r="CZ79" s="4"/>
      <c r="DA79" s="4"/>
      <c r="DB79" s="4"/>
      <c r="DC79" s="4"/>
      <c r="DD79" s="4"/>
      <c r="DE79" s="4"/>
      <c r="DF79" s="4"/>
      <c r="DG79" s="4"/>
      <c r="DH79" s="4"/>
      <c r="DI79" s="4"/>
      <c r="DJ79" s="4"/>
      <c r="DK79" s="4"/>
      <c r="DL79" s="4"/>
      <c r="DM79" s="4"/>
      <c r="DN79" s="4"/>
      <c r="DO79" s="4"/>
      <c r="DP79" s="4"/>
      <c r="DQ79" s="4"/>
      <c r="DR79" s="4"/>
      <c r="DS79" s="4"/>
      <c r="DT79" s="4"/>
      <c r="DU79" s="4"/>
      <c r="DV79" s="4"/>
      <c r="DW79" s="4"/>
      <c r="DX79" s="4"/>
      <c r="DY79" s="4"/>
      <c r="DZ79" s="4"/>
      <c r="EA79" s="4"/>
      <c r="EB79" s="4"/>
      <c r="EC79" s="4"/>
      <c r="ED79" s="4"/>
      <c r="EE79" s="4"/>
      <c r="EF79" s="4"/>
      <c r="EG79" s="4"/>
      <c r="EH79" s="4"/>
      <c r="EI79" s="4"/>
      <c r="EJ79" s="4"/>
      <c r="EK79" s="4"/>
      <c r="EL79" s="4"/>
      <c r="EM79" s="4"/>
      <c r="EN79" s="4"/>
      <c r="EO79" s="4"/>
      <c r="EP79" s="4"/>
      <c r="EQ79" s="4"/>
      <c r="ER79" s="4"/>
      <c r="ES79" s="4"/>
      <c r="ET79" s="4"/>
      <c r="EU79" s="4"/>
      <c r="EV79" s="4"/>
      <c r="EW79" s="4"/>
      <c r="EX79" s="4"/>
      <c r="EY79" s="4"/>
      <c r="EZ79" s="4"/>
      <c r="FA79" s="4"/>
      <c r="FB79" s="4"/>
      <c r="FC79" s="4"/>
      <c r="FD79" s="4"/>
      <c r="FE79" s="4"/>
      <c r="FF79" s="4"/>
      <c r="FG79" s="4"/>
      <c r="FH79" s="4"/>
      <c r="FI79" s="4"/>
      <c r="FJ79" s="4"/>
      <c r="FK79" s="4"/>
      <c r="FL79" s="4"/>
      <c r="FM79" s="4"/>
      <c r="FN79" s="4"/>
      <c r="FO79" s="4"/>
      <c r="FP79" s="4"/>
      <c r="FQ79" s="4"/>
      <c r="FR79" s="4"/>
      <c r="FS79" s="4"/>
      <c r="FT79" s="4"/>
      <c r="FU79" s="4"/>
      <c r="FV79" s="4"/>
      <c r="FW79" s="4"/>
      <c r="FX79" s="4"/>
      <c r="FY79" s="4"/>
      <c r="FZ79" s="4"/>
      <c r="GA79" s="4"/>
      <c r="GB79" s="4"/>
      <c r="GC79" s="4"/>
      <c r="GD79" s="4"/>
      <c r="GE79" s="4"/>
      <c r="GF79" s="4"/>
      <c r="GG79" s="4"/>
      <c r="GH79" s="4"/>
      <c r="GI79" s="4"/>
      <c r="GJ79" s="4"/>
      <c r="GK79" s="4"/>
      <c r="GL79" s="4"/>
      <c r="GM79" s="4"/>
      <c r="GN79" s="4"/>
      <c r="GO79" s="4"/>
      <c r="GP79" s="4"/>
      <c r="GQ79" s="4"/>
      <c r="GR79" s="4"/>
      <c r="GS79" s="4"/>
      <c r="GT79" s="4"/>
      <c r="GU79" s="4"/>
      <c r="GV79" s="4"/>
      <c r="GW79" s="4"/>
      <c r="GX79" s="4"/>
      <c r="GY79" s="4"/>
      <c r="GZ79" s="4"/>
      <c r="HA79" s="4"/>
      <c r="HB79" s="4"/>
      <c r="HC79" s="4"/>
      <c r="HD79" s="4"/>
      <c r="HE79" s="4"/>
      <c r="HF79" s="4"/>
      <c r="HG79" s="4"/>
      <c r="HH79" s="4"/>
      <c r="HI79" s="4"/>
      <c r="HJ79" s="4"/>
      <c r="HK79" s="4"/>
      <c r="HL79" s="4"/>
      <c r="HM79" s="4"/>
      <c r="HN79" s="4"/>
      <c r="HO79" s="4"/>
      <c r="HP79" s="4"/>
      <c r="HQ79" s="4"/>
      <c r="HR79" s="4"/>
      <c r="HS79" s="4"/>
      <c r="HT79" s="4"/>
      <c r="HU79" s="4"/>
      <c r="HV79" s="4"/>
      <c r="HW79" s="4"/>
      <c r="HX79" s="4"/>
      <c r="HY79" s="4"/>
      <c r="HZ79" s="4"/>
      <c r="IA79" s="4"/>
      <c r="IB79" s="4"/>
      <c r="IC79" s="4"/>
      <c r="ID79" s="4"/>
      <c r="IE79" s="4"/>
      <c r="IF79" s="4"/>
      <c r="IG79" s="4"/>
      <c r="IH79" s="4"/>
      <c r="II79" s="4"/>
      <c r="IJ79" s="4"/>
      <c r="IK79" s="4"/>
      <c r="IL79" s="4"/>
      <c r="IM79" s="4"/>
      <c r="IN79" s="4"/>
      <c r="IO79" s="4"/>
      <c r="IP79" s="4"/>
      <c r="IQ79" s="4"/>
      <c r="IR79" s="4"/>
      <c r="IS79" s="4"/>
      <c r="IT79" s="4"/>
      <c r="IU79" s="4"/>
      <c r="IV79" s="4"/>
      <c r="IW79" s="4"/>
      <c r="IX79" s="4"/>
      <c r="IY79" s="4"/>
      <c r="IZ79" s="4"/>
      <c r="JA79" s="4"/>
      <c r="JB79" s="4"/>
      <c r="JC79" s="4"/>
      <c r="JD79" s="4"/>
      <c r="JE79" s="4"/>
      <c r="JF79" s="4"/>
      <c r="JG79" s="4"/>
      <c r="JH79" s="4"/>
      <c r="JI79" s="4"/>
      <c r="JJ79" s="4"/>
      <c r="JK79" s="4"/>
      <c r="JL79" s="4"/>
      <c r="JM79" s="4"/>
      <c r="JN79" s="4"/>
      <c r="JO79" s="4"/>
      <c r="JP79" s="4"/>
      <c r="JQ79" s="4"/>
      <c r="JR79" s="4"/>
      <c r="JS79" s="4"/>
      <c r="JT79" s="4"/>
      <c r="JU79" s="4"/>
      <c r="JV79" s="4"/>
      <c r="JW79" s="4"/>
      <c r="JX79" s="4"/>
      <c r="JY79" s="4"/>
      <c r="JZ79" s="4"/>
      <c r="KA79" s="4"/>
      <c r="KB79" s="4"/>
      <c r="KC79" s="4"/>
      <c r="KD79" s="4"/>
      <c r="KE79" s="4"/>
      <c r="KF79" s="4"/>
      <c r="KG79" s="4"/>
      <c r="KH79" s="4"/>
      <c r="KI79" s="4"/>
      <c r="KJ79" s="4"/>
      <c r="KK79" s="4"/>
      <c r="KL79" s="4"/>
      <c r="KM79" s="4"/>
      <c r="KN79" s="4"/>
      <c r="KO79" s="4"/>
      <c r="KP79" s="4"/>
      <c r="KQ79" s="4"/>
      <c r="KR79" s="4"/>
      <c r="KS79" s="4"/>
      <c r="KT79" s="4"/>
      <c r="KU79" s="4"/>
      <c r="KV79" s="4"/>
      <c r="KW79" s="4"/>
      <c r="KX79" s="4"/>
      <c r="KY79" s="4"/>
      <c r="KZ79" s="4"/>
      <c r="LA79" s="4"/>
      <c r="LB79" s="4"/>
      <c r="LC79" s="4"/>
      <c r="LD79" s="4"/>
      <c r="LE79" s="4"/>
      <c r="LF79" s="4"/>
      <c r="LG79" s="4"/>
      <c r="LH79" s="4"/>
      <c r="LI79" s="4"/>
      <c r="LJ79" s="4"/>
      <c r="LK79" s="4"/>
      <c r="LL79" s="4"/>
      <c r="LM79" s="4"/>
      <c r="LN79" s="4"/>
      <c r="LO79" s="4"/>
      <c r="LP79" s="4"/>
      <c r="LQ79" s="4"/>
      <c r="LR79" s="4"/>
      <c r="LS79" s="4"/>
      <c r="LT79" s="4"/>
      <c r="LU79" s="4"/>
      <c r="LV79" s="4"/>
      <c r="LW79" s="4"/>
      <c r="LX79" s="4"/>
      <c r="LY79" s="4"/>
      <c r="LZ79" s="4"/>
      <c r="MA79" s="4"/>
      <c r="MB79" s="4"/>
      <c r="MC79" s="4"/>
      <c r="MD79" s="4"/>
      <c r="ME79" s="4"/>
      <c r="MF79" s="4"/>
      <c r="MG79" s="4"/>
      <c r="MH79" s="4"/>
      <c r="MI79" s="4"/>
      <c r="MJ79" s="4"/>
      <c r="MK79" s="4"/>
      <c r="ML79" s="4"/>
      <c r="MM79" s="4"/>
      <c r="MN79" s="4"/>
      <c r="MO79" s="4"/>
      <c r="MP79" s="4"/>
    </row>
    <row r="80" spans="1:354">
      <c r="A80" s="4"/>
      <c r="B80" s="4"/>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c r="AQ80" s="4"/>
      <c r="AR80" s="4"/>
      <c r="AS80" s="4"/>
      <c r="AT80" s="4"/>
      <c r="AU80" s="4"/>
      <c r="AV80" s="4"/>
      <c r="AW80" s="4"/>
      <c r="AX80" s="4"/>
      <c r="AY80" s="4"/>
      <c r="AZ80" s="4"/>
      <c r="BA80" s="4"/>
      <c r="BB80" s="4"/>
      <c r="BC80" s="4"/>
      <c r="BD80" s="4"/>
      <c r="BE80" s="4"/>
      <c r="BF80" s="4"/>
      <c r="BG80" s="4"/>
      <c r="BH80" s="4"/>
      <c r="BI80" s="4"/>
      <c r="BJ80" s="4"/>
      <c r="BK80" s="4"/>
      <c r="BL80" s="4"/>
      <c r="BM80" s="4"/>
      <c r="BN80" s="4"/>
      <c r="BO80" s="4"/>
      <c r="BP80" s="4"/>
      <c r="BQ80" s="4"/>
      <c r="BR80" s="4"/>
      <c r="BS80" s="4"/>
      <c r="BT80" s="4"/>
      <c r="BU80" s="4"/>
      <c r="BV80" s="4"/>
      <c r="BW80" s="4"/>
      <c r="BX80" s="4"/>
      <c r="BY80" s="4"/>
      <c r="BZ80" s="4"/>
      <c r="CA80" s="4"/>
      <c r="CB80" s="4"/>
      <c r="CC80" s="4"/>
      <c r="CD80" s="4"/>
      <c r="CE80" s="4"/>
      <c r="CF80" s="4"/>
      <c r="CG80" s="4"/>
      <c r="CH80" s="4"/>
      <c r="CI80" s="4"/>
      <c r="CJ80" s="4"/>
      <c r="CK80" s="4"/>
      <c r="CL80" s="4"/>
      <c r="CM80" s="4"/>
      <c r="CN80" s="4"/>
      <c r="CO80" s="4"/>
      <c r="CP80" s="4"/>
      <c r="CQ80" s="4"/>
      <c r="CR80" s="4"/>
      <c r="CS80" s="4"/>
      <c r="CT80" s="4"/>
      <c r="CU80" s="4"/>
      <c r="CV80" s="4"/>
      <c r="CW80" s="4"/>
      <c r="CX80" s="4"/>
      <c r="CY80" s="4"/>
      <c r="CZ80" s="4"/>
      <c r="DA80" s="4"/>
      <c r="DB80" s="4"/>
      <c r="DC80" s="4"/>
      <c r="DD80" s="4"/>
      <c r="DE80" s="4"/>
      <c r="DF80" s="4"/>
      <c r="DG80" s="4"/>
      <c r="DH80" s="4"/>
      <c r="DI80" s="4"/>
      <c r="DJ80" s="4"/>
      <c r="DK80" s="4"/>
      <c r="DL80" s="4"/>
      <c r="DM80" s="4"/>
      <c r="DN80" s="4"/>
      <c r="DO80" s="4"/>
      <c r="DP80" s="4"/>
      <c r="DQ80" s="4"/>
      <c r="DR80" s="4"/>
      <c r="DS80" s="4"/>
      <c r="DT80" s="4"/>
      <c r="DU80" s="4"/>
      <c r="DV80" s="4"/>
      <c r="DW80" s="4"/>
      <c r="DX80" s="4"/>
      <c r="DY80" s="4"/>
      <c r="DZ80" s="4"/>
      <c r="EA80" s="4"/>
      <c r="EB80" s="4"/>
      <c r="EC80" s="4"/>
      <c r="ED80" s="4"/>
      <c r="EE80" s="4"/>
      <c r="EF80" s="4"/>
      <c r="EG80" s="4"/>
      <c r="EH80" s="4"/>
      <c r="EI80" s="4"/>
      <c r="EJ80" s="4"/>
      <c r="EK80" s="4"/>
      <c r="EL80" s="4"/>
      <c r="EM80" s="4"/>
      <c r="EN80" s="4"/>
      <c r="EO80" s="4"/>
      <c r="EP80" s="4"/>
      <c r="EQ80" s="4"/>
      <c r="ER80" s="4"/>
      <c r="ES80" s="4"/>
      <c r="ET80" s="4"/>
      <c r="EU80" s="4"/>
      <c r="EV80" s="4"/>
      <c r="EW80" s="4"/>
      <c r="EX80" s="4"/>
      <c r="EY80" s="4"/>
      <c r="EZ80" s="4"/>
      <c r="FA80" s="4"/>
      <c r="FB80" s="4"/>
      <c r="FC80" s="4"/>
      <c r="FD80" s="4"/>
      <c r="FE80" s="4"/>
      <c r="FF80" s="4"/>
      <c r="FG80" s="4"/>
      <c r="FH80" s="4"/>
      <c r="FI80" s="4"/>
      <c r="FJ80" s="4"/>
      <c r="FK80" s="4"/>
      <c r="FL80" s="4"/>
      <c r="FM80" s="4"/>
      <c r="FN80" s="4"/>
      <c r="FO80" s="4"/>
      <c r="FP80" s="4"/>
      <c r="FQ80" s="4"/>
      <c r="FR80" s="4"/>
      <c r="FS80" s="4"/>
      <c r="FT80" s="4"/>
      <c r="FU80" s="4"/>
      <c r="FV80" s="4"/>
      <c r="FW80" s="4"/>
      <c r="FX80" s="4"/>
      <c r="FY80" s="4"/>
      <c r="FZ80" s="4"/>
      <c r="GA80" s="4"/>
      <c r="GB80" s="4"/>
      <c r="GC80" s="4"/>
      <c r="GD80" s="4"/>
      <c r="GE80" s="4"/>
      <c r="GF80" s="4"/>
      <c r="GG80" s="4"/>
      <c r="GH80" s="4"/>
      <c r="GI80" s="4"/>
      <c r="GJ80" s="4"/>
      <c r="GK80" s="4"/>
      <c r="GL80" s="4"/>
      <c r="GM80" s="4"/>
      <c r="GN80" s="4"/>
      <c r="GO80" s="4"/>
      <c r="GP80" s="4"/>
      <c r="GQ80" s="4"/>
      <c r="GR80" s="4"/>
      <c r="GS80" s="4"/>
      <c r="GT80" s="4"/>
      <c r="GU80" s="4"/>
      <c r="GV80" s="4"/>
      <c r="GW80" s="4"/>
      <c r="GX80" s="4"/>
      <c r="GY80" s="4"/>
      <c r="GZ80" s="4"/>
      <c r="HA80" s="4"/>
      <c r="HB80" s="4"/>
      <c r="HC80" s="4"/>
      <c r="HD80" s="4"/>
      <c r="HE80" s="4"/>
      <c r="HF80" s="4"/>
      <c r="HG80" s="4"/>
      <c r="HH80" s="4"/>
      <c r="HI80" s="4"/>
      <c r="HJ80" s="4"/>
      <c r="HK80" s="4"/>
      <c r="HL80" s="4"/>
      <c r="HM80" s="4"/>
      <c r="HN80" s="4"/>
      <c r="HO80" s="4"/>
      <c r="HP80" s="4"/>
      <c r="HQ80" s="4"/>
      <c r="HR80" s="4"/>
      <c r="HS80" s="4"/>
      <c r="HT80" s="4"/>
      <c r="HU80" s="4"/>
      <c r="HV80" s="4"/>
      <c r="HW80" s="4"/>
      <c r="HX80" s="4"/>
      <c r="HY80" s="4"/>
      <c r="HZ80" s="4"/>
      <c r="IA80" s="4"/>
      <c r="IB80" s="4"/>
      <c r="IC80" s="4"/>
      <c r="ID80" s="4"/>
      <c r="IE80" s="4"/>
      <c r="IF80" s="4"/>
      <c r="IG80" s="4"/>
      <c r="IH80" s="4"/>
      <c r="II80" s="4"/>
      <c r="IJ80" s="4"/>
      <c r="IK80" s="4"/>
      <c r="IL80" s="4"/>
      <c r="IM80" s="4"/>
      <c r="IN80" s="4"/>
      <c r="IO80" s="4"/>
      <c r="IP80" s="4"/>
      <c r="IQ80" s="4"/>
      <c r="IR80" s="4"/>
      <c r="IS80" s="4"/>
      <c r="IT80" s="4"/>
      <c r="IU80" s="4"/>
      <c r="IV80" s="4"/>
      <c r="IW80" s="4"/>
      <c r="IX80" s="4"/>
      <c r="IY80" s="4"/>
      <c r="IZ80" s="4"/>
      <c r="JA80" s="4"/>
      <c r="JB80" s="4"/>
      <c r="JC80" s="4"/>
      <c r="JD80" s="4"/>
      <c r="JE80" s="4"/>
      <c r="JF80" s="4"/>
      <c r="JG80" s="4"/>
      <c r="JH80" s="4"/>
      <c r="JI80" s="4"/>
      <c r="JJ80" s="4"/>
      <c r="JK80" s="4"/>
      <c r="JL80" s="4"/>
      <c r="JM80" s="4"/>
      <c r="JN80" s="4"/>
      <c r="JO80" s="4"/>
      <c r="JP80" s="4"/>
      <c r="JQ80" s="4"/>
      <c r="JR80" s="4"/>
      <c r="JS80" s="4"/>
      <c r="JT80" s="4"/>
      <c r="JU80" s="4"/>
      <c r="JV80" s="4"/>
      <c r="JW80" s="4"/>
      <c r="JX80" s="4"/>
      <c r="JY80" s="4"/>
      <c r="JZ80" s="4"/>
      <c r="KA80" s="4"/>
      <c r="KB80" s="4"/>
      <c r="KC80" s="4"/>
      <c r="KD80" s="4"/>
      <c r="KE80" s="4"/>
      <c r="KF80" s="4"/>
      <c r="KG80" s="4"/>
      <c r="KH80" s="4"/>
      <c r="KI80" s="4"/>
      <c r="KJ80" s="4"/>
      <c r="KK80" s="4"/>
      <c r="KL80" s="4"/>
      <c r="KM80" s="4"/>
      <c r="KN80" s="4"/>
      <c r="KO80" s="4"/>
      <c r="KP80" s="4"/>
      <c r="KQ80" s="4"/>
      <c r="KR80" s="4"/>
      <c r="KS80" s="4"/>
      <c r="KT80" s="4"/>
      <c r="KU80" s="4"/>
      <c r="KV80" s="4"/>
      <c r="KW80" s="4"/>
      <c r="KX80" s="4"/>
      <c r="KY80" s="4"/>
      <c r="KZ80" s="4"/>
      <c r="LA80" s="4"/>
      <c r="LB80" s="4"/>
      <c r="LC80" s="4"/>
      <c r="LD80" s="4"/>
      <c r="LE80" s="4"/>
      <c r="LF80" s="4"/>
      <c r="LG80" s="4"/>
      <c r="LH80" s="4"/>
      <c r="LI80" s="4"/>
      <c r="LJ80" s="4"/>
      <c r="LK80" s="4"/>
      <c r="LL80" s="4"/>
      <c r="LM80" s="4"/>
      <c r="LN80" s="4"/>
      <c r="LO80" s="4"/>
      <c r="LP80" s="4"/>
      <c r="LQ80" s="4"/>
      <c r="LR80" s="4"/>
      <c r="LS80" s="4"/>
      <c r="LT80" s="4"/>
      <c r="LU80" s="4"/>
      <c r="LV80" s="4"/>
      <c r="LW80" s="4"/>
      <c r="LX80" s="4"/>
      <c r="LY80" s="4"/>
      <c r="LZ80" s="4"/>
      <c r="MA80" s="4"/>
      <c r="MB80" s="4"/>
      <c r="MC80" s="4"/>
      <c r="MD80" s="4"/>
      <c r="ME80" s="4"/>
      <c r="MF80" s="4"/>
      <c r="MG80" s="4"/>
      <c r="MH80" s="4"/>
      <c r="MI80" s="4"/>
      <c r="MJ80" s="4"/>
      <c r="MK80" s="4"/>
      <c r="ML80" s="4"/>
      <c r="MM80" s="4"/>
      <c r="MN80" s="4"/>
      <c r="MO80" s="4"/>
      <c r="MP80" s="4"/>
    </row>
    <row r="81" spans="1:354">
      <c r="A81" s="4"/>
      <c r="B81" s="4"/>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c r="AQ81" s="4"/>
      <c r="AR81" s="4"/>
      <c r="AS81" s="4"/>
      <c r="AT81" s="4"/>
      <c r="AU81" s="4"/>
      <c r="AV81" s="4"/>
      <c r="AW81" s="4"/>
      <c r="AX81" s="4"/>
      <c r="AY81" s="4"/>
      <c r="AZ81" s="4"/>
      <c r="BA81" s="4"/>
      <c r="BB81" s="4"/>
      <c r="BC81" s="4"/>
      <c r="BD81" s="4"/>
      <c r="BE81" s="4"/>
      <c r="BF81" s="4"/>
      <c r="BG81" s="4"/>
      <c r="BH81" s="4"/>
      <c r="BI81" s="4"/>
      <c r="BJ81" s="4"/>
      <c r="BK81" s="4"/>
      <c r="BL81" s="4"/>
      <c r="BM81" s="4"/>
      <c r="BN81" s="4"/>
      <c r="BO81" s="4"/>
      <c r="BP81" s="4"/>
      <c r="BQ81" s="4"/>
      <c r="BR81" s="4"/>
      <c r="BS81" s="4"/>
      <c r="BT81" s="4"/>
      <c r="BU81" s="4"/>
      <c r="BV81" s="4"/>
      <c r="BW81" s="4"/>
      <c r="BX81" s="4"/>
      <c r="BY81" s="4"/>
      <c r="BZ81" s="4"/>
      <c r="CA81" s="4"/>
      <c r="CB81" s="4"/>
      <c r="CC81" s="4"/>
      <c r="CD81" s="4"/>
      <c r="CE81" s="4"/>
      <c r="CF81" s="4"/>
      <c r="CG81" s="4"/>
      <c r="CH81" s="4"/>
      <c r="CI81" s="4"/>
      <c r="CJ81" s="4"/>
      <c r="CK81" s="4"/>
      <c r="CL81" s="4"/>
      <c r="CM81" s="4"/>
      <c r="CN81" s="4"/>
      <c r="CO81" s="4"/>
      <c r="CP81" s="4"/>
      <c r="CQ81" s="4"/>
      <c r="CR81" s="4"/>
      <c r="CS81" s="4"/>
      <c r="CT81" s="4"/>
      <c r="CU81" s="4"/>
      <c r="CV81" s="4"/>
      <c r="CW81" s="4"/>
      <c r="CX81" s="4"/>
      <c r="CY81" s="4"/>
      <c r="CZ81" s="4"/>
      <c r="DA81" s="4"/>
      <c r="DB81" s="4"/>
      <c r="DC81" s="4"/>
      <c r="DD81" s="4"/>
      <c r="DE81" s="4"/>
      <c r="DF81" s="4"/>
      <c r="DG81" s="4"/>
      <c r="DH81" s="4"/>
      <c r="DI81" s="4"/>
      <c r="DJ81" s="4"/>
      <c r="DK81" s="4"/>
      <c r="DL81" s="4"/>
      <c r="DM81" s="4"/>
      <c r="DN81" s="4"/>
      <c r="DO81" s="4"/>
      <c r="DP81" s="4"/>
      <c r="DQ81" s="4"/>
      <c r="DR81" s="4"/>
      <c r="DS81" s="4"/>
      <c r="DT81" s="4"/>
      <c r="DU81" s="4"/>
      <c r="DV81" s="4"/>
      <c r="DW81" s="4"/>
      <c r="DX81" s="4"/>
      <c r="DY81" s="4"/>
      <c r="DZ81" s="4"/>
      <c r="EA81" s="4"/>
      <c r="EB81" s="4"/>
      <c r="EC81" s="4"/>
      <c r="ED81" s="4"/>
      <c r="EE81" s="4"/>
      <c r="EF81" s="4"/>
      <c r="EG81" s="4"/>
      <c r="EH81" s="4"/>
      <c r="EI81" s="4"/>
      <c r="EJ81" s="4"/>
      <c r="EK81" s="4"/>
      <c r="EL81" s="4"/>
      <c r="EM81" s="4"/>
      <c r="EN81" s="4"/>
      <c r="EO81" s="4"/>
      <c r="EP81" s="4"/>
      <c r="EQ81" s="4"/>
      <c r="ER81" s="4"/>
      <c r="ES81" s="4"/>
      <c r="ET81" s="4"/>
      <c r="EU81" s="4"/>
      <c r="EV81" s="4"/>
      <c r="EW81" s="4"/>
      <c r="EX81" s="4"/>
      <c r="EY81" s="4"/>
      <c r="EZ81" s="4"/>
      <c r="FA81" s="4"/>
      <c r="FB81" s="4"/>
      <c r="FC81" s="4"/>
      <c r="FD81" s="4"/>
      <c r="FE81" s="4"/>
      <c r="FF81" s="4"/>
      <c r="FG81" s="4"/>
      <c r="FH81" s="4"/>
      <c r="FI81" s="4"/>
      <c r="FJ81" s="4"/>
      <c r="FK81" s="4"/>
      <c r="FL81" s="4"/>
      <c r="FM81" s="4"/>
      <c r="FN81" s="4"/>
      <c r="FO81" s="4"/>
      <c r="FP81" s="4"/>
      <c r="FQ81" s="4"/>
      <c r="FR81" s="4"/>
      <c r="FS81" s="4"/>
      <c r="FT81" s="4"/>
      <c r="FU81" s="4"/>
      <c r="FV81" s="4"/>
      <c r="FW81" s="4"/>
      <c r="FX81" s="4"/>
      <c r="FY81" s="4"/>
      <c r="FZ81" s="4"/>
      <c r="GA81" s="4"/>
      <c r="GB81" s="4"/>
      <c r="GC81" s="4"/>
      <c r="GD81" s="4"/>
      <c r="GE81" s="4"/>
      <c r="GF81" s="4"/>
      <c r="GG81" s="4"/>
      <c r="GH81" s="4"/>
      <c r="GI81" s="4"/>
      <c r="GJ81" s="4"/>
      <c r="GK81" s="4"/>
      <c r="GL81" s="4"/>
      <c r="GM81" s="4"/>
      <c r="GN81" s="4"/>
      <c r="GO81" s="4"/>
      <c r="GP81" s="4"/>
      <c r="GQ81" s="4"/>
      <c r="GR81" s="4"/>
      <c r="GS81" s="4"/>
      <c r="GT81" s="4"/>
      <c r="GU81" s="4"/>
      <c r="GV81" s="4"/>
      <c r="GW81" s="4"/>
      <c r="GX81" s="4"/>
      <c r="GY81" s="4"/>
      <c r="GZ81" s="4"/>
      <c r="HA81" s="4"/>
      <c r="HB81" s="4"/>
      <c r="HC81" s="4"/>
      <c r="HD81" s="4"/>
      <c r="HE81" s="4"/>
      <c r="HF81" s="4"/>
      <c r="HG81" s="4"/>
      <c r="HH81" s="4"/>
      <c r="HI81" s="4"/>
      <c r="HJ81" s="4"/>
      <c r="HK81" s="4"/>
      <c r="HL81" s="4"/>
      <c r="HM81" s="4"/>
      <c r="HN81" s="4"/>
      <c r="HO81" s="4"/>
      <c r="HP81" s="4"/>
      <c r="HQ81" s="4"/>
      <c r="HR81" s="4"/>
      <c r="HS81" s="4"/>
      <c r="HT81" s="4"/>
      <c r="HU81" s="4"/>
      <c r="HV81" s="4"/>
      <c r="HW81" s="4"/>
      <c r="HX81" s="4"/>
      <c r="HY81" s="4"/>
      <c r="HZ81" s="4"/>
      <c r="IA81" s="4"/>
      <c r="IB81" s="4"/>
      <c r="IC81" s="4"/>
      <c r="ID81" s="4"/>
      <c r="IE81" s="4"/>
      <c r="IF81" s="4"/>
      <c r="IG81" s="4"/>
      <c r="IH81" s="4"/>
      <c r="II81" s="4"/>
      <c r="IJ81" s="4"/>
      <c r="IK81" s="4"/>
      <c r="IL81" s="4"/>
      <c r="IM81" s="4"/>
      <c r="IN81" s="4"/>
      <c r="IO81" s="4"/>
      <c r="IP81" s="4"/>
      <c r="IQ81" s="4"/>
      <c r="IR81" s="4"/>
      <c r="IS81" s="4"/>
      <c r="IT81" s="4"/>
      <c r="IU81" s="4"/>
      <c r="IV81" s="4"/>
      <c r="IW81" s="4"/>
      <c r="IX81" s="4"/>
      <c r="IY81" s="4"/>
      <c r="IZ81" s="4"/>
      <c r="JA81" s="4"/>
      <c r="JB81" s="4"/>
      <c r="JC81" s="4"/>
      <c r="JD81" s="4"/>
      <c r="JE81" s="4"/>
      <c r="JF81" s="4"/>
      <c r="JG81" s="4"/>
      <c r="JH81" s="4"/>
      <c r="JI81" s="4"/>
      <c r="JJ81" s="4"/>
      <c r="JK81" s="4"/>
      <c r="JL81" s="4"/>
      <c r="JM81" s="4"/>
      <c r="JN81" s="4"/>
      <c r="JO81" s="4"/>
      <c r="JP81" s="4"/>
      <c r="JQ81" s="4"/>
      <c r="JR81" s="4"/>
      <c r="JS81" s="4"/>
      <c r="JT81" s="4"/>
      <c r="JU81" s="4"/>
      <c r="JV81" s="4"/>
      <c r="JW81" s="4"/>
      <c r="JX81" s="4"/>
      <c r="JY81" s="4"/>
      <c r="JZ81" s="4"/>
      <c r="KA81" s="4"/>
      <c r="KB81" s="4"/>
      <c r="KC81" s="4"/>
      <c r="KD81" s="4"/>
      <c r="KE81" s="4"/>
      <c r="KF81" s="4"/>
      <c r="KG81" s="4"/>
      <c r="KH81" s="4"/>
      <c r="KI81" s="4"/>
      <c r="KJ81" s="4"/>
      <c r="KK81" s="4"/>
      <c r="KL81" s="4"/>
      <c r="KM81" s="4"/>
      <c r="KN81" s="4"/>
      <c r="KO81" s="4"/>
      <c r="KP81" s="4"/>
      <c r="KQ81" s="4"/>
      <c r="KR81" s="4"/>
      <c r="KS81" s="4"/>
      <c r="KT81" s="4"/>
      <c r="KU81" s="4"/>
      <c r="KV81" s="4"/>
      <c r="KW81" s="4"/>
      <c r="KX81" s="4"/>
      <c r="KY81" s="4"/>
      <c r="KZ81" s="4"/>
      <c r="LA81" s="4"/>
      <c r="LB81" s="4"/>
      <c r="LC81" s="4"/>
      <c r="LD81" s="4"/>
      <c r="LE81" s="4"/>
      <c r="LF81" s="4"/>
      <c r="LG81" s="4"/>
      <c r="LH81" s="4"/>
      <c r="LI81" s="4"/>
      <c r="LJ81" s="4"/>
      <c r="LK81" s="4"/>
      <c r="LL81" s="4"/>
      <c r="LM81" s="4"/>
      <c r="LN81" s="4"/>
      <c r="LO81" s="4"/>
      <c r="LP81" s="4"/>
      <c r="LQ81" s="4"/>
      <c r="LR81" s="4"/>
      <c r="LS81" s="4"/>
      <c r="LT81" s="4"/>
      <c r="LU81" s="4"/>
      <c r="LV81" s="4"/>
      <c r="LW81" s="4"/>
      <c r="LX81" s="4"/>
      <c r="LY81" s="4"/>
      <c r="LZ81" s="4"/>
      <c r="MA81" s="4"/>
      <c r="MB81" s="4"/>
      <c r="MC81" s="4"/>
      <c r="MD81" s="4"/>
      <c r="ME81" s="4"/>
      <c r="MF81" s="4"/>
      <c r="MG81" s="4"/>
      <c r="MH81" s="4"/>
      <c r="MI81" s="4"/>
      <c r="MJ81" s="4"/>
      <c r="MK81" s="4"/>
      <c r="ML81" s="4"/>
      <c r="MM81" s="4"/>
      <c r="MN81" s="4"/>
      <c r="MO81" s="4"/>
      <c r="MP81" s="4"/>
    </row>
    <row r="82" spans="1:354">
      <c r="A82" s="4"/>
      <c r="B82" s="4"/>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c r="AQ82" s="4"/>
      <c r="AR82" s="4"/>
      <c r="AS82" s="4"/>
      <c r="AT82" s="4"/>
      <c r="AU82" s="4"/>
      <c r="AV82" s="4"/>
      <c r="AW82" s="4"/>
      <c r="AX82" s="4"/>
      <c r="AY82" s="4"/>
      <c r="AZ82" s="4"/>
      <c r="BA82" s="4"/>
      <c r="BB82" s="4"/>
      <c r="BC82" s="4"/>
      <c r="BD82" s="4"/>
      <c r="BE82" s="4"/>
      <c r="BF82" s="4"/>
      <c r="BG82" s="4"/>
      <c r="BH82" s="4"/>
      <c r="BI82" s="4"/>
      <c r="BJ82" s="4"/>
      <c r="BK82" s="4"/>
      <c r="BL82" s="4"/>
      <c r="BM82" s="4"/>
      <c r="BN82" s="4"/>
      <c r="BO82" s="4"/>
      <c r="BP82" s="4"/>
      <c r="BQ82" s="4"/>
      <c r="BR82" s="4"/>
      <c r="BS82" s="4"/>
      <c r="BT82" s="4"/>
      <c r="BU82" s="4"/>
      <c r="BV82" s="4"/>
      <c r="BW82" s="4"/>
      <c r="BX82" s="4"/>
      <c r="BY82" s="4"/>
      <c r="BZ82" s="4"/>
      <c r="CA82" s="4"/>
      <c r="CB82" s="4"/>
      <c r="CC82" s="4"/>
      <c r="CD82" s="4"/>
      <c r="CE82" s="4"/>
      <c r="CF82" s="4"/>
      <c r="CG82" s="4"/>
      <c r="CH82" s="4"/>
      <c r="CI82" s="4"/>
      <c r="CJ82" s="4"/>
      <c r="CK82" s="4"/>
      <c r="CL82" s="4"/>
      <c r="CM82" s="4"/>
      <c r="CN82" s="4"/>
      <c r="CO82" s="4"/>
      <c r="CP82" s="4"/>
      <c r="CQ82" s="4"/>
      <c r="CR82" s="4"/>
      <c r="CS82" s="4"/>
      <c r="CT82" s="4"/>
      <c r="CU82" s="4"/>
      <c r="CV82" s="4"/>
      <c r="CW82" s="4"/>
      <c r="CX82" s="4"/>
      <c r="CY82" s="4"/>
      <c r="CZ82" s="4"/>
      <c r="DA82" s="4"/>
      <c r="DB82" s="4"/>
      <c r="DC82" s="4"/>
      <c r="DD82" s="4"/>
      <c r="DE82" s="4"/>
      <c r="DF82" s="4"/>
      <c r="DG82" s="4"/>
      <c r="DH82" s="4"/>
      <c r="DI82" s="4"/>
      <c r="DJ82" s="4"/>
      <c r="DK82" s="4"/>
      <c r="DL82" s="4"/>
      <c r="DM82" s="4"/>
      <c r="DN82" s="4"/>
      <c r="DO82" s="4"/>
      <c r="DP82" s="4"/>
      <c r="DQ82" s="4"/>
      <c r="DR82" s="4"/>
      <c r="DS82" s="4"/>
      <c r="DT82" s="4"/>
      <c r="DU82" s="4"/>
      <c r="DV82" s="4"/>
      <c r="DW82" s="4"/>
      <c r="DX82" s="4"/>
      <c r="DY82" s="4"/>
      <c r="DZ82" s="4"/>
      <c r="EA82" s="4"/>
      <c r="EB82" s="4"/>
      <c r="EC82" s="4"/>
      <c r="ED82" s="4"/>
      <c r="EE82" s="4"/>
      <c r="EF82" s="4"/>
      <c r="EG82" s="4"/>
      <c r="EH82" s="4"/>
      <c r="EI82" s="4"/>
      <c r="EJ82" s="4"/>
      <c r="EK82" s="4"/>
      <c r="EL82" s="4"/>
      <c r="EM82" s="4"/>
      <c r="EN82" s="4"/>
      <c r="EO82" s="4"/>
      <c r="EP82" s="4"/>
      <c r="EQ82" s="4"/>
      <c r="ER82" s="4"/>
      <c r="ES82" s="4"/>
      <c r="ET82" s="4"/>
      <c r="EU82" s="4"/>
      <c r="EV82" s="4"/>
      <c r="EW82" s="4"/>
      <c r="EX82" s="4"/>
      <c r="EY82" s="4"/>
      <c r="EZ82" s="4"/>
      <c r="FA82" s="4"/>
      <c r="FB82" s="4"/>
      <c r="FC82" s="4"/>
      <c r="FD82" s="4"/>
      <c r="FE82" s="4"/>
      <c r="FF82" s="4"/>
      <c r="FG82" s="4"/>
      <c r="FH82" s="4"/>
      <c r="FI82" s="4"/>
      <c r="FJ82" s="4"/>
      <c r="FK82" s="4"/>
      <c r="FL82" s="4"/>
      <c r="FM82" s="4"/>
      <c r="FN82" s="4"/>
      <c r="FO82" s="4"/>
      <c r="FP82" s="4"/>
      <c r="FQ82" s="4"/>
      <c r="FR82" s="4"/>
      <c r="FS82" s="4"/>
      <c r="FT82" s="4"/>
      <c r="FU82" s="4"/>
      <c r="FV82" s="4"/>
      <c r="FW82" s="4"/>
      <c r="FX82" s="4"/>
      <c r="FY82" s="4"/>
      <c r="FZ82" s="4"/>
      <c r="GA82" s="4"/>
      <c r="GB82" s="4"/>
      <c r="GC82" s="4"/>
      <c r="GD82" s="4"/>
      <c r="GE82" s="4"/>
      <c r="GF82" s="4"/>
      <c r="GG82" s="4"/>
      <c r="GH82" s="4"/>
      <c r="GI82" s="4"/>
      <c r="GJ82" s="4"/>
      <c r="GK82" s="4"/>
      <c r="GL82" s="4"/>
      <c r="GM82" s="4"/>
      <c r="GN82" s="4"/>
      <c r="GO82" s="4"/>
      <c r="GP82" s="4"/>
      <c r="GQ82" s="4"/>
      <c r="GR82" s="4"/>
      <c r="GS82" s="4"/>
      <c r="GT82" s="4"/>
      <c r="GU82" s="4"/>
      <c r="GV82" s="4"/>
      <c r="GW82" s="4"/>
      <c r="GX82" s="4"/>
      <c r="GY82" s="4"/>
      <c r="GZ82" s="4"/>
      <c r="HA82" s="4"/>
      <c r="HB82" s="4"/>
      <c r="HC82" s="4"/>
      <c r="HD82" s="4"/>
      <c r="HE82" s="4"/>
      <c r="HF82" s="4"/>
      <c r="HG82" s="4"/>
      <c r="HH82" s="4"/>
      <c r="HI82" s="4"/>
      <c r="HJ82" s="4"/>
      <c r="HK82" s="4"/>
      <c r="HL82" s="4"/>
      <c r="HM82" s="4"/>
      <c r="HN82" s="4"/>
      <c r="HO82" s="4"/>
      <c r="HP82" s="4"/>
      <c r="HQ82" s="4"/>
      <c r="HR82" s="4"/>
      <c r="HS82" s="4"/>
      <c r="HT82" s="4"/>
      <c r="HU82" s="4"/>
      <c r="HV82" s="4"/>
      <c r="HW82" s="4"/>
      <c r="HX82" s="4"/>
      <c r="HY82" s="4"/>
      <c r="HZ82" s="4"/>
      <c r="IA82" s="4"/>
      <c r="IB82" s="4"/>
      <c r="IC82" s="4"/>
      <c r="ID82" s="4"/>
      <c r="IE82" s="4"/>
      <c r="IF82" s="4"/>
      <c r="IG82" s="4"/>
      <c r="IH82" s="4"/>
      <c r="II82" s="4"/>
      <c r="IJ82" s="4"/>
      <c r="IK82" s="4"/>
      <c r="IL82" s="4"/>
      <c r="IM82" s="4"/>
      <c r="IN82" s="4"/>
      <c r="IO82" s="4"/>
      <c r="IP82" s="4"/>
      <c r="IQ82" s="4"/>
      <c r="IR82" s="4"/>
      <c r="IS82" s="4"/>
      <c r="IT82" s="4"/>
      <c r="IU82" s="4"/>
      <c r="IV82" s="4"/>
      <c r="IW82" s="4"/>
      <c r="IX82" s="4"/>
      <c r="IY82" s="4"/>
      <c r="IZ82" s="4"/>
      <c r="JA82" s="4"/>
      <c r="JB82" s="4"/>
      <c r="JC82" s="4"/>
      <c r="JD82" s="4"/>
      <c r="JE82" s="4"/>
      <c r="JF82" s="4"/>
      <c r="JG82" s="4"/>
      <c r="JH82" s="4"/>
      <c r="JI82" s="4"/>
      <c r="JJ82" s="4"/>
      <c r="JK82" s="4"/>
      <c r="JL82" s="4"/>
      <c r="JM82" s="4"/>
      <c r="JN82" s="4"/>
      <c r="JO82" s="4"/>
      <c r="JP82" s="4"/>
      <c r="JQ82" s="4"/>
      <c r="JR82" s="4"/>
      <c r="JS82" s="4"/>
      <c r="JT82" s="4"/>
      <c r="JU82" s="4"/>
      <c r="JV82" s="4"/>
      <c r="JW82" s="4"/>
      <c r="JX82" s="4"/>
      <c r="JY82" s="4"/>
      <c r="JZ82" s="4"/>
      <c r="KA82" s="4"/>
      <c r="KB82" s="4"/>
      <c r="KC82" s="4"/>
      <c r="KD82" s="4"/>
      <c r="KE82" s="4"/>
      <c r="KF82" s="4"/>
      <c r="KG82" s="4"/>
      <c r="KH82" s="4"/>
      <c r="KI82" s="4"/>
      <c r="KJ82" s="4"/>
      <c r="KK82" s="4"/>
      <c r="KL82" s="4"/>
      <c r="KM82" s="4"/>
      <c r="KN82" s="4"/>
      <c r="KO82" s="4"/>
      <c r="KP82" s="4"/>
      <c r="KQ82" s="4"/>
      <c r="KR82" s="4"/>
      <c r="KS82" s="4"/>
      <c r="KT82" s="4"/>
      <c r="KU82" s="4"/>
      <c r="KV82" s="4"/>
      <c r="KW82" s="4"/>
      <c r="KX82" s="4"/>
      <c r="KY82" s="4"/>
      <c r="KZ82" s="4"/>
      <c r="LA82" s="4"/>
      <c r="LB82" s="4"/>
      <c r="LC82" s="4"/>
      <c r="LD82" s="4"/>
      <c r="LE82" s="4"/>
      <c r="LF82" s="4"/>
      <c r="LG82" s="4"/>
      <c r="LH82" s="4"/>
      <c r="LI82" s="4"/>
      <c r="LJ82" s="4"/>
      <c r="LK82" s="4"/>
      <c r="LL82" s="4"/>
      <c r="LM82" s="4"/>
      <c r="LN82" s="4"/>
      <c r="LO82" s="4"/>
      <c r="LP82" s="4"/>
      <c r="LQ82" s="4"/>
      <c r="LR82" s="4"/>
      <c r="LS82" s="4"/>
      <c r="LT82" s="4"/>
      <c r="LU82" s="4"/>
      <c r="LV82" s="4"/>
      <c r="LW82" s="4"/>
      <c r="LX82" s="4"/>
      <c r="LY82" s="4"/>
      <c r="LZ82" s="4"/>
      <c r="MA82" s="4"/>
      <c r="MB82" s="4"/>
      <c r="MC82" s="4"/>
      <c r="MD82" s="4"/>
      <c r="ME82" s="4"/>
      <c r="MF82" s="4"/>
      <c r="MG82" s="4"/>
      <c r="MH82" s="4"/>
      <c r="MI82" s="4"/>
      <c r="MJ82" s="4"/>
      <c r="MK82" s="4"/>
      <c r="ML82" s="4"/>
      <c r="MM82" s="4"/>
      <c r="MN82" s="4"/>
      <c r="MO82" s="4"/>
      <c r="MP82" s="4"/>
    </row>
    <row r="83" spans="1:354">
      <c r="A83" s="4"/>
      <c r="B83" s="4"/>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c r="AQ83" s="4"/>
      <c r="AR83" s="4"/>
      <c r="AS83" s="4"/>
      <c r="AT83" s="4"/>
      <c r="AU83" s="4"/>
      <c r="AV83" s="4"/>
      <c r="AW83" s="4"/>
      <c r="AX83" s="4"/>
      <c r="AY83" s="4"/>
      <c r="AZ83" s="4"/>
      <c r="BA83" s="4"/>
      <c r="BB83" s="4"/>
      <c r="BC83" s="4"/>
      <c r="BD83" s="4"/>
      <c r="BE83" s="4"/>
      <c r="BF83" s="4"/>
      <c r="BG83" s="4"/>
      <c r="BH83" s="4"/>
      <c r="BI83" s="4"/>
      <c r="BJ83" s="4"/>
      <c r="BK83" s="4"/>
      <c r="BL83" s="4"/>
      <c r="BM83" s="4"/>
      <c r="BN83" s="4"/>
      <c r="BO83" s="4"/>
      <c r="BP83" s="4"/>
      <c r="BQ83" s="4"/>
      <c r="BR83" s="4"/>
      <c r="BS83" s="4"/>
      <c r="BT83" s="4"/>
      <c r="BU83" s="4"/>
      <c r="BV83" s="4"/>
      <c r="BW83" s="4"/>
      <c r="BX83" s="4"/>
      <c r="BY83" s="4"/>
      <c r="BZ83" s="4"/>
      <c r="CA83" s="4"/>
      <c r="CB83" s="4"/>
      <c r="CC83" s="4"/>
      <c r="CD83" s="4"/>
      <c r="CE83" s="4"/>
      <c r="CF83" s="4"/>
      <c r="CG83" s="4"/>
      <c r="CH83" s="4"/>
      <c r="CI83" s="4"/>
      <c r="CJ83" s="4"/>
      <c r="CK83" s="4"/>
      <c r="CL83" s="4"/>
      <c r="CM83" s="4"/>
      <c r="CN83" s="4"/>
      <c r="CO83" s="4"/>
      <c r="CP83" s="4"/>
      <c r="CQ83" s="4"/>
      <c r="CR83" s="4"/>
      <c r="CS83" s="4"/>
      <c r="CT83" s="4"/>
      <c r="CU83" s="4"/>
      <c r="CV83" s="4"/>
      <c r="CW83" s="4"/>
      <c r="CX83" s="4"/>
      <c r="CY83" s="4"/>
      <c r="CZ83" s="4"/>
      <c r="DA83" s="4"/>
      <c r="DB83" s="4"/>
      <c r="DC83" s="4"/>
      <c r="DD83" s="4"/>
      <c r="DE83" s="4"/>
      <c r="DF83" s="4"/>
      <c r="DG83" s="4"/>
      <c r="DH83" s="4"/>
      <c r="DI83" s="4"/>
      <c r="DJ83" s="4"/>
      <c r="DK83" s="4"/>
      <c r="DL83" s="4"/>
      <c r="DM83" s="4"/>
      <c r="DN83" s="4"/>
      <c r="DO83" s="4"/>
      <c r="DP83" s="4"/>
      <c r="DQ83" s="4"/>
      <c r="DR83" s="4"/>
      <c r="DS83" s="4"/>
      <c r="DT83" s="4"/>
      <c r="DU83" s="4"/>
      <c r="DV83" s="4"/>
      <c r="DW83" s="4"/>
      <c r="DX83" s="4"/>
      <c r="DY83" s="4"/>
      <c r="DZ83" s="4"/>
      <c r="EA83" s="4"/>
      <c r="EB83" s="4"/>
      <c r="EC83" s="4"/>
      <c r="ED83" s="4"/>
      <c r="EE83" s="4"/>
      <c r="EF83" s="4"/>
      <c r="EG83" s="4"/>
      <c r="EH83" s="4"/>
      <c r="EI83" s="4"/>
      <c r="EJ83" s="4"/>
      <c r="EK83" s="4"/>
      <c r="EL83" s="4"/>
      <c r="EM83" s="4"/>
      <c r="EN83" s="4"/>
      <c r="EO83" s="4"/>
      <c r="EP83" s="4"/>
      <c r="EQ83" s="4"/>
      <c r="ER83" s="4"/>
      <c r="ES83" s="4"/>
      <c r="ET83" s="4"/>
      <c r="EU83" s="4"/>
      <c r="EV83" s="4"/>
      <c r="EW83" s="4"/>
      <c r="EX83" s="4"/>
      <c r="EY83" s="4"/>
      <c r="EZ83" s="4"/>
      <c r="FA83" s="4"/>
      <c r="FB83" s="4"/>
      <c r="FC83" s="4"/>
      <c r="FD83" s="4"/>
      <c r="FE83" s="4"/>
      <c r="FF83" s="4"/>
      <c r="FG83" s="4"/>
      <c r="FH83" s="4"/>
      <c r="FI83" s="4"/>
      <c r="FJ83" s="4"/>
      <c r="FK83" s="4"/>
      <c r="FL83" s="4"/>
      <c r="FM83" s="4"/>
      <c r="FN83" s="4"/>
      <c r="FO83" s="4"/>
      <c r="FP83" s="4"/>
      <c r="FQ83" s="4"/>
      <c r="FR83" s="4"/>
      <c r="FS83" s="4"/>
      <c r="FT83" s="4"/>
      <c r="FU83" s="4"/>
      <c r="FV83" s="4"/>
      <c r="FW83" s="4"/>
      <c r="FX83" s="4"/>
      <c r="FY83" s="4"/>
      <c r="FZ83" s="4"/>
      <c r="GA83" s="4"/>
      <c r="GB83" s="4"/>
      <c r="GC83" s="4"/>
      <c r="GD83" s="4"/>
      <c r="GE83" s="4"/>
      <c r="GF83" s="4"/>
      <c r="GG83" s="4"/>
      <c r="GH83" s="4"/>
      <c r="GI83" s="4"/>
      <c r="GJ83" s="4"/>
      <c r="GK83" s="4"/>
      <c r="GL83" s="4"/>
      <c r="GM83" s="4"/>
      <c r="GN83" s="4"/>
      <c r="GO83" s="4"/>
      <c r="GP83" s="4"/>
      <c r="GQ83" s="4"/>
      <c r="GR83" s="4"/>
      <c r="GS83" s="4"/>
      <c r="GT83" s="4"/>
      <c r="GU83" s="4"/>
      <c r="GV83" s="4"/>
      <c r="GW83" s="4"/>
      <c r="GX83" s="4"/>
      <c r="GY83" s="4"/>
      <c r="GZ83" s="4"/>
      <c r="HA83" s="4"/>
      <c r="HB83" s="4"/>
      <c r="HC83" s="4"/>
      <c r="HD83" s="4"/>
      <c r="HE83" s="4"/>
      <c r="HF83" s="4"/>
      <c r="HG83" s="4"/>
      <c r="HH83" s="4"/>
      <c r="HI83" s="4"/>
      <c r="HJ83" s="4"/>
      <c r="HK83" s="4"/>
      <c r="HL83" s="4"/>
      <c r="HM83" s="4"/>
      <c r="HN83" s="4"/>
      <c r="HO83" s="4"/>
      <c r="HP83" s="4"/>
      <c r="HQ83" s="4"/>
      <c r="HR83" s="4"/>
      <c r="HS83" s="4"/>
      <c r="HT83" s="4"/>
      <c r="HU83" s="4"/>
      <c r="HV83" s="4"/>
      <c r="HW83" s="4"/>
      <c r="HX83" s="4"/>
      <c r="HY83" s="4"/>
      <c r="HZ83" s="4"/>
      <c r="IA83" s="4"/>
      <c r="IB83" s="4"/>
      <c r="IC83" s="4"/>
      <c r="ID83" s="4"/>
      <c r="IE83" s="4"/>
      <c r="IF83" s="4"/>
      <c r="IG83" s="4"/>
      <c r="IH83" s="4"/>
      <c r="II83" s="4"/>
      <c r="IJ83" s="4"/>
      <c r="IK83" s="4"/>
      <c r="IL83" s="4"/>
      <c r="IM83" s="4"/>
      <c r="IN83" s="4"/>
      <c r="IO83" s="4"/>
      <c r="IP83" s="4"/>
      <c r="IQ83" s="4"/>
      <c r="IR83" s="4"/>
      <c r="IS83" s="4"/>
      <c r="IT83" s="4"/>
      <c r="IU83" s="4"/>
      <c r="IV83" s="4"/>
      <c r="IW83" s="4"/>
      <c r="IX83" s="4"/>
      <c r="IY83" s="4"/>
      <c r="IZ83" s="4"/>
      <c r="JA83" s="4"/>
      <c r="JB83" s="4"/>
      <c r="JC83" s="4"/>
      <c r="JD83" s="4"/>
      <c r="JE83" s="4"/>
      <c r="JF83" s="4"/>
      <c r="JG83" s="4"/>
      <c r="JH83" s="4"/>
      <c r="JI83" s="4"/>
      <c r="JJ83" s="4"/>
      <c r="JK83" s="4"/>
      <c r="JL83" s="4"/>
      <c r="JM83" s="4"/>
      <c r="JN83" s="4"/>
      <c r="JO83" s="4"/>
      <c r="JP83" s="4"/>
      <c r="JQ83" s="4"/>
      <c r="JR83" s="4"/>
      <c r="JS83" s="4"/>
      <c r="JT83" s="4"/>
      <c r="JU83" s="4"/>
      <c r="JV83" s="4"/>
      <c r="JW83" s="4"/>
      <c r="JX83" s="4"/>
      <c r="JY83" s="4"/>
      <c r="JZ83" s="4"/>
      <c r="KA83" s="4"/>
      <c r="KB83" s="4"/>
      <c r="KC83" s="4"/>
      <c r="KD83" s="4"/>
      <c r="KE83" s="4"/>
      <c r="KF83" s="4"/>
      <c r="KG83" s="4"/>
      <c r="KH83" s="4"/>
      <c r="KI83" s="4"/>
      <c r="KJ83" s="4"/>
      <c r="KK83" s="4"/>
      <c r="KL83" s="4"/>
      <c r="KM83" s="4"/>
      <c r="KN83" s="4"/>
      <c r="KO83" s="4"/>
      <c r="KP83" s="4"/>
      <c r="KQ83" s="4"/>
      <c r="KR83" s="4"/>
      <c r="KS83" s="4"/>
      <c r="KT83" s="4"/>
      <c r="KU83" s="4"/>
      <c r="KV83" s="4"/>
      <c r="KW83" s="4"/>
      <c r="KX83" s="4"/>
      <c r="KY83" s="4"/>
      <c r="KZ83" s="4"/>
      <c r="LA83" s="4"/>
      <c r="LB83" s="4"/>
      <c r="LC83" s="4"/>
      <c r="LD83" s="4"/>
      <c r="LE83" s="4"/>
      <c r="LF83" s="4"/>
      <c r="LG83" s="4"/>
      <c r="LH83" s="4"/>
      <c r="LI83" s="4"/>
      <c r="LJ83" s="4"/>
      <c r="LK83" s="4"/>
      <c r="LL83" s="4"/>
      <c r="LM83" s="4"/>
      <c r="LN83" s="4"/>
      <c r="LO83" s="4"/>
      <c r="LP83" s="4"/>
      <c r="LQ83" s="4"/>
      <c r="LR83" s="4"/>
      <c r="LS83" s="4"/>
      <c r="LT83" s="4"/>
      <c r="LU83" s="4"/>
      <c r="LV83" s="4"/>
      <c r="LW83" s="4"/>
      <c r="LX83" s="4"/>
      <c r="LY83" s="4"/>
      <c r="LZ83" s="4"/>
      <c r="MA83" s="4"/>
      <c r="MB83" s="4"/>
      <c r="MC83" s="4"/>
      <c r="MD83" s="4"/>
      <c r="ME83" s="4"/>
      <c r="MF83" s="4"/>
      <c r="MG83" s="4"/>
      <c r="MH83" s="4"/>
      <c r="MI83" s="4"/>
      <c r="MJ83" s="4"/>
      <c r="MK83" s="4"/>
      <c r="ML83" s="4"/>
      <c r="MM83" s="4"/>
      <c r="MN83" s="4"/>
      <c r="MO83" s="4"/>
      <c r="MP83" s="4"/>
    </row>
    <row r="84" spans="1:354">
      <c r="A84" s="4"/>
      <c r="B84" s="4"/>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c r="AQ84" s="4"/>
      <c r="AR84" s="4"/>
      <c r="AS84" s="4"/>
      <c r="AT84" s="4"/>
      <c r="AU84" s="4"/>
      <c r="AV84" s="4"/>
      <c r="AW84" s="4"/>
      <c r="AX84" s="4"/>
      <c r="AY84" s="4"/>
      <c r="AZ84" s="4"/>
      <c r="BA84" s="4"/>
      <c r="BB84" s="4"/>
      <c r="BC84" s="4"/>
      <c r="BD84" s="4"/>
      <c r="BE84" s="4"/>
      <c r="BF84" s="4"/>
      <c r="BG84" s="4"/>
      <c r="BH84" s="4"/>
      <c r="BI84" s="4"/>
      <c r="BJ84" s="4"/>
      <c r="BK84" s="4"/>
      <c r="BL84" s="4"/>
      <c r="BM84" s="4"/>
      <c r="BN84" s="4"/>
      <c r="BO84" s="4"/>
      <c r="BP84" s="4"/>
      <c r="BQ84" s="4"/>
      <c r="BR84" s="4"/>
      <c r="BS84" s="4"/>
      <c r="BT84" s="4"/>
      <c r="BU84" s="4"/>
      <c r="BV84" s="4"/>
      <c r="BW84" s="4"/>
      <c r="BX84" s="4"/>
      <c r="BY84" s="4"/>
      <c r="BZ84" s="4"/>
      <c r="CA84" s="4"/>
      <c r="CB84" s="4"/>
      <c r="CC84" s="4"/>
      <c r="CD84" s="4"/>
      <c r="CE84" s="4"/>
      <c r="CF84" s="4"/>
      <c r="CG84" s="4"/>
      <c r="CH84" s="4"/>
      <c r="CI84" s="4"/>
      <c r="CJ84" s="4"/>
      <c r="CK84" s="4"/>
      <c r="CL84" s="4"/>
      <c r="CM84" s="4"/>
      <c r="CN84" s="4"/>
      <c r="CO84" s="4"/>
      <c r="CP84" s="4"/>
      <c r="CQ84" s="4"/>
      <c r="CR84" s="4"/>
      <c r="CS84" s="4"/>
      <c r="CT84" s="4"/>
      <c r="CU84" s="4"/>
      <c r="CV84" s="4"/>
      <c r="CW84" s="4"/>
      <c r="CX84" s="4"/>
      <c r="CY84" s="4"/>
      <c r="CZ84" s="4"/>
      <c r="DA84" s="4"/>
      <c r="DB84" s="4"/>
      <c r="DC84" s="4"/>
      <c r="DD84" s="4"/>
      <c r="DE84" s="4"/>
      <c r="DF84" s="4"/>
      <c r="DG84" s="4"/>
      <c r="DH84" s="4"/>
      <c r="DI84" s="4"/>
      <c r="DJ84" s="4"/>
      <c r="DK84" s="4"/>
      <c r="DL84" s="4"/>
      <c r="DM84" s="4"/>
      <c r="DN84" s="4"/>
      <c r="DO84" s="4"/>
      <c r="DP84" s="4"/>
      <c r="DQ84" s="4"/>
      <c r="DR84" s="4"/>
      <c r="DS84" s="4"/>
      <c r="DT84" s="4"/>
      <c r="DU84" s="4"/>
      <c r="DV84" s="4"/>
      <c r="DW84" s="4"/>
      <c r="DX84" s="4"/>
      <c r="DY84" s="4"/>
      <c r="DZ84" s="4"/>
      <c r="EA84" s="4"/>
      <c r="EB84" s="4"/>
      <c r="EC84" s="4"/>
      <c r="ED84" s="4"/>
      <c r="EE84" s="4"/>
      <c r="EF84" s="4"/>
      <c r="EG84" s="4"/>
      <c r="EH84" s="4"/>
      <c r="EI84" s="4"/>
      <c r="EJ84" s="4"/>
      <c r="EK84" s="4"/>
      <c r="EL84" s="4"/>
      <c r="EM84" s="4"/>
      <c r="EN84" s="4"/>
      <c r="EO84" s="4"/>
      <c r="EP84" s="4"/>
      <c r="EQ84" s="4"/>
      <c r="ER84" s="4"/>
      <c r="ES84" s="4"/>
      <c r="ET84" s="4"/>
      <c r="EU84" s="4"/>
      <c r="EV84" s="4"/>
      <c r="EW84" s="4"/>
      <c r="EX84" s="4"/>
      <c r="EY84" s="4"/>
      <c r="EZ84" s="4"/>
      <c r="FA84" s="4"/>
      <c r="FB84" s="4"/>
      <c r="FC84" s="4"/>
      <c r="FD84" s="4"/>
      <c r="FE84" s="4"/>
      <c r="FF84" s="4"/>
      <c r="FG84" s="4"/>
      <c r="FH84" s="4"/>
      <c r="FI84" s="4"/>
      <c r="FJ84" s="4"/>
      <c r="FK84" s="4"/>
      <c r="FL84" s="4"/>
      <c r="FM84" s="4"/>
      <c r="FN84" s="4"/>
      <c r="FO84" s="4"/>
      <c r="FP84" s="4"/>
      <c r="FQ84" s="4"/>
      <c r="FR84" s="4"/>
      <c r="FS84" s="4"/>
      <c r="FT84" s="4"/>
      <c r="FU84" s="4"/>
      <c r="FV84" s="4"/>
      <c r="FW84" s="4"/>
      <c r="FX84" s="4"/>
      <c r="FY84" s="4"/>
      <c r="FZ84" s="4"/>
      <c r="GA84" s="4"/>
      <c r="GB84" s="4"/>
      <c r="GC84" s="4"/>
      <c r="GD84" s="4"/>
      <c r="GE84" s="4"/>
      <c r="GF84" s="4"/>
      <c r="GG84" s="4"/>
      <c r="GH84" s="4"/>
      <c r="GI84" s="4"/>
      <c r="GJ84" s="4"/>
      <c r="GK84" s="4"/>
      <c r="GL84" s="4"/>
      <c r="GM84" s="4"/>
      <c r="GN84" s="4"/>
      <c r="GO84" s="4"/>
      <c r="GP84" s="4"/>
      <c r="GQ84" s="4"/>
      <c r="GR84" s="4"/>
      <c r="GS84" s="4"/>
      <c r="GT84" s="4"/>
      <c r="GU84" s="4"/>
      <c r="GV84" s="4"/>
      <c r="GW84" s="4"/>
      <c r="GX84" s="4"/>
      <c r="GY84" s="4"/>
      <c r="GZ84" s="4"/>
      <c r="HA84" s="4"/>
      <c r="HB84" s="4"/>
      <c r="HC84" s="4"/>
      <c r="HD84" s="4"/>
      <c r="HE84" s="4"/>
      <c r="HF84" s="4"/>
      <c r="HG84" s="4"/>
      <c r="HH84" s="4"/>
      <c r="HI84" s="4"/>
      <c r="HJ84" s="4"/>
      <c r="HK84" s="4"/>
      <c r="HL84" s="4"/>
      <c r="HM84" s="4"/>
      <c r="HN84" s="4"/>
      <c r="HO84" s="4"/>
      <c r="HP84" s="4"/>
      <c r="HQ84" s="4"/>
      <c r="HR84" s="4"/>
      <c r="HS84" s="4"/>
      <c r="HT84" s="4"/>
      <c r="HU84" s="4"/>
      <c r="HV84" s="4"/>
      <c r="HW84" s="4"/>
      <c r="HX84" s="4"/>
      <c r="HY84" s="4"/>
      <c r="HZ84" s="4"/>
      <c r="IA84" s="4"/>
      <c r="IB84" s="4"/>
      <c r="IC84" s="4"/>
      <c r="ID84" s="4"/>
      <c r="IE84" s="4"/>
      <c r="IF84" s="4"/>
      <c r="IG84" s="4"/>
      <c r="IH84" s="4"/>
      <c r="II84" s="4"/>
      <c r="IJ84" s="4"/>
      <c r="IK84" s="4"/>
      <c r="IL84" s="4"/>
      <c r="IM84" s="4"/>
      <c r="IN84" s="4"/>
      <c r="IO84" s="4"/>
      <c r="IP84" s="4"/>
      <c r="IQ84" s="4"/>
      <c r="IR84" s="4"/>
      <c r="IS84" s="4"/>
      <c r="IT84" s="4"/>
      <c r="IU84" s="4"/>
      <c r="IV84" s="4"/>
      <c r="IW84" s="4"/>
      <c r="IX84" s="4"/>
      <c r="IY84" s="4"/>
      <c r="IZ84" s="4"/>
      <c r="JA84" s="4"/>
      <c r="JB84" s="4"/>
      <c r="JC84" s="4"/>
      <c r="JD84" s="4"/>
      <c r="JE84" s="4"/>
      <c r="JF84" s="4"/>
      <c r="JG84" s="4"/>
      <c r="JH84" s="4"/>
      <c r="JI84" s="4"/>
      <c r="JJ84" s="4"/>
      <c r="JK84" s="4"/>
      <c r="JL84" s="4"/>
      <c r="JM84" s="4"/>
      <c r="JN84" s="4"/>
      <c r="JO84" s="4"/>
      <c r="JP84" s="4"/>
      <c r="JQ84" s="4"/>
      <c r="JR84" s="4"/>
      <c r="JS84" s="4"/>
      <c r="JT84" s="4"/>
      <c r="JU84" s="4"/>
      <c r="JV84" s="4"/>
      <c r="JW84" s="4"/>
      <c r="JX84" s="4"/>
      <c r="JY84" s="4"/>
      <c r="JZ84" s="4"/>
      <c r="KA84" s="4"/>
      <c r="KB84" s="4"/>
      <c r="KC84" s="4"/>
      <c r="KD84" s="4"/>
      <c r="KE84" s="4"/>
      <c r="KF84" s="4"/>
      <c r="KG84" s="4"/>
      <c r="KH84" s="4"/>
      <c r="KI84" s="4"/>
      <c r="KJ84" s="4"/>
      <c r="KK84" s="4"/>
      <c r="KL84" s="4"/>
      <c r="KM84" s="4"/>
      <c r="KN84" s="4"/>
      <c r="KO84" s="4"/>
      <c r="KP84" s="4"/>
      <c r="KQ84" s="4"/>
      <c r="KR84" s="4"/>
      <c r="KS84" s="4"/>
      <c r="KT84" s="4"/>
      <c r="KU84" s="4"/>
      <c r="KV84" s="4"/>
      <c r="KW84" s="4"/>
      <c r="KX84" s="4"/>
      <c r="KY84" s="4"/>
      <c r="KZ84" s="4"/>
      <c r="LA84" s="4"/>
      <c r="LB84" s="4"/>
      <c r="LC84" s="4"/>
      <c r="LD84" s="4"/>
      <c r="LE84" s="4"/>
      <c r="LF84" s="4"/>
      <c r="LG84" s="4"/>
      <c r="LH84" s="4"/>
      <c r="LI84" s="4"/>
      <c r="LJ84" s="4"/>
      <c r="LK84" s="4"/>
      <c r="LL84" s="4"/>
      <c r="LM84" s="4"/>
      <c r="LN84" s="4"/>
      <c r="LO84" s="4"/>
      <c r="LP84" s="4"/>
      <c r="LQ84" s="4"/>
      <c r="LR84" s="4"/>
      <c r="LS84" s="4"/>
      <c r="LT84" s="4"/>
      <c r="LU84" s="4"/>
      <c r="LV84" s="4"/>
      <c r="LW84" s="4"/>
      <c r="LX84" s="4"/>
      <c r="LY84" s="4"/>
      <c r="LZ84" s="4"/>
      <c r="MA84" s="4"/>
      <c r="MB84" s="4"/>
      <c r="MC84" s="4"/>
      <c r="MD84" s="4"/>
      <c r="ME84" s="4"/>
      <c r="MF84" s="4"/>
      <c r="MG84" s="4"/>
      <c r="MH84" s="4"/>
      <c r="MI84" s="4"/>
      <c r="MJ84" s="4"/>
      <c r="MK84" s="4"/>
      <c r="ML84" s="4"/>
      <c r="MM84" s="4"/>
      <c r="MN84" s="4"/>
      <c r="MO84" s="4"/>
      <c r="MP84" s="4"/>
    </row>
    <row r="85" spans="1:354">
      <c r="A85" s="4"/>
      <c r="B85" s="4"/>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c r="AQ85" s="4"/>
      <c r="AR85" s="4"/>
      <c r="AS85" s="4"/>
      <c r="AT85" s="4"/>
      <c r="AU85" s="4"/>
      <c r="AV85" s="4"/>
      <c r="AW85" s="4"/>
      <c r="AX85" s="4"/>
      <c r="AY85" s="4"/>
      <c r="AZ85" s="4"/>
      <c r="BA85" s="4"/>
      <c r="BB85" s="4"/>
      <c r="BC85" s="4"/>
      <c r="BD85" s="4"/>
      <c r="BE85" s="4"/>
      <c r="BF85" s="4"/>
      <c r="BG85" s="4"/>
      <c r="BH85" s="4"/>
      <c r="BI85" s="4"/>
      <c r="BJ85" s="4"/>
      <c r="BK85" s="4"/>
      <c r="BL85" s="4"/>
      <c r="BM85" s="4"/>
      <c r="BN85" s="4"/>
      <c r="BO85" s="4"/>
      <c r="BP85" s="4"/>
      <c r="BQ85" s="4"/>
      <c r="BR85" s="4"/>
      <c r="BS85" s="4"/>
      <c r="BT85" s="4"/>
      <c r="BU85" s="4"/>
      <c r="BV85" s="4"/>
      <c r="BW85" s="4"/>
      <c r="BX85" s="4"/>
      <c r="BY85" s="4"/>
      <c r="BZ85" s="4"/>
      <c r="CA85" s="4"/>
      <c r="CB85" s="4"/>
      <c r="CC85" s="4"/>
      <c r="CD85" s="4"/>
      <c r="CE85" s="4"/>
      <c r="CF85" s="4"/>
      <c r="CG85" s="4"/>
      <c r="CH85" s="4"/>
      <c r="CI85" s="4"/>
      <c r="CJ85" s="4"/>
      <c r="CK85" s="4"/>
      <c r="CL85" s="4"/>
      <c r="CM85" s="4"/>
      <c r="CN85" s="4"/>
      <c r="CO85" s="4"/>
      <c r="CP85" s="4"/>
      <c r="CQ85" s="4"/>
      <c r="CR85" s="4"/>
      <c r="CS85" s="4"/>
      <c r="CT85" s="4"/>
      <c r="CU85" s="4"/>
      <c r="CV85" s="4"/>
      <c r="CW85" s="4"/>
      <c r="CX85" s="4"/>
      <c r="CY85" s="4"/>
      <c r="CZ85" s="4"/>
      <c r="DA85" s="4"/>
      <c r="DB85" s="4"/>
      <c r="DC85" s="4"/>
      <c r="DD85" s="4"/>
      <c r="DE85" s="4"/>
      <c r="DF85" s="4"/>
      <c r="DG85" s="4"/>
      <c r="DH85" s="4"/>
      <c r="DI85" s="4"/>
      <c r="DJ85" s="4"/>
      <c r="DK85" s="4"/>
      <c r="DL85" s="4"/>
      <c r="DM85" s="4"/>
      <c r="DN85" s="4"/>
      <c r="DO85" s="4"/>
      <c r="DP85" s="4"/>
      <c r="DQ85" s="4"/>
      <c r="DR85" s="4"/>
      <c r="DS85" s="4"/>
      <c r="DT85" s="4"/>
      <c r="DU85" s="4"/>
      <c r="DV85" s="4"/>
      <c r="DW85" s="4"/>
      <c r="DX85" s="4"/>
      <c r="DY85" s="4"/>
      <c r="DZ85" s="4"/>
      <c r="EA85" s="4"/>
      <c r="EB85" s="4"/>
      <c r="EC85" s="4"/>
      <c r="ED85" s="4"/>
      <c r="EE85" s="4"/>
      <c r="EF85" s="4"/>
      <c r="EG85" s="4"/>
      <c r="EH85" s="4"/>
      <c r="EI85" s="4"/>
      <c r="EJ85" s="4"/>
      <c r="EK85" s="4"/>
      <c r="EL85" s="4"/>
      <c r="EM85" s="4"/>
      <c r="EN85" s="4"/>
      <c r="EO85" s="4"/>
      <c r="EP85" s="4"/>
      <c r="EQ85" s="4"/>
      <c r="ER85" s="4"/>
      <c r="ES85" s="4"/>
      <c r="ET85" s="4"/>
      <c r="EU85" s="4"/>
      <c r="EV85" s="4"/>
      <c r="EW85" s="4"/>
      <c r="EX85" s="4"/>
      <c r="EY85" s="4"/>
      <c r="EZ85" s="4"/>
      <c r="FA85" s="4"/>
      <c r="FB85" s="4"/>
      <c r="FC85" s="4"/>
      <c r="FD85" s="4"/>
      <c r="FE85" s="4"/>
      <c r="FF85" s="4"/>
      <c r="FG85" s="4"/>
      <c r="FH85" s="4"/>
      <c r="FI85" s="4"/>
      <c r="FJ85" s="4"/>
      <c r="FK85" s="4"/>
      <c r="FL85" s="4"/>
      <c r="FM85" s="4"/>
      <c r="FN85" s="4"/>
      <c r="FO85" s="4"/>
      <c r="FP85" s="4"/>
      <c r="FQ85" s="4"/>
      <c r="FR85" s="4"/>
      <c r="FS85" s="4"/>
      <c r="FT85" s="4"/>
      <c r="FU85" s="4"/>
      <c r="FV85" s="4"/>
      <c r="FW85" s="4"/>
      <c r="FX85" s="4"/>
      <c r="FY85" s="4"/>
      <c r="FZ85" s="4"/>
      <c r="GA85" s="4"/>
      <c r="GB85" s="4"/>
      <c r="GC85" s="4"/>
      <c r="GD85" s="4"/>
      <c r="GE85" s="4"/>
      <c r="GF85" s="4"/>
      <c r="GG85" s="4"/>
      <c r="GH85" s="4"/>
      <c r="GI85" s="4"/>
      <c r="GJ85" s="4"/>
      <c r="GK85" s="4"/>
      <c r="GL85" s="4"/>
      <c r="GM85" s="4"/>
      <c r="GN85" s="4"/>
      <c r="GO85" s="4"/>
      <c r="GP85" s="4"/>
      <c r="GQ85" s="4"/>
      <c r="GR85" s="4"/>
      <c r="GS85" s="4"/>
      <c r="GT85" s="4"/>
      <c r="GU85" s="4"/>
      <c r="GV85" s="4"/>
      <c r="GW85" s="4"/>
      <c r="GX85" s="4"/>
      <c r="GY85" s="4"/>
      <c r="GZ85" s="4"/>
      <c r="HA85" s="4"/>
      <c r="HB85" s="4"/>
      <c r="HC85" s="4"/>
      <c r="HD85" s="4"/>
      <c r="HE85" s="4"/>
      <c r="HF85" s="4"/>
      <c r="HG85" s="4"/>
      <c r="HH85" s="4"/>
      <c r="HI85" s="4"/>
      <c r="HJ85" s="4"/>
      <c r="HK85" s="4"/>
      <c r="HL85" s="4"/>
      <c r="HM85" s="4"/>
      <c r="HN85" s="4"/>
      <c r="HO85" s="4"/>
      <c r="HP85" s="4"/>
      <c r="HQ85" s="4"/>
      <c r="HR85" s="4"/>
      <c r="HS85" s="4"/>
      <c r="HT85" s="4"/>
      <c r="HU85" s="4"/>
      <c r="HV85" s="4"/>
      <c r="HW85" s="4"/>
      <c r="HX85" s="4"/>
      <c r="HY85" s="4"/>
      <c r="HZ85" s="4"/>
      <c r="IA85" s="4"/>
      <c r="IB85" s="4"/>
      <c r="IC85" s="4"/>
      <c r="ID85" s="4"/>
      <c r="IE85" s="4"/>
      <c r="IF85" s="4"/>
      <c r="IG85" s="4"/>
      <c r="IH85" s="4"/>
      <c r="II85" s="4"/>
      <c r="IJ85" s="4"/>
      <c r="IK85" s="4"/>
      <c r="IL85" s="4"/>
      <c r="IM85" s="4"/>
      <c r="IN85" s="4"/>
      <c r="IO85" s="4"/>
      <c r="IP85" s="4"/>
      <c r="IQ85" s="4"/>
      <c r="IR85" s="4"/>
      <c r="IS85" s="4"/>
      <c r="IT85" s="4"/>
      <c r="IU85" s="4"/>
      <c r="IV85" s="4"/>
      <c r="IW85" s="4"/>
      <c r="IX85" s="4"/>
      <c r="IY85" s="4"/>
      <c r="IZ85" s="4"/>
      <c r="JA85" s="4"/>
      <c r="JB85" s="4"/>
      <c r="JC85" s="4"/>
      <c r="JD85" s="4"/>
      <c r="JE85" s="4"/>
      <c r="JF85" s="4"/>
      <c r="JG85" s="4"/>
      <c r="JH85" s="4"/>
      <c r="JI85" s="4"/>
      <c r="JJ85" s="4"/>
      <c r="JK85" s="4"/>
      <c r="JL85" s="4"/>
      <c r="JM85" s="4"/>
      <c r="JN85" s="4"/>
      <c r="JO85" s="4"/>
      <c r="JP85" s="4"/>
      <c r="JQ85" s="4"/>
      <c r="JR85" s="4"/>
      <c r="JS85" s="4"/>
      <c r="JT85" s="4"/>
      <c r="JU85" s="4"/>
      <c r="JV85" s="4"/>
      <c r="JW85" s="4"/>
      <c r="JX85" s="4"/>
      <c r="JY85" s="4"/>
      <c r="JZ85" s="4"/>
      <c r="KA85" s="4"/>
      <c r="KB85" s="4"/>
      <c r="KC85" s="4"/>
      <c r="KD85" s="4"/>
      <c r="KE85" s="4"/>
      <c r="KF85" s="4"/>
      <c r="KG85" s="4"/>
      <c r="KH85" s="4"/>
      <c r="KI85" s="4"/>
      <c r="KJ85" s="4"/>
      <c r="KK85" s="4"/>
      <c r="KL85" s="4"/>
      <c r="KM85" s="4"/>
      <c r="KN85" s="4"/>
      <c r="KO85" s="4"/>
      <c r="KP85" s="4"/>
      <c r="KQ85" s="4"/>
      <c r="KR85" s="4"/>
      <c r="KS85" s="4"/>
      <c r="KT85" s="4"/>
      <c r="KU85" s="4"/>
      <c r="KV85" s="4"/>
      <c r="KW85" s="4"/>
      <c r="KX85" s="4"/>
      <c r="KY85" s="4"/>
      <c r="KZ85" s="4"/>
      <c r="LA85" s="4"/>
      <c r="LB85" s="4"/>
      <c r="LC85" s="4"/>
      <c r="LD85" s="4"/>
      <c r="LE85" s="4"/>
      <c r="LF85" s="4"/>
      <c r="LG85" s="4"/>
      <c r="LH85" s="4"/>
      <c r="LI85" s="4"/>
      <c r="LJ85" s="4"/>
      <c r="LK85" s="4"/>
      <c r="LL85" s="4"/>
      <c r="LM85" s="4"/>
      <c r="LN85" s="4"/>
      <c r="LO85" s="4"/>
      <c r="LP85" s="4"/>
      <c r="LQ85" s="4"/>
      <c r="LR85" s="4"/>
      <c r="LS85" s="4"/>
      <c r="LT85" s="4"/>
      <c r="LU85" s="4"/>
      <c r="LV85" s="4"/>
      <c r="LW85" s="4"/>
      <c r="LX85" s="4"/>
      <c r="LY85" s="4"/>
      <c r="LZ85" s="4"/>
      <c r="MA85" s="4"/>
      <c r="MB85" s="4"/>
      <c r="MC85" s="4"/>
      <c r="MD85" s="4"/>
      <c r="ME85" s="4"/>
      <c r="MF85" s="4"/>
      <c r="MG85" s="4"/>
      <c r="MH85" s="4"/>
      <c r="MI85" s="4"/>
      <c r="MJ85" s="4"/>
      <c r="MK85" s="4"/>
      <c r="ML85" s="4"/>
      <c r="MM85" s="4"/>
      <c r="MN85" s="4"/>
      <c r="MO85" s="4"/>
      <c r="MP85" s="4"/>
    </row>
    <row r="86" spans="1:354">
      <c r="A86" s="4"/>
      <c r="B86" s="4"/>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c r="AQ86" s="4"/>
      <c r="AR86" s="4"/>
      <c r="AS86" s="4"/>
      <c r="AT86" s="4"/>
      <c r="AU86" s="4"/>
      <c r="AV86" s="4"/>
      <c r="AW86" s="4"/>
      <c r="AX86" s="4"/>
      <c r="AY86" s="4"/>
      <c r="AZ86" s="4"/>
      <c r="BA86" s="4"/>
      <c r="BB86" s="4"/>
      <c r="BC86" s="4"/>
      <c r="BD86" s="4"/>
      <c r="BE86" s="4"/>
      <c r="BF86" s="4"/>
      <c r="BG86" s="4"/>
      <c r="BH86" s="4"/>
      <c r="BI86" s="4"/>
      <c r="BJ86" s="4"/>
      <c r="BK86" s="4"/>
      <c r="BL86" s="4"/>
      <c r="BM86" s="4"/>
      <c r="BN86" s="4"/>
      <c r="BO86" s="4"/>
      <c r="BP86" s="4"/>
      <c r="BQ86" s="4"/>
      <c r="BR86" s="4"/>
      <c r="BS86" s="4"/>
      <c r="BT86" s="4"/>
      <c r="BU86" s="4"/>
      <c r="BV86" s="4"/>
      <c r="BW86" s="4"/>
      <c r="BX86" s="4"/>
      <c r="BY86" s="4"/>
      <c r="BZ86" s="4"/>
      <c r="CA86" s="4"/>
      <c r="CB86" s="4"/>
      <c r="CC86" s="4"/>
      <c r="CD86" s="4"/>
      <c r="CE86" s="4"/>
      <c r="CF86" s="4"/>
      <c r="CG86" s="4"/>
      <c r="CH86" s="4"/>
      <c r="CI86" s="4"/>
      <c r="CJ86" s="4"/>
      <c r="CK86" s="4"/>
      <c r="CL86" s="4"/>
      <c r="CM86" s="4"/>
      <c r="CN86" s="4"/>
      <c r="CO86" s="4"/>
      <c r="CP86" s="4"/>
      <c r="CQ86" s="4"/>
      <c r="CR86" s="4"/>
      <c r="CS86" s="4"/>
      <c r="CT86" s="4"/>
      <c r="CU86" s="4"/>
      <c r="CV86" s="4"/>
      <c r="CW86" s="4"/>
      <c r="CX86" s="4"/>
      <c r="CY86" s="4"/>
      <c r="CZ86" s="4"/>
      <c r="DA86" s="4"/>
      <c r="DB86" s="4"/>
      <c r="DC86" s="4"/>
      <c r="DD86" s="4"/>
      <c r="DE86" s="4"/>
      <c r="DF86" s="4"/>
      <c r="DG86" s="4"/>
      <c r="DH86" s="4"/>
      <c r="DI86" s="4"/>
      <c r="DJ86" s="4"/>
      <c r="DK86" s="4"/>
      <c r="DL86" s="4"/>
      <c r="DM86" s="4"/>
      <c r="DN86" s="4"/>
      <c r="DO86" s="4"/>
      <c r="DP86" s="4"/>
      <c r="DQ86" s="4"/>
      <c r="DR86" s="4"/>
      <c r="DS86" s="4"/>
      <c r="DT86" s="4"/>
      <c r="DU86" s="4"/>
      <c r="DV86" s="4"/>
      <c r="DW86" s="4"/>
      <c r="DX86" s="4"/>
      <c r="DY86" s="4"/>
      <c r="DZ86" s="4"/>
      <c r="EA86" s="4"/>
      <c r="EB86" s="4"/>
      <c r="EC86" s="4"/>
      <c r="ED86" s="4"/>
      <c r="EE86" s="4"/>
      <c r="EF86" s="4"/>
      <c r="EG86" s="4"/>
      <c r="EH86" s="4"/>
      <c r="EI86" s="4"/>
      <c r="EJ86" s="4"/>
      <c r="EK86" s="4"/>
      <c r="EL86" s="4"/>
      <c r="EM86" s="4"/>
      <c r="EN86" s="4"/>
      <c r="EO86" s="4"/>
      <c r="EP86" s="4"/>
      <c r="EQ86" s="4"/>
      <c r="ER86" s="4"/>
      <c r="ES86" s="4"/>
      <c r="ET86" s="4"/>
      <c r="EU86" s="4"/>
      <c r="EV86" s="4"/>
      <c r="EW86" s="4"/>
      <c r="EX86" s="4"/>
      <c r="EY86" s="4"/>
      <c r="EZ86" s="4"/>
      <c r="FA86" s="4"/>
      <c r="FB86" s="4"/>
      <c r="FC86" s="4"/>
      <c r="FD86" s="4"/>
      <c r="FE86" s="4"/>
      <c r="FF86" s="4"/>
      <c r="FG86" s="4"/>
      <c r="FH86" s="4"/>
      <c r="FI86" s="4"/>
      <c r="FJ86" s="4"/>
      <c r="FK86" s="4"/>
      <c r="FL86" s="4"/>
      <c r="FM86" s="4"/>
      <c r="FN86" s="4"/>
      <c r="FO86" s="4"/>
      <c r="FP86" s="4"/>
      <c r="FQ86" s="4"/>
      <c r="FR86" s="4"/>
      <c r="FS86" s="4"/>
      <c r="FT86" s="4"/>
      <c r="FU86" s="4"/>
      <c r="FV86" s="4"/>
      <c r="FW86" s="4"/>
      <c r="FX86" s="4"/>
      <c r="FY86" s="4"/>
      <c r="FZ86" s="4"/>
      <c r="GA86" s="4"/>
      <c r="GB86" s="4"/>
      <c r="GC86" s="4"/>
      <c r="GD86" s="4"/>
      <c r="GE86" s="4"/>
      <c r="GF86" s="4"/>
      <c r="GG86" s="4"/>
      <c r="GH86" s="4"/>
      <c r="GI86" s="4"/>
      <c r="GJ86" s="4"/>
      <c r="GK86" s="4"/>
      <c r="GL86" s="4"/>
      <c r="GM86" s="4"/>
      <c r="GN86" s="4"/>
      <c r="GO86" s="4"/>
      <c r="GP86" s="4"/>
      <c r="GQ86" s="4"/>
      <c r="GR86" s="4"/>
      <c r="GS86" s="4"/>
      <c r="GT86" s="4"/>
      <c r="GU86" s="4"/>
      <c r="GV86" s="4"/>
      <c r="GW86" s="4"/>
      <c r="GX86" s="4"/>
      <c r="GY86" s="4"/>
      <c r="GZ86" s="4"/>
      <c r="HA86" s="4"/>
      <c r="HB86" s="4"/>
      <c r="HC86" s="4"/>
      <c r="HD86" s="4"/>
      <c r="HE86" s="4"/>
      <c r="HF86" s="4"/>
      <c r="HG86" s="4"/>
      <c r="HH86" s="4"/>
      <c r="HI86" s="4"/>
      <c r="HJ86" s="4"/>
      <c r="HK86" s="4"/>
      <c r="HL86" s="4"/>
      <c r="HM86" s="4"/>
      <c r="HN86" s="4"/>
      <c r="HO86" s="4"/>
      <c r="HP86" s="4"/>
      <c r="HQ86" s="4"/>
      <c r="HR86" s="4"/>
      <c r="HS86" s="4"/>
      <c r="HT86" s="4"/>
      <c r="HU86" s="4"/>
      <c r="HV86" s="4"/>
      <c r="HW86" s="4"/>
      <c r="HX86" s="4"/>
      <c r="HY86" s="4"/>
      <c r="HZ86" s="4"/>
      <c r="IA86" s="4"/>
      <c r="IB86" s="4"/>
      <c r="IC86" s="4"/>
      <c r="ID86" s="4"/>
      <c r="IE86" s="4"/>
      <c r="IF86" s="4"/>
      <c r="IG86" s="4"/>
      <c r="IH86" s="4"/>
      <c r="II86" s="4"/>
      <c r="IJ86" s="4"/>
      <c r="IK86" s="4"/>
      <c r="IL86" s="4"/>
      <c r="IM86" s="4"/>
      <c r="IN86" s="4"/>
      <c r="IO86" s="4"/>
      <c r="IP86" s="4"/>
      <c r="IQ86" s="4"/>
      <c r="IR86" s="4"/>
      <c r="IS86" s="4"/>
      <c r="IT86" s="4"/>
      <c r="IU86" s="4"/>
      <c r="IV86" s="4"/>
      <c r="IW86" s="4"/>
      <c r="IX86" s="4"/>
      <c r="IY86" s="4"/>
      <c r="IZ86" s="4"/>
      <c r="JA86" s="4"/>
      <c r="JB86" s="4"/>
      <c r="JC86" s="4"/>
      <c r="JD86" s="4"/>
      <c r="JE86" s="4"/>
      <c r="JF86" s="4"/>
      <c r="JG86" s="4"/>
      <c r="JH86" s="4"/>
      <c r="JI86" s="4"/>
      <c r="JJ86" s="4"/>
      <c r="JK86" s="4"/>
      <c r="JL86" s="4"/>
      <c r="JM86" s="4"/>
      <c r="JN86" s="4"/>
      <c r="JO86" s="4"/>
      <c r="JP86" s="4"/>
      <c r="JQ86" s="4"/>
      <c r="JR86" s="4"/>
      <c r="JS86" s="4"/>
      <c r="JT86" s="4"/>
      <c r="JU86" s="4"/>
      <c r="JV86" s="4"/>
      <c r="JW86" s="4"/>
      <c r="JX86" s="4"/>
      <c r="JY86" s="4"/>
      <c r="JZ86" s="4"/>
      <c r="KA86" s="4"/>
      <c r="KB86" s="4"/>
      <c r="KC86" s="4"/>
      <c r="KD86" s="4"/>
      <c r="KE86" s="4"/>
      <c r="KF86" s="4"/>
      <c r="KG86" s="4"/>
      <c r="KH86" s="4"/>
      <c r="KI86" s="4"/>
      <c r="KJ86" s="4"/>
      <c r="KK86" s="4"/>
      <c r="KL86" s="4"/>
      <c r="KM86" s="4"/>
      <c r="KN86" s="4"/>
      <c r="KO86" s="4"/>
      <c r="KP86" s="4"/>
      <c r="KQ86" s="4"/>
      <c r="KR86" s="4"/>
      <c r="KS86" s="4"/>
      <c r="KT86" s="4"/>
      <c r="KU86" s="4"/>
      <c r="KV86" s="4"/>
      <c r="KW86" s="4"/>
      <c r="KX86" s="4"/>
      <c r="KY86" s="4"/>
      <c r="KZ86" s="4"/>
      <c r="LA86" s="4"/>
      <c r="LB86" s="4"/>
      <c r="LC86" s="4"/>
      <c r="LD86" s="4"/>
      <c r="LE86" s="4"/>
      <c r="LF86" s="4"/>
      <c r="LG86" s="4"/>
      <c r="LH86" s="4"/>
      <c r="LI86" s="4"/>
      <c r="LJ86" s="4"/>
      <c r="LK86" s="4"/>
      <c r="LL86" s="4"/>
      <c r="LM86" s="4"/>
      <c r="LN86" s="4"/>
      <c r="LO86" s="4"/>
      <c r="LP86" s="4"/>
      <c r="LQ86" s="4"/>
      <c r="LR86" s="4"/>
      <c r="LS86" s="4"/>
      <c r="LT86" s="4"/>
      <c r="LU86" s="4"/>
      <c r="LV86" s="4"/>
      <c r="LW86" s="4"/>
      <c r="LX86" s="4"/>
      <c r="LY86" s="4"/>
      <c r="LZ86" s="4"/>
      <c r="MA86" s="4"/>
      <c r="MB86" s="4"/>
      <c r="MC86" s="4"/>
      <c r="MD86" s="4"/>
      <c r="ME86" s="4"/>
      <c r="MF86" s="4"/>
      <c r="MG86" s="4"/>
      <c r="MH86" s="4"/>
      <c r="MI86" s="4"/>
      <c r="MJ86" s="4"/>
      <c r="MK86" s="4"/>
      <c r="ML86" s="4"/>
      <c r="MM86" s="4"/>
      <c r="MN86" s="4"/>
      <c r="MO86" s="4"/>
      <c r="MP86" s="4"/>
    </row>
    <row r="87" spans="1:354">
      <c r="A87" s="4"/>
      <c r="B87" s="4"/>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c r="AQ87" s="4"/>
      <c r="AR87" s="4"/>
      <c r="AS87" s="4"/>
      <c r="AT87" s="4"/>
      <c r="AU87" s="4"/>
      <c r="AV87" s="4"/>
      <c r="AW87" s="4"/>
      <c r="AX87" s="4"/>
      <c r="AY87" s="4"/>
      <c r="AZ87" s="4"/>
      <c r="BA87" s="4"/>
      <c r="BB87" s="4"/>
      <c r="BC87" s="4"/>
      <c r="BD87" s="4"/>
      <c r="BE87" s="4"/>
      <c r="BF87" s="4"/>
      <c r="BG87" s="4"/>
      <c r="BH87" s="4"/>
      <c r="BI87" s="4"/>
      <c r="BJ87" s="4"/>
      <c r="BK87" s="4"/>
      <c r="BL87" s="4"/>
      <c r="BM87" s="4"/>
      <c r="BN87" s="4"/>
      <c r="BO87" s="4"/>
      <c r="BP87" s="4"/>
      <c r="BQ87" s="4"/>
      <c r="BR87" s="4"/>
      <c r="BS87" s="4"/>
      <c r="BT87" s="4"/>
      <c r="BU87" s="4"/>
      <c r="BV87" s="4"/>
      <c r="BW87" s="4"/>
      <c r="BX87" s="4"/>
      <c r="BY87" s="4"/>
      <c r="BZ87" s="4"/>
      <c r="CA87" s="4"/>
      <c r="CB87" s="4"/>
      <c r="CC87" s="4"/>
      <c r="CD87" s="4"/>
      <c r="CE87" s="4"/>
      <c r="CF87" s="4"/>
      <c r="CG87" s="4"/>
      <c r="CH87" s="4"/>
      <c r="CI87" s="4"/>
      <c r="CJ87" s="4"/>
      <c r="CK87" s="4"/>
      <c r="CL87" s="4"/>
      <c r="CM87" s="4"/>
      <c r="CN87" s="4"/>
      <c r="CO87" s="4"/>
      <c r="CP87" s="4"/>
      <c r="CQ87" s="4"/>
      <c r="CR87" s="4"/>
      <c r="CS87" s="4"/>
      <c r="CT87" s="4"/>
      <c r="CU87" s="4"/>
      <c r="CV87" s="4"/>
      <c r="CW87" s="4"/>
      <c r="CX87" s="4"/>
      <c r="CY87" s="4"/>
      <c r="CZ87" s="4"/>
      <c r="DA87" s="4"/>
      <c r="DB87" s="4"/>
      <c r="DC87" s="4"/>
      <c r="DD87" s="4"/>
      <c r="DE87" s="4"/>
      <c r="DF87" s="4"/>
      <c r="DG87" s="4"/>
      <c r="DH87" s="4"/>
      <c r="DI87" s="4"/>
      <c r="DJ87" s="4"/>
      <c r="DK87" s="4"/>
      <c r="DL87" s="4"/>
      <c r="DM87" s="4"/>
      <c r="DN87" s="4"/>
      <c r="DO87" s="4"/>
      <c r="DP87" s="4"/>
      <c r="DQ87" s="4"/>
      <c r="DR87" s="4"/>
      <c r="DS87" s="4"/>
      <c r="DT87" s="4"/>
      <c r="DU87" s="4"/>
      <c r="DV87" s="4"/>
      <c r="DW87" s="4"/>
      <c r="DX87" s="4"/>
      <c r="DY87" s="4"/>
      <c r="DZ87" s="4"/>
      <c r="EA87" s="4"/>
      <c r="EB87" s="4"/>
      <c r="EC87" s="4"/>
      <c r="ED87" s="4"/>
      <c r="EE87" s="4"/>
      <c r="EF87" s="4"/>
      <c r="EG87" s="4"/>
      <c r="EH87" s="4"/>
      <c r="EI87" s="4"/>
      <c r="EJ87" s="4"/>
      <c r="EK87" s="4"/>
      <c r="EL87" s="4"/>
      <c r="EM87" s="4"/>
      <c r="EN87" s="4"/>
      <c r="EO87" s="4"/>
      <c r="EP87" s="4"/>
      <c r="EQ87" s="4"/>
      <c r="ER87" s="4"/>
      <c r="ES87" s="4"/>
      <c r="ET87" s="4"/>
      <c r="EU87" s="4"/>
      <c r="EV87" s="4"/>
      <c r="EW87" s="4"/>
      <c r="EX87" s="4"/>
      <c r="EY87" s="4"/>
      <c r="EZ87" s="4"/>
      <c r="FA87" s="4"/>
      <c r="FB87" s="4"/>
      <c r="FC87" s="4"/>
      <c r="FD87" s="4"/>
      <c r="FE87" s="4"/>
      <c r="FF87" s="4"/>
      <c r="FG87" s="4"/>
      <c r="FH87" s="4"/>
      <c r="FI87" s="4"/>
      <c r="FJ87" s="4"/>
      <c r="FK87" s="4"/>
      <c r="FL87" s="4"/>
      <c r="FM87" s="4"/>
      <c r="FN87" s="4"/>
      <c r="FO87" s="4"/>
      <c r="FP87" s="4"/>
      <c r="FQ87" s="4"/>
      <c r="FR87" s="4"/>
      <c r="FS87" s="4"/>
      <c r="FT87" s="4"/>
      <c r="FU87" s="4"/>
      <c r="FV87" s="4"/>
      <c r="FW87" s="4"/>
      <c r="FX87" s="4"/>
      <c r="FY87" s="4"/>
      <c r="FZ87" s="4"/>
      <c r="GA87" s="4"/>
      <c r="GB87" s="4"/>
      <c r="GC87" s="4"/>
      <c r="GD87" s="4"/>
      <c r="GE87" s="4"/>
      <c r="GF87" s="4"/>
      <c r="GG87" s="4"/>
      <c r="GH87" s="4"/>
      <c r="GI87" s="4"/>
      <c r="GJ87" s="4"/>
      <c r="GK87" s="4"/>
      <c r="GL87" s="4"/>
      <c r="GM87" s="4"/>
      <c r="GN87" s="4"/>
      <c r="GO87" s="4"/>
      <c r="GP87" s="4"/>
      <c r="GQ87" s="4"/>
      <c r="GR87" s="4"/>
      <c r="GS87" s="4"/>
      <c r="GT87" s="4"/>
      <c r="GU87" s="4"/>
      <c r="GV87" s="4"/>
      <c r="GW87" s="4"/>
      <c r="GX87" s="4"/>
      <c r="GY87" s="4"/>
      <c r="GZ87" s="4"/>
      <c r="HA87" s="4"/>
      <c r="HB87" s="4"/>
      <c r="HC87" s="4"/>
      <c r="HD87" s="4"/>
      <c r="HE87" s="4"/>
      <c r="HF87" s="4"/>
      <c r="HG87" s="4"/>
      <c r="HH87" s="4"/>
      <c r="HI87" s="4"/>
      <c r="HJ87" s="4"/>
      <c r="HK87" s="4"/>
      <c r="HL87" s="4"/>
      <c r="HM87" s="4"/>
      <c r="HN87" s="4"/>
      <c r="HO87" s="4"/>
      <c r="HP87" s="4"/>
      <c r="HQ87" s="4"/>
      <c r="HR87" s="4"/>
      <c r="HS87" s="4"/>
      <c r="HT87" s="4"/>
      <c r="HU87" s="4"/>
      <c r="HV87" s="4"/>
      <c r="HW87" s="4"/>
      <c r="HX87" s="4"/>
      <c r="HY87" s="4"/>
      <c r="HZ87" s="4"/>
      <c r="IA87" s="4"/>
      <c r="IB87" s="4"/>
      <c r="IC87" s="4"/>
      <c r="ID87" s="4"/>
      <c r="IE87" s="4"/>
      <c r="IF87" s="4"/>
      <c r="IG87" s="4"/>
      <c r="IH87" s="4"/>
      <c r="II87" s="4"/>
      <c r="IJ87" s="4"/>
      <c r="IK87" s="4"/>
      <c r="IL87" s="4"/>
      <c r="IM87" s="4"/>
      <c r="IN87" s="4"/>
      <c r="IO87" s="4"/>
      <c r="IP87" s="4"/>
      <c r="IQ87" s="4"/>
      <c r="IR87" s="4"/>
      <c r="IS87" s="4"/>
      <c r="IT87" s="4"/>
      <c r="IU87" s="4"/>
      <c r="IV87" s="4"/>
      <c r="IW87" s="4"/>
      <c r="IX87" s="4"/>
      <c r="IY87" s="4"/>
      <c r="IZ87" s="4"/>
      <c r="JA87" s="4"/>
      <c r="JB87" s="4"/>
      <c r="JC87" s="4"/>
      <c r="JD87" s="4"/>
      <c r="JE87" s="4"/>
      <c r="JF87" s="4"/>
      <c r="JG87" s="4"/>
      <c r="JH87" s="4"/>
      <c r="JI87" s="4"/>
      <c r="JJ87" s="4"/>
      <c r="JK87" s="4"/>
      <c r="JL87" s="4"/>
      <c r="JM87" s="4"/>
      <c r="JN87" s="4"/>
      <c r="JO87" s="4"/>
      <c r="JP87" s="4"/>
      <c r="JQ87" s="4"/>
      <c r="JR87" s="4"/>
      <c r="JS87" s="4"/>
      <c r="JT87" s="4"/>
      <c r="JU87" s="4"/>
      <c r="JV87" s="4"/>
      <c r="JW87" s="4"/>
      <c r="JX87" s="4"/>
      <c r="JY87" s="4"/>
      <c r="JZ87" s="4"/>
      <c r="KA87" s="4"/>
      <c r="KB87" s="4"/>
      <c r="KC87" s="4"/>
      <c r="KD87" s="4"/>
      <c r="KE87" s="4"/>
      <c r="KF87" s="4"/>
      <c r="KG87" s="4"/>
      <c r="KH87" s="4"/>
      <c r="KI87" s="4"/>
      <c r="KJ87" s="4"/>
      <c r="KK87" s="4"/>
      <c r="KL87" s="4"/>
      <c r="KM87" s="4"/>
      <c r="KN87" s="4"/>
      <c r="KO87" s="4"/>
      <c r="KP87" s="4"/>
      <c r="KQ87" s="4"/>
      <c r="KR87" s="4"/>
      <c r="KS87" s="4"/>
      <c r="KT87" s="4"/>
      <c r="KU87" s="4"/>
      <c r="KV87" s="4"/>
      <c r="KW87" s="4"/>
      <c r="KX87" s="4"/>
      <c r="KY87" s="4"/>
      <c r="KZ87" s="4"/>
      <c r="LA87" s="4"/>
      <c r="LB87" s="4"/>
      <c r="LC87" s="4"/>
      <c r="LD87" s="4"/>
      <c r="LE87" s="4"/>
      <c r="LF87" s="4"/>
      <c r="LG87" s="4"/>
      <c r="LH87" s="4"/>
      <c r="LI87" s="4"/>
      <c r="LJ87" s="4"/>
      <c r="LK87" s="4"/>
      <c r="LL87" s="4"/>
      <c r="LM87" s="4"/>
      <c r="LN87" s="4"/>
      <c r="LO87" s="4"/>
      <c r="LP87" s="4"/>
      <c r="LQ87" s="4"/>
      <c r="LR87" s="4"/>
      <c r="LS87" s="4"/>
      <c r="LT87" s="4"/>
      <c r="LU87" s="4"/>
      <c r="LV87" s="4"/>
      <c r="LW87" s="4"/>
      <c r="LX87" s="4"/>
      <c r="LY87" s="4"/>
      <c r="LZ87" s="4"/>
      <c r="MA87" s="4"/>
      <c r="MB87" s="4"/>
      <c r="MC87" s="4"/>
      <c r="MD87" s="4"/>
      <c r="ME87" s="4"/>
      <c r="MF87" s="4"/>
      <c r="MG87" s="4"/>
      <c r="MH87" s="4"/>
      <c r="MI87" s="4"/>
      <c r="MJ87" s="4"/>
      <c r="MK87" s="4"/>
      <c r="ML87" s="4"/>
      <c r="MM87" s="4"/>
      <c r="MN87" s="4"/>
      <c r="MO87" s="4"/>
      <c r="MP87" s="4"/>
    </row>
    <row r="88" spans="1:354">
      <c r="A88" s="4"/>
      <c r="B88" s="4"/>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c r="AQ88" s="4"/>
      <c r="AR88" s="4"/>
      <c r="AS88" s="4"/>
      <c r="AT88" s="4"/>
      <c r="AU88" s="4"/>
      <c r="AV88" s="4"/>
      <c r="AW88" s="4"/>
      <c r="AX88" s="4"/>
      <c r="AY88" s="4"/>
      <c r="AZ88" s="4"/>
      <c r="BA88" s="4"/>
      <c r="BB88" s="4"/>
      <c r="BC88" s="4"/>
      <c r="BD88" s="4"/>
      <c r="BE88" s="4"/>
      <c r="BF88" s="4"/>
      <c r="BG88" s="4"/>
      <c r="BH88" s="4"/>
      <c r="BI88" s="4"/>
      <c r="BJ88" s="4"/>
      <c r="BK88" s="4"/>
      <c r="BL88" s="4"/>
      <c r="BM88" s="4"/>
      <c r="BN88" s="4"/>
      <c r="BO88" s="4"/>
      <c r="BP88" s="4"/>
      <c r="BQ88" s="4"/>
      <c r="BR88" s="4"/>
      <c r="BS88" s="4"/>
      <c r="BT88" s="4"/>
      <c r="BU88" s="4"/>
      <c r="BV88" s="4"/>
      <c r="BW88" s="4"/>
      <c r="BX88" s="4"/>
      <c r="BY88" s="4"/>
      <c r="BZ88" s="4"/>
      <c r="CA88" s="4"/>
      <c r="CB88" s="4"/>
      <c r="CC88" s="4"/>
      <c r="CD88" s="4"/>
      <c r="CE88" s="4"/>
      <c r="CF88" s="4"/>
      <c r="CG88" s="4"/>
      <c r="CH88" s="4"/>
      <c r="CI88" s="4"/>
      <c r="CJ88" s="4"/>
      <c r="CK88" s="4"/>
      <c r="CL88" s="4"/>
      <c r="CM88" s="4"/>
      <c r="CN88" s="4"/>
      <c r="CO88" s="4"/>
      <c r="CP88" s="4"/>
      <c r="CQ88" s="4"/>
      <c r="CR88" s="4"/>
      <c r="CS88" s="4"/>
      <c r="CT88" s="4"/>
      <c r="CU88" s="4"/>
      <c r="CV88" s="4"/>
      <c r="CW88" s="4"/>
      <c r="CX88" s="4"/>
      <c r="CY88" s="4"/>
      <c r="CZ88" s="4"/>
      <c r="DA88" s="4"/>
      <c r="DB88" s="4"/>
      <c r="DC88" s="4"/>
      <c r="DD88" s="4"/>
      <c r="DE88" s="4"/>
      <c r="DF88" s="4"/>
      <c r="DG88" s="4"/>
      <c r="DH88" s="4"/>
      <c r="DI88" s="4"/>
      <c r="DJ88" s="4"/>
      <c r="DK88" s="4"/>
      <c r="DL88" s="4"/>
      <c r="DM88" s="4"/>
      <c r="DN88" s="4"/>
      <c r="DO88" s="4"/>
      <c r="DP88" s="4"/>
      <c r="DQ88" s="4"/>
      <c r="DR88" s="4"/>
      <c r="DS88" s="4"/>
      <c r="DT88" s="4"/>
      <c r="DU88" s="4"/>
      <c r="DV88" s="4"/>
      <c r="DW88" s="4"/>
      <c r="DX88" s="4"/>
      <c r="DY88" s="4"/>
      <c r="DZ88" s="4"/>
      <c r="EA88" s="4"/>
      <c r="EB88" s="4"/>
      <c r="EC88" s="4"/>
      <c r="ED88" s="4"/>
      <c r="EE88" s="4"/>
      <c r="EF88" s="4"/>
      <c r="EG88" s="4"/>
      <c r="EH88" s="4"/>
      <c r="EI88" s="4"/>
      <c r="EJ88" s="4"/>
      <c r="EK88" s="4"/>
      <c r="EL88" s="4"/>
      <c r="EM88" s="4"/>
      <c r="EN88" s="4"/>
      <c r="EO88" s="4"/>
      <c r="EP88" s="4"/>
      <c r="EQ88" s="4"/>
      <c r="ER88" s="4"/>
      <c r="ES88" s="4"/>
      <c r="ET88" s="4"/>
      <c r="EU88" s="4"/>
      <c r="EV88" s="4"/>
      <c r="EW88" s="4"/>
      <c r="EX88" s="4"/>
      <c r="EY88" s="4"/>
      <c r="EZ88" s="4"/>
      <c r="FA88" s="4"/>
      <c r="FB88" s="4"/>
      <c r="FC88" s="4"/>
      <c r="FD88" s="4"/>
      <c r="FE88" s="4"/>
      <c r="FF88" s="4"/>
      <c r="FG88" s="4"/>
      <c r="FH88" s="4"/>
      <c r="FI88" s="4"/>
      <c r="FJ88" s="4"/>
      <c r="FK88" s="4"/>
      <c r="FL88" s="4"/>
      <c r="FM88" s="4"/>
      <c r="FN88" s="4"/>
      <c r="FO88" s="4"/>
      <c r="FP88" s="4"/>
      <c r="FQ88" s="4"/>
      <c r="FR88" s="4"/>
      <c r="FS88" s="4"/>
      <c r="FT88" s="4"/>
      <c r="FU88" s="4"/>
      <c r="FV88" s="4"/>
      <c r="FW88" s="4"/>
      <c r="FX88" s="4"/>
      <c r="FY88" s="4"/>
      <c r="FZ88" s="4"/>
      <c r="GA88" s="4"/>
      <c r="GB88" s="4"/>
      <c r="GC88" s="4"/>
      <c r="GD88" s="4"/>
      <c r="GE88" s="4"/>
      <c r="GF88" s="4"/>
      <c r="GG88" s="4"/>
      <c r="GH88" s="4"/>
      <c r="GI88" s="4"/>
      <c r="GJ88" s="4"/>
      <c r="GK88" s="4"/>
      <c r="GL88" s="4"/>
      <c r="GM88" s="4"/>
      <c r="GN88" s="4"/>
      <c r="GO88" s="4"/>
      <c r="GP88" s="4"/>
      <c r="GQ88" s="4"/>
      <c r="GR88" s="4"/>
      <c r="GS88" s="4"/>
      <c r="GT88" s="4"/>
      <c r="GU88" s="4"/>
      <c r="GV88" s="4"/>
      <c r="GW88" s="4"/>
      <c r="GX88" s="4"/>
      <c r="GY88" s="4"/>
      <c r="GZ88" s="4"/>
      <c r="HA88" s="4"/>
      <c r="HB88" s="4"/>
      <c r="HC88" s="4"/>
      <c r="HD88" s="4"/>
      <c r="HE88" s="4"/>
      <c r="HF88" s="4"/>
      <c r="HG88" s="4"/>
      <c r="HH88" s="4"/>
      <c r="HI88" s="4"/>
      <c r="HJ88" s="4"/>
      <c r="HK88" s="4"/>
      <c r="HL88" s="4"/>
      <c r="HM88" s="4"/>
      <c r="HN88" s="4"/>
      <c r="HO88" s="4"/>
      <c r="HP88" s="4"/>
      <c r="HQ88" s="4"/>
      <c r="HR88" s="4"/>
      <c r="HS88" s="4"/>
      <c r="HT88" s="4"/>
      <c r="HU88" s="4"/>
      <c r="HV88" s="4"/>
      <c r="HW88" s="4"/>
      <c r="HX88" s="4"/>
      <c r="HY88" s="4"/>
      <c r="HZ88" s="4"/>
      <c r="IA88" s="4"/>
      <c r="IB88" s="4"/>
      <c r="IC88" s="4"/>
      <c r="ID88" s="4"/>
      <c r="IE88" s="4"/>
      <c r="IF88" s="4"/>
      <c r="IG88" s="4"/>
      <c r="IH88" s="4"/>
      <c r="II88" s="4"/>
      <c r="IJ88" s="4"/>
      <c r="IK88" s="4"/>
      <c r="IL88" s="4"/>
      <c r="IM88" s="4"/>
      <c r="IN88" s="4"/>
      <c r="IO88" s="4"/>
      <c r="IP88" s="4"/>
      <c r="IQ88" s="4"/>
      <c r="IR88" s="4"/>
      <c r="IS88" s="4"/>
      <c r="IT88" s="4"/>
      <c r="IU88" s="4"/>
      <c r="IV88" s="4"/>
      <c r="IW88" s="4"/>
      <c r="IX88" s="4"/>
      <c r="IY88" s="4"/>
      <c r="IZ88" s="4"/>
      <c r="JA88" s="4"/>
      <c r="JB88" s="4"/>
      <c r="JC88" s="4"/>
      <c r="JD88" s="4"/>
      <c r="JE88" s="4"/>
      <c r="JF88" s="4"/>
      <c r="JG88" s="4"/>
      <c r="JH88" s="4"/>
      <c r="JI88" s="4"/>
      <c r="JJ88" s="4"/>
      <c r="JK88" s="4"/>
      <c r="JL88" s="4"/>
      <c r="JM88" s="4"/>
      <c r="JN88" s="4"/>
      <c r="JO88" s="4"/>
      <c r="JP88" s="4"/>
      <c r="JQ88" s="4"/>
      <c r="JR88" s="4"/>
      <c r="JS88" s="4"/>
      <c r="JT88" s="4"/>
      <c r="JU88" s="4"/>
      <c r="JV88" s="4"/>
      <c r="JW88" s="4"/>
      <c r="JX88" s="4"/>
      <c r="JY88" s="4"/>
      <c r="JZ88" s="4"/>
      <c r="KA88" s="4"/>
      <c r="KB88" s="4"/>
      <c r="KC88" s="4"/>
      <c r="KD88" s="4"/>
      <c r="KE88" s="4"/>
      <c r="KF88" s="4"/>
      <c r="KG88" s="4"/>
      <c r="KH88" s="4"/>
      <c r="KI88" s="4"/>
      <c r="KJ88" s="4"/>
      <c r="KK88" s="4"/>
      <c r="KL88" s="4"/>
      <c r="KM88" s="4"/>
      <c r="KN88" s="4"/>
      <c r="KO88" s="4"/>
      <c r="KP88" s="4"/>
      <c r="KQ88" s="4"/>
      <c r="KR88" s="4"/>
      <c r="KS88" s="4"/>
      <c r="KT88" s="4"/>
      <c r="KU88" s="4"/>
      <c r="KV88" s="4"/>
      <c r="KW88" s="4"/>
      <c r="KX88" s="4"/>
      <c r="KY88" s="4"/>
      <c r="KZ88" s="4"/>
      <c r="LA88" s="4"/>
      <c r="LB88" s="4"/>
      <c r="LC88" s="4"/>
      <c r="LD88" s="4"/>
      <c r="LE88" s="4"/>
      <c r="LF88" s="4"/>
      <c r="LG88" s="4"/>
      <c r="LH88" s="4"/>
      <c r="LI88" s="4"/>
      <c r="LJ88" s="4"/>
      <c r="LK88" s="4"/>
      <c r="LL88" s="4"/>
      <c r="LM88" s="4"/>
      <c r="LN88" s="4"/>
      <c r="LO88" s="4"/>
      <c r="LP88" s="4"/>
      <c r="LQ88" s="4"/>
      <c r="LR88" s="4"/>
      <c r="LS88" s="4"/>
      <c r="LT88" s="4"/>
      <c r="LU88" s="4"/>
      <c r="LV88" s="4"/>
      <c r="LW88" s="4"/>
      <c r="LX88" s="4"/>
      <c r="LY88" s="4"/>
      <c r="LZ88" s="4"/>
      <c r="MA88" s="4"/>
      <c r="MB88" s="4"/>
      <c r="MC88" s="4"/>
      <c r="MD88" s="4"/>
      <c r="ME88" s="4"/>
      <c r="MF88" s="4"/>
      <c r="MG88" s="4"/>
      <c r="MH88" s="4"/>
      <c r="MI88" s="4"/>
      <c r="MJ88" s="4"/>
      <c r="MK88" s="4"/>
      <c r="ML88" s="4"/>
      <c r="MM88" s="4"/>
      <c r="MN88" s="4"/>
      <c r="MO88" s="4"/>
      <c r="MP88" s="4"/>
    </row>
    <row r="89" spans="1:354">
      <c r="A89" s="4"/>
      <c r="B89" s="4"/>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c r="AQ89" s="4"/>
      <c r="AR89" s="4"/>
      <c r="AS89" s="4"/>
      <c r="AT89" s="4"/>
      <c r="AU89" s="4"/>
      <c r="AV89" s="4"/>
      <c r="AW89" s="4"/>
      <c r="AX89" s="4"/>
      <c r="AY89" s="4"/>
      <c r="AZ89" s="4"/>
      <c r="BA89" s="4"/>
      <c r="BB89" s="4"/>
      <c r="BC89" s="4"/>
      <c r="BD89" s="4"/>
      <c r="BE89" s="4"/>
      <c r="BF89" s="4"/>
      <c r="BG89" s="4"/>
      <c r="BH89" s="4"/>
      <c r="BI89" s="4"/>
      <c r="BJ89" s="4"/>
      <c r="BK89" s="4"/>
      <c r="BL89" s="4"/>
      <c r="BM89" s="4"/>
      <c r="BN89" s="4"/>
      <c r="BO89" s="4"/>
      <c r="BP89" s="4"/>
      <c r="BQ89" s="4"/>
      <c r="BR89" s="4"/>
      <c r="BS89" s="4"/>
      <c r="BT89" s="4"/>
      <c r="BU89" s="4"/>
      <c r="BV89" s="4"/>
      <c r="BW89" s="4"/>
      <c r="BX89" s="4"/>
      <c r="BY89" s="4"/>
      <c r="BZ89" s="4"/>
      <c r="CA89" s="4"/>
      <c r="CB89" s="4"/>
      <c r="CC89" s="4"/>
      <c r="CD89" s="4"/>
      <c r="CE89" s="4"/>
      <c r="CF89" s="4"/>
      <c r="CG89" s="4"/>
      <c r="CH89" s="4"/>
      <c r="CI89" s="4"/>
      <c r="CJ89" s="4"/>
      <c r="CK89" s="4"/>
      <c r="CL89" s="4"/>
      <c r="CM89" s="4"/>
      <c r="CN89" s="4"/>
      <c r="CO89" s="4"/>
      <c r="CP89" s="4"/>
      <c r="CQ89" s="4"/>
      <c r="CR89" s="4"/>
      <c r="CS89" s="4"/>
      <c r="CT89" s="4"/>
      <c r="CU89" s="4"/>
      <c r="CV89" s="4"/>
      <c r="CW89" s="4"/>
      <c r="CX89" s="4"/>
      <c r="CY89" s="4"/>
      <c r="CZ89" s="4"/>
      <c r="DA89" s="4"/>
      <c r="DB89" s="4"/>
      <c r="DC89" s="4"/>
      <c r="DD89" s="4"/>
      <c r="DE89" s="4"/>
      <c r="DF89" s="4"/>
      <c r="DG89" s="4"/>
      <c r="DH89" s="4"/>
      <c r="DI89" s="4"/>
      <c r="DJ89" s="4"/>
      <c r="DK89" s="4"/>
      <c r="DL89" s="4"/>
      <c r="DM89" s="4"/>
      <c r="DN89" s="4"/>
      <c r="DO89" s="4"/>
      <c r="DP89" s="4"/>
      <c r="DQ89" s="4"/>
      <c r="DR89" s="4"/>
      <c r="DS89" s="4"/>
      <c r="DT89" s="4"/>
      <c r="DU89" s="4"/>
      <c r="DV89" s="4"/>
      <c r="DW89" s="4"/>
      <c r="DX89" s="4"/>
      <c r="DY89" s="4"/>
      <c r="DZ89" s="4"/>
      <c r="EA89" s="4"/>
      <c r="EB89" s="4"/>
      <c r="EC89" s="4"/>
      <c r="ED89" s="4"/>
      <c r="EE89" s="4"/>
      <c r="EF89" s="4"/>
      <c r="EG89" s="4"/>
      <c r="EH89" s="4"/>
      <c r="EI89" s="4"/>
      <c r="EJ89" s="4"/>
      <c r="EK89" s="4"/>
      <c r="EL89" s="4"/>
      <c r="EM89" s="4"/>
      <c r="EN89" s="4"/>
      <c r="EO89" s="4"/>
      <c r="EP89" s="4"/>
      <c r="EQ89" s="4"/>
      <c r="ER89" s="4"/>
      <c r="ES89" s="4"/>
      <c r="ET89" s="4"/>
      <c r="EU89" s="4"/>
      <c r="EV89" s="4"/>
      <c r="EW89" s="4"/>
      <c r="EX89" s="4"/>
      <c r="EY89" s="4"/>
      <c r="EZ89" s="4"/>
      <c r="FA89" s="4"/>
      <c r="FB89" s="4"/>
      <c r="FC89" s="4"/>
      <c r="FD89" s="4"/>
      <c r="FE89" s="4"/>
      <c r="FF89" s="4"/>
      <c r="FG89" s="4"/>
      <c r="FH89" s="4"/>
      <c r="FI89" s="4"/>
      <c r="FJ89" s="4"/>
      <c r="FK89" s="4"/>
      <c r="FL89" s="4"/>
      <c r="FM89" s="4"/>
      <c r="FN89" s="4"/>
      <c r="FO89" s="4"/>
      <c r="FP89" s="4"/>
      <c r="FQ89" s="4"/>
      <c r="FR89" s="4"/>
      <c r="FS89" s="4"/>
      <c r="FT89" s="4"/>
      <c r="FU89" s="4"/>
      <c r="FV89" s="4"/>
      <c r="FW89" s="4"/>
      <c r="FX89" s="4"/>
      <c r="FY89" s="4"/>
      <c r="FZ89" s="4"/>
      <c r="GA89" s="4"/>
      <c r="GB89" s="4"/>
      <c r="GC89" s="4"/>
      <c r="GD89" s="4"/>
      <c r="GE89" s="4"/>
      <c r="GF89" s="4"/>
      <c r="GG89" s="4"/>
      <c r="GH89" s="4"/>
      <c r="GI89" s="4"/>
      <c r="GJ89" s="4"/>
      <c r="GK89" s="4"/>
      <c r="GL89" s="4"/>
      <c r="GM89" s="4"/>
      <c r="GN89" s="4"/>
      <c r="GO89" s="4"/>
      <c r="GP89" s="4"/>
      <c r="GQ89" s="4"/>
      <c r="GR89" s="4"/>
      <c r="GS89" s="4"/>
      <c r="GT89" s="4"/>
      <c r="GU89" s="4"/>
      <c r="GV89" s="4"/>
      <c r="GW89" s="4"/>
      <c r="GX89" s="4"/>
      <c r="GY89" s="4"/>
      <c r="GZ89" s="4"/>
      <c r="HA89" s="4"/>
      <c r="HB89" s="4"/>
      <c r="HC89" s="4"/>
      <c r="HD89" s="4"/>
      <c r="HE89" s="4"/>
      <c r="HF89" s="4"/>
      <c r="HG89" s="4"/>
      <c r="HH89" s="4"/>
      <c r="HI89" s="4"/>
      <c r="HJ89" s="4"/>
      <c r="HK89" s="4"/>
      <c r="HL89" s="4"/>
      <c r="HM89" s="4"/>
      <c r="HN89" s="4"/>
      <c r="HO89" s="4"/>
      <c r="HP89" s="4"/>
      <c r="HQ89" s="4"/>
      <c r="HR89" s="4"/>
      <c r="HS89" s="4"/>
      <c r="HT89" s="4"/>
      <c r="HU89" s="4"/>
      <c r="HV89" s="4"/>
      <c r="HW89" s="4"/>
      <c r="HX89" s="4"/>
      <c r="HY89" s="4"/>
      <c r="HZ89" s="4"/>
      <c r="IA89" s="4"/>
      <c r="IB89" s="4"/>
      <c r="IC89" s="4"/>
      <c r="ID89" s="4"/>
      <c r="IE89" s="4"/>
      <c r="IF89" s="4"/>
      <c r="IG89" s="4"/>
      <c r="IH89" s="4"/>
      <c r="II89" s="4"/>
      <c r="IJ89" s="4"/>
      <c r="IK89" s="4"/>
      <c r="IL89" s="4"/>
      <c r="IM89" s="4"/>
      <c r="IN89" s="4"/>
      <c r="IO89" s="4"/>
      <c r="IP89" s="4"/>
      <c r="IQ89" s="4"/>
      <c r="IR89" s="4"/>
      <c r="IS89" s="4"/>
      <c r="IT89" s="4"/>
      <c r="IU89" s="4"/>
      <c r="IV89" s="4"/>
      <c r="IW89" s="4"/>
      <c r="IX89" s="4"/>
      <c r="IY89" s="4"/>
      <c r="IZ89" s="4"/>
      <c r="JA89" s="4"/>
      <c r="JB89" s="4"/>
      <c r="JC89" s="4"/>
      <c r="JD89" s="4"/>
      <c r="JE89" s="4"/>
      <c r="JF89" s="4"/>
      <c r="JG89" s="4"/>
      <c r="JH89" s="4"/>
      <c r="JI89" s="4"/>
      <c r="JJ89" s="4"/>
      <c r="JK89" s="4"/>
      <c r="JL89" s="4"/>
      <c r="JM89" s="4"/>
      <c r="JN89" s="4"/>
      <c r="JO89" s="4"/>
      <c r="JP89" s="4"/>
      <c r="JQ89" s="4"/>
      <c r="JR89" s="4"/>
      <c r="JS89" s="4"/>
      <c r="JT89" s="4"/>
      <c r="JU89" s="4"/>
      <c r="JV89" s="4"/>
      <c r="JW89" s="4"/>
      <c r="JX89" s="4"/>
      <c r="JY89" s="4"/>
      <c r="JZ89" s="4"/>
      <c r="KA89" s="4"/>
      <c r="KB89" s="4"/>
      <c r="KC89" s="4"/>
      <c r="KD89" s="4"/>
      <c r="KE89" s="4"/>
      <c r="KF89" s="4"/>
      <c r="KG89" s="4"/>
      <c r="KH89" s="4"/>
      <c r="KI89" s="4"/>
      <c r="KJ89" s="4"/>
      <c r="KK89" s="4"/>
      <c r="KL89" s="4"/>
      <c r="KM89" s="4"/>
      <c r="KN89" s="4"/>
      <c r="KO89" s="4"/>
      <c r="KP89" s="4"/>
      <c r="KQ89" s="4"/>
      <c r="KR89" s="4"/>
      <c r="KS89" s="4"/>
      <c r="KT89" s="4"/>
      <c r="KU89" s="4"/>
      <c r="KV89" s="4"/>
      <c r="KW89" s="4"/>
      <c r="KX89" s="4"/>
      <c r="KY89" s="4"/>
      <c r="KZ89" s="4"/>
      <c r="LA89" s="4"/>
      <c r="LB89" s="4"/>
      <c r="LC89" s="4"/>
      <c r="LD89" s="4"/>
      <c r="LE89" s="4"/>
      <c r="LF89" s="4"/>
      <c r="LG89" s="4"/>
      <c r="LH89" s="4"/>
      <c r="LI89" s="4"/>
      <c r="LJ89" s="4"/>
      <c r="LK89" s="4"/>
      <c r="LL89" s="4"/>
      <c r="LM89" s="4"/>
      <c r="LN89" s="4"/>
      <c r="LO89" s="4"/>
      <c r="LP89" s="4"/>
      <c r="LQ89" s="4"/>
      <c r="LR89" s="4"/>
      <c r="LS89" s="4"/>
      <c r="LT89" s="4"/>
      <c r="LU89" s="4"/>
      <c r="LV89" s="4"/>
      <c r="LW89" s="4"/>
      <c r="LX89" s="4"/>
      <c r="LY89" s="4"/>
      <c r="LZ89" s="4"/>
      <c r="MA89" s="4"/>
      <c r="MB89" s="4"/>
      <c r="MC89" s="4"/>
      <c r="MD89" s="4"/>
      <c r="ME89" s="4"/>
      <c r="MF89" s="4"/>
      <c r="MG89" s="4"/>
      <c r="MH89" s="4"/>
      <c r="MI89" s="4"/>
      <c r="MJ89" s="4"/>
      <c r="MK89" s="4"/>
      <c r="ML89" s="4"/>
      <c r="MM89" s="4"/>
      <c r="MN89" s="4"/>
      <c r="MO89" s="4"/>
      <c r="MP89" s="4"/>
    </row>
    <row r="90" spans="1:354">
      <c r="A90" s="4"/>
      <c r="B90" s="4"/>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c r="AQ90" s="4"/>
      <c r="AR90" s="4"/>
      <c r="AS90" s="4"/>
      <c r="AT90" s="4"/>
      <c r="AU90" s="4"/>
      <c r="AV90" s="4"/>
      <c r="AW90" s="4"/>
      <c r="AX90" s="4"/>
      <c r="AY90" s="4"/>
      <c r="AZ90" s="4"/>
      <c r="BA90" s="4"/>
      <c r="BB90" s="4"/>
      <c r="BC90" s="4"/>
      <c r="BD90" s="4"/>
      <c r="BE90" s="4"/>
      <c r="BF90" s="4"/>
      <c r="BG90" s="4"/>
      <c r="BH90" s="4"/>
      <c r="BI90" s="4"/>
      <c r="BJ90" s="4"/>
      <c r="BK90" s="4"/>
      <c r="BL90" s="4"/>
      <c r="BM90" s="4"/>
      <c r="BN90" s="4"/>
      <c r="BO90" s="4"/>
      <c r="BP90" s="4"/>
      <c r="BQ90" s="4"/>
      <c r="BR90" s="4"/>
      <c r="BS90" s="4"/>
      <c r="BT90" s="4"/>
      <c r="BU90" s="4"/>
      <c r="BV90" s="4"/>
      <c r="BW90" s="4"/>
      <c r="BX90" s="4"/>
      <c r="BY90" s="4"/>
      <c r="BZ90" s="4"/>
      <c r="CA90" s="4"/>
      <c r="CB90" s="4"/>
      <c r="CC90" s="4"/>
      <c r="CD90" s="4"/>
      <c r="CE90" s="4"/>
      <c r="CF90" s="4"/>
      <c r="CG90" s="4"/>
      <c r="CH90" s="4"/>
      <c r="CI90" s="4"/>
      <c r="CJ90" s="4"/>
      <c r="CK90" s="4"/>
      <c r="CL90" s="4"/>
      <c r="CM90" s="4"/>
      <c r="CN90" s="4"/>
      <c r="CO90" s="4"/>
      <c r="CP90" s="4"/>
      <c r="CQ90" s="4"/>
      <c r="CR90" s="4"/>
      <c r="CS90" s="4"/>
      <c r="CT90" s="4"/>
      <c r="CU90" s="4"/>
      <c r="CV90" s="4"/>
      <c r="CW90" s="4"/>
      <c r="CX90" s="4"/>
      <c r="CY90" s="4"/>
      <c r="CZ90" s="4"/>
      <c r="DA90" s="4"/>
      <c r="DB90" s="4"/>
      <c r="DC90" s="4"/>
      <c r="DD90" s="4"/>
      <c r="DE90" s="4"/>
      <c r="DF90" s="4"/>
      <c r="DG90" s="4"/>
      <c r="DH90" s="4"/>
      <c r="DI90" s="4"/>
      <c r="DJ90" s="4"/>
      <c r="DK90" s="4"/>
      <c r="DL90" s="4"/>
      <c r="DM90" s="4"/>
      <c r="DN90" s="4"/>
      <c r="DO90" s="4"/>
      <c r="DP90" s="4"/>
      <c r="DQ90" s="4"/>
      <c r="DR90" s="4"/>
      <c r="DS90" s="4"/>
      <c r="DT90" s="4"/>
      <c r="DU90" s="4"/>
      <c r="DV90" s="4"/>
      <c r="DW90" s="4"/>
      <c r="DX90" s="4"/>
      <c r="DY90" s="4"/>
      <c r="DZ90" s="4"/>
      <c r="EA90" s="4"/>
      <c r="EB90" s="4"/>
      <c r="EC90" s="4"/>
      <c r="ED90" s="4"/>
      <c r="EE90" s="4"/>
      <c r="EF90" s="4"/>
      <c r="EG90" s="4"/>
      <c r="EH90" s="4"/>
      <c r="EI90" s="4"/>
      <c r="EJ90" s="4"/>
      <c r="EK90" s="4"/>
      <c r="EL90" s="4"/>
      <c r="EM90" s="4"/>
      <c r="EN90" s="4"/>
      <c r="EO90" s="4"/>
      <c r="EP90" s="4"/>
      <c r="EQ90" s="4"/>
      <c r="ER90" s="4"/>
      <c r="ES90" s="4"/>
      <c r="ET90" s="4"/>
      <c r="EU90" s="4"/>
      <c r="EV90" s="4"/>
      <c r="EW90" s="4"/>
      <c r="EX90" s="4"/>
      <c r="EY90" s="4"/>
      <c r="EZ90" s="4"/>
      <c r="FA90" s="4"/>
      <c r="FB90" s="4"/>
      <c r="FC90" s="4"/>
      <c r="FD90" s="4"/>
      <c r="FE90" s="4"/>
      <c r="FF90" s="4"/>
      <c r="FG90" s="4"/>
      <c r="FH90" s="4"/>
      <c r="FI90" s="4"/>
      <c r="FJ90" s="4"/>
      <c r="FK90" s="4"/>
      <c r="FL90" s="4"/>
      <c r="FM90" s="4"/>
      <c r="FN90" s="4"/>
      <c r="FO90" s="4"/>
      <c r="FP90" s="4"/>
      <c r="FQ90" s="4"/>
      <c r="FR90" s="4"/>
      <c r="FS90" s="4"/>
      <c r="FT90" s="4"/>
      <c r="FU90" s="4"/>
      <c r="FV90" s="4"/>
      <c r="FW90" s="4"/>
      <c r="FX90" s="4"/>
      <c r="FY90" s="4"/>
      <c r="FZ90" s="4"/>
      <c r="GA90" s="4"/>
      <c r="GB90" s="4"/>
      <c r="GC90" s="4"/>
      <c r="GD90" s="4"/>
      <c r="GE90" s="4"/>
      <c r="GF90" s="4"/>
      <c r="GG90" s="4"/>
      <c r="GH90" s="4"/>
      <c r="GI90" s="4"/>
      <c r="GJ90" s="4"/>
      <c r="GK90" s="4"/>
      <c r="GL90" s="4"/>
      <c r="GM90" s="4"/>
      <c r="GN90" s="4"/>
      <c r="GO90" s="4"/>
      <c r="GP90" s="4"/>
      <c r="GQ90" s="4"/>
      <c r="GR90" s="4"/>
      <c r="GS90" s="4"/>
      <c r="GT90" s="4"/>
      <c r="GU90" s="4"/>
      <c r="GV90" s="4"/>
      <c r="GW90" s="4"/>
      <c r="GX90" s="4"/>
      <c r="GY90" s="4"/>
      <c r="GZ90" s="4"/>
      <c r="HA90" s="4"/>
      <c r="HB90" s="4"/>
      <c r="HC90" s="4"/>
      <c r="HD90" s="4"/>
      <c r="HE90" s="4"/>
      <c r="HF90" s="4"/>
      <c r="HG90" s="4"/>
      <c r="HH90" s="4"/>
      <c r="HI90" s="4"/>
      <c r="HJ90" s="4"/>
      <c r="HK90" s="4"/>
      <c r="HL90" s="4"/>
      <c r="HM90" s="4"/>
      <c r="HN90" s="4"/>
      <c r="HO90" s="4"/>
      <c r="HP90" s="4"/>
      <c r="HQ90" s="4"/>
      <c r="HR90" s="4"/>
      <c r="HS90" s="4"/>
      <c r="HT90" s="4"/>
      <c r="HU90" s="4"/>
      <c r="HV90" s="4"/>
      <c r="HW90" s="4"/>
      <c r="HX90" s="4"/>
      <c r="HY90" s="4"/>
      <c r="HZ90" s="4"/>
      <c r="IA90" s="4"/>
      <c r="IB90" s="4"/>
      <c r="IC90" s="4"/>
      <c r="ID90" s="4"/>
      <c r="IE90" s="4"/>
      <c r="IF90" s="4"/>
      <c r="IG90" s="4"/>
      <c r="IH90" s="4"/>
      <c r="II90" s="4"/>
      <c r="IJ90" s="4"/>
      <c r="IK90" s="4"/>
      <c r="IL90" s="4"/>
      <c r="IM90" s="4"/>
      <c r="IN90" s="4"/>
      <c r="IO90" s="4"/>
      <c r="IP90" s="4"/>
      <c r="IQ90" s="4"/>
      <c r="IR90" s="4"/>
      <c r="IS90" s="4"/>
      <c r="IT90" s="4"/>
      <c r="IU90" s="4"/>
      <c r="IV90" s="4"/>
      <c r="IW90" s="4"/>
      <c r="IX90" s="4"/>
      <c r="IY90" s="4"/>
      <c r="IZ90" s="4"/>
      <c r="JA90" s="4"/>
      <c r="JB90" s="4"/>
      <c r="JC90" s="4"/>
      <c r="JD90" s="4"/>
      <c r="JE90" s="4"/>
      <c r="JF90" s="4"/>
      <c r="JG90" s="4"/>
      <c r="JH90" s="4"/>
      <c r="JI90" s="4"/>
      <c r="JJ90" s="4"/>
      <c r="JK90" s="4"/>
      <c r="JL90" s="4"/>
      <c r="JM90" s="4"/>
      <c r="JN90" s="4"/>
      <c r="JO90" s="4"/>
      <c r="JP90" s="4"/>
      <c r="JQ90" s="4"/>
      <c r="JR90" s="4"/>
      <c r="JS90" s="4"/>
      <c r="JT90" s="4"/>
      <c r="JU90" s="4"/>
      <c r="JV90" s="4"/>
      <c r="JW90" s="4"/>
      <c r="JX90" s="4"/>
      <c r="JY90" s="4"/>
      <c r="JZ90" s="4"/>
      <c r="KA90" s="4"/>
      <c r="KB90" s="4"/>
      <c r="KC90" s="4"/>
      <c r="KD90" s="4"/>
      <c r="KE90" s="4"/>
      <c r="KF90" s="4"/>
      <c r="KG90" s="4"/>
      <c r="KH90" s="4"/>
      <c r="KI90" s="4"/>
      <c r="KJ90" s="4"/>
      <c r="KK90" s="4"/>
      <c r="KL90" s="4"/>
      <c r="KM90" s="4"/>
      <c r="KN90" s="4"/>
      <c r="KO90" s="4"/>
      <c r="KP90" s="4"/>
      <c r="KQ90" s="4"/>
      <c r="KR90" s="4"/>
      <c r="KS90" s="4"/>
      <c r="KT90" s="4"/>
      <c r="KU90" s="4"/>
      <c r="KV90" s="4"/>
      <c r="KW90" s="4"/>
      <c r="KX90" s="4"/>
      <c r="KY90" s="4"/>
      <c r="KZ90" s="4"/>
      <c r="LA90" s="4"/>
      <c r="LB90" s="4"/>
      <c r="LC90" s="4"/>
      <c r="LD90" s="4"/>
      <c r="LE90" s="4"/>
      <c r="LF90" s="4"/>
      <c r="LG90" s="4"/>
      <c r="LH90" s="4"/>
      <c r="LI90" s="4"/>
      <c r="LJ90" s="4"/>
      <c r="LK90" s="4"/>
      <c r="LL90" s="4"/>
      <c r="LM90" s="4"/>
      <c r="LN90" s="4"/>
      <c r="LO90" s="4"/>
      <c r="LP90" s="4"/>
      <c r="LQ90" s="4"/>
      <c r="LR90" s="4"/>
      <c r="LS90" s="4"/>
      <c r="LT90" s="4"/>
      <c r="LU90" s="4"/>
      <c r="LV90" s="4"/>
      <c r="LW90" s="4"/>
      <c r="LX90" s="4"/>
      <c r="LY90" s="4"/>
      <c r="LZ90" s="4"/>
      <c r="MA90" s="4"/>
      <c r="MB90" s="4"/>
      <c r="MC90" s="4"/>
      <c r="MD90" s="4"/>
      <c r="ME90" s="4"/>
      <c r="MF90" s="4"/>
      <c r="MG90" s="4"/>
      <c r="MH90" s="4"/>
      <c r="MI90" s="4"/>
      <c r="MJ90" s="4"/>
      <c r="MK90" s="4"/>
      <c r="ML90" s="4"/>
      <c r="MM90" s="4"/>
      <c r="MN90" s="4"/>
      <c r="MO90" s="4"/>
      <c r="MP90" s="4"/>
    </row>
    <row r="91" spans="1:354">
      <c r="A91" s="4"/>
      <c r="B91" s="4"/>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c r="AQ91" s="4"/>
      <c r="AR91" s="4"/>
      <c r="AS91" s="4"/>
      <c r="AT91" s="4"/>
      <c r="AU91" s="4"/>
      <c r="AV91" s="4"/>
      <c r="AW91" s="4"/>
      <c r="AX91" s="4"/>
      <c r="AY91" s="4"/>
      <c r="AZ91" s="4"/>
      <c r="BA91" s="4"/>
      <c r="BB91" s="4"/>
      <c r="BC91" s="4"/>
      <c r="BD91" s="4"/>
      <c r="BE91" s="4"/>
      <c r="BF91" s="4"/>
      <c r="BG91" s="4"/>
      <c r="BH91" s="4"/>
      <c r="BI91" s="4"/>
      <c r="BJ91" s="4"/>
      <c r="BK91" s="4"/>
      <c r="BL91" s="4"/>
      <c r="BM91" s="4"/>
      <c r="BN91" s="4"/>
      <c r="BO91" s="4"/>
      <c r="BP91" s="4"/>
      <c r="BQ91" s="4"/>
      <c r="BR91" s="4"/>
      <c r="BS91" s="4"/>
      <c r="BT91" s="4"/>
      <c r="BU91" s="4"/>
      <c r="BV91" s="4"/>
      <c r="BW91" s="4"/>
      <c r="BX91" s="4"/>
      <c r="BY91" s="4"/>
      <c r="BZ91" s="4"/>
      <c r="CA91" s="4"/>
      <c r="CB91" s="4"/>
      <c r="CC91" s="4"/>
      <c r="CD91" s="4"/>
      <c r="CE91" s="4"/>
      <c r="CF91" s="4"/>
      <c r="CG91" s="4"/>
      <c r="CH91" s="4"/>
      <c r="CI91" s="4"/>
      <c r="CJ91" s="4"/>
      <c r="CK91" s="4"/>
      <c r="CL91" s="4"/>
      <c r="CM91" s="4"/>
      <c r="CN91" s="4"/>
      <c r="CO91" s="4"/>
      <c r="CP91" s="4"/>
      <c r="CQ91" s="4"/>
      <c r="CR91" s="4"/>
      <c r="CS91" s="4"/>
      <c r="CT91" s="4"/>
      <c r="CU91" s="4"/>
      <c r="CV91" s="4"/>
      <c r="CW91" s="4"/>
      <c r="CX91" s="4"/>
      <c r="CY91" s="4"/>
      <c r="CZ91" s="4"/>
      <c r="DA91" s="4"/>
      <c r="DB91" s="4"/>
      <c r="DC91" s="4"/>
      <c r="DD91" s="4"/>
      <c r="DE91" s="4"/>
      <c r="DF91" s="4"/>
      <c r="DG91" s="4"/>
      <c r="DH91" s="4"/>
      <c r="DI91" s="4"/>
      <c r="DJ91" s="4"/>
      <c r="DK91" s="4"/>
      <c r="DL91" s="4"/>
      <c r="DM91" s="4"/>
      <c r="DN91" s="4"/>
      <c r="DO91" s="4"/>
      <c r="DP91" s="4"/>
      <c r="DQ91" s="4"/>
      <c r="DR91" s="4"/>
      <c r="DS91" s="4"/>
      <c r="DT91" s="4"/>
      <c r="DU91" s="4"/>
      <c r="DV91" s="4"/>
      <c r="DW91" s="4"/>
      <c r="DX91" s="4"/>
      <c r="DY91" s="4"/>
      <c r="DZ91" s="4"/>
      <c r="EA91" s="4"/>
      <c r="EB91" s="4"/>
      <c r="EC91" s="4"/>
      <c r="ED91" s="4"/>
      <c r="EE91" s="4"/>
      <c r="EF91" s="4"/>
      <c r="EG91" s="4"/>
      <c r="EH91" s="4"/>
      <c r="EI91" s="4"/>
      <c r="EJ91" s="4"/>
      <c r="EK91" s="4"/>
      <c r="EL91" s="4"/>
      <c r="EM91" s="4"/>
      <c r="EN91" s="4"/>
      <c r="EO91" s="4"/>
      <c r="EP91" s="4"/>
      <c r="EQ91" s="4"/>
      <c r="ER91" s="4"/>
      <c r="ES91" s="4"/>
      <c r="ET91" s="4"/>
      <c r="EU91" s="4"/>
      <c r="EV91" s="4"/>
      <c r="EW91" s="4"/>
      <c r="EX91" s="4"/>
      <c r="EY91" s="4"/>
      <c r="EZ91" s="4"/>
      <c r="FA91" s="4"/>
      <c r="FB91" s="4"/>
      <c r="FC91" s="4"/>
      <c r="FD91" s="4"/>
      <c r="FE91" s="4"/>
      <c r="FF91" s="4"/>
      <c r="FG91" s="4"/>
      <c r="FH91" s="4"/>
      <c r="FI91" s="4"/>
      <c r="FJ91" s="4"/>
      <c r="FK91" s="4"/>
      <c r="FL91" s="4"/>
      <c r="FM91" s="4"/>
      <c r="FN91" s="4"/>
      <c r="FO91" s="4"/>
      <c r="FP91" s="4"/>
      <c r="FQ91" s="4"/>
      <c r="FR91" s="4"/>
      <c r="FS91" s="4"/>
      <c r="FT91" s="4"/>
      <c r="FU91" s="4"/>
      <c r="FV91" s="4"/>
      <c r="FW91" s="4"/>
      <c r="FX91" s="4"/>
      <c r="FY91" s="4"/>
      <c r="FZ91" s="4"/>
      <c r="GA91" s="4"/>
      <c r="GB91" s="4"/>
      <c r="GC91" s="4"/>
      <c r="GD91" s="4"/>
      <c r="GE91" s="4"/>
      <c r="GF91" s="4"/>
      <c r="GG91" s="4"/>
      <c r="GH91" s="4"/>
      <c r="GI91" s="4"/>
      <c r="GJ91" s="4"/>
      <c r="GK91" s="4"/>
      <c r="GL91" s="4"/>
      <c r="GM91" s="4"/>
      <c r="GN91" s="4"/>
      <c r="GO91" s="4"/>
      <c r="GP91" s="4"/>
      <c r="GQ91" s="4"/>
      <c r="GR91" s="4"/>
      <c r="GS91" s="4"/>
      <c r="GT91" s="4"/>
      <c r="GU91" s="4"/>
      <c r="GV91" s="4"/>
      <c r="GW91" s="4"/>
      <c r="GX91" s="4"/>
      <c r="GY91" s="4"/>
      <c r="GZ91" s="4"/>
      <c r="HA91" s="4"/>
      <c r="HB91" s="4"/>
      <c r="HC91" s="4"/>
      <c r="HD91" s="4"/>
      <c r="HE91" s="4"/>
      <c r="HF91" s="4"/>
      <c r="HG91" s="4"/>
      <c r="HH91" s="4"/>
      <c r="HI91" s="4"/>
      <c r="HJ91" s="4"/>
      <c r="HK91" s="4"/>
      <c r="HL91" s="4"/>
      <c r="HM91" s="4"/>
      <c r="HN91" s="4"/>
      <c r="HO91" s="4"/>
      <c r="HP91" s="4"/>
      <c r="HQ91" s="4"/>
      <c r="HR91" s="4"/>
      <c r="HS91" s="4"/>
      <c r="HT91" s="4"/>
      <c r="HU91" s="4"/>
      <c r="HV91" s="4"/>
      <c r="HW91" s="4"/>
      <c r="HX91" s="4"/>
      <c r="HY91" s="4"/>
      <c r="HZ91" s="4"/>
      <c r="IA91" s="4"/>
      <c r="IB91" s="4"/>
      <c r="IC91" s="4"/>
      <c r="ID91" s="4"/>
      <c r="IE91" s="4"/>
      <c r="IF91" s="4"/>
      <c r="IG91" s="4"/>
      <c r="IH91" s="4"/>
      <c r="II91" s="4"/>
      <c r="IJ91" s="4"/>
      <c r="IK91" s="4"/>
      <c r="IL91" s="4"/>
      <c r="IM91" s="4"/>
      <c r="IN91" s="4"/>
      <c r="IO91" s="4"/>
      <c r="IP91" s="4"/>
      <c r="IQ91" s="4"/>
      <c r="IR91" s="4"/>
      <c r="IS91" s="4"/>
      <c r="IT91" s="4"/>
      <c r="IU91" s="4"/>
      <c r="IV91" s="4"/>
      <c r="IW91" s="4"/>
      <c r="IX91" s="4"/>
      <c r="IY91" s="4"/>
      <c r="IZ91" s="4"/>
      <c r="JA91" s="4"/>
      <c r="JB91" s="4"/>
      <c r="JC91" s="4"/>
      <c r="JD91" s="4"/>
      <c r="JE91" s="4"/>
      <c r="JF91" s="4"/>
      <c r="JG91" s="4"/>
      <c r="JH91" s="4"/>
      <c r="JI91" s="4"/>
      <c r="JJ91" s="4"/>
      <c r="JK91" s="4"/>
      <c r="JL91" s="4"/>
      <c r="JM91" s="4"/>
      <c r="JN91" s="4"/>
      <c r="JO91" s="4"/>
      <c r="JP91" s="4"/>
      <c r="JQ91" s="4"/>
      <c r="JR91" s="4"/>
      <c r="JS91" s="4"/>
      <c r="JT91" s="4"/>
      <c r="JU91" s="4"/>
      <c r="JV91" s="4"/>
      <c r="JW91" s="4"/>
      <c r="JX91" s="4"/>
      <c r="JY91" s="4"/>
      <c r="JZ91" s="4"/>
      <c r="KA91" s="4"/>
      <c r="KB91" s="4"/>
      <c r="KC91" s="4"/>
      <c r="KD91" s="4"/>
      <c r="KE91" s="4"/>
      <c r="KF91" s="4"/>
      <c r="KG91" s="4"/>
      <c r="KH91" s="4"/>
      <c r="KI91" s="4"/>
      <c r="KJ91" s="4"/>
      <c r="KK91" s="4"/>
      <c r="KL91" s="4"/>
      <c r="KM91" s="4"/>
      <c r="KN91" s="4"/>
      <c r="KO91" s="4"/>
      <c r="KP91" s="4"/>
      <c r="KQ91" s="4"/>
      <c r="KR91" s="4"/>
      <c r="KS91" s="4"/>
      <c r="KT91" s="4"/>
      <c r="KU91" s="4"/>
      <c r="KV91" s="4"/>
      <c r="KW91" s="4"/>
      <c r="KX91" s="4"/>
      <c r="KY91" s="4"/>
      <c r="KZ91" s="4"/>
      <c r="LA91" s="4"/>
      <c r="LB91" s="4"/>
      <c r="LC91" s="4"/>
      <c r="LD91" s="4"/>
      <c r="LE91" s="4"/>
      <c r="LF91" s="4"/>
      <c r="LG91" s="4"/>
      <c r="LH91" s="4"/>
      <c r="LI91" s="4"/>
      <c r="LJ91" s="4"/>
      <c r="LK91" s="4"/>
      <c r="LL91" s="4"/>
      <c r="LM91" s="4"/>
      <c r="LN91" s="4"/>
      <c r="LO91" s="4"/>
      <c r="LP91" s="4"/>
      <c r="LQ91" s="4"/>
      <c r="LR91" s="4"/>
      <c r="LS91" s="4"/>
      <c r="LT91" s="4"/>
      <c r="LU91" s="4"/>
      <c r="LV91" s="4"/>
      <c r="LW91" s="4"/>
      <c r="LX91" s="4"/>
      <c r="LY91" s="4"/>
      <c r="LZ91" s="4"/>
      <c r="MA91" s="4"/>
      <c r="MB91" s="4"/>
      <c r="MC91" s="4"/>
      <c r="MD91" s="4"/>
      <c r="ME91" s="4"/>
      <c r="MF91" s="4"/>
      <c r="MG91" s="4"/>
      <c r="MH91" s="4"/>
      <c r="MI91" s="4"/>
      <c r="MJ91" s="4"/>
      <c r="MK91" s="4"/>
      <c r="ML91" s="4"/>
      <c r="MM91" s="4"/>
      <c r="MN91" s="4"/>
      <c r="MO91" s="4"/>
      <c r="MP91" s="4"/>
    </row>
    <row r="92" spans="1:354">
      <c r="A92" s="4"/>
      <c r="B92" s="4"/>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c r="AQ92" s="4"/>
      <c r="AR92" s="4"/>
      <c r="AS92" s="4"/>
      <c r="AT92" s="4"/>
      <c r="AU92" s="4"/>
      <c r="AV92" s="4"/>
      <c r="AW92" s="4"/>
      <c r="AX92" s="4"/>
      <c r="AY92" s="4"/>
      <c r="AZ92" s="4"/>
      <c r="BA92" s="4"/>
      <c r="BB92" s="4"/>
      <c r="BC92" s="4"/>
      <c r="BD92" s="4"/>
      <c r="BE92" s="4"/>
      <c r="BF92" s="4"/>
      <c r="BG92" s="4"/>
      <c r="BH92" s="4"/>
      <c r="BI92" s="4"/>
      <c r="BJ92" s="4"/>
      <c r="BK92" s="4"/>
      <c r="BL92" s="4"/>
      <c r="BM92" s="4"/>
      <c r="BN92" s="4"/>
      <c r="BO92" s="4"/>
      <c r="BP92" s="4"/>
      <c r="BQ92" s="4"/>
      <c r="BR92" s="4"/>
      <c r="BS92" s="4"/>
      <c r="BT92" s="4"/>
      <c r="BU92" s="4"/>
      <c r="BV92" s="4"/>
      <c r="BW92" s="4"/>
      <c r="BX92" s="4"/>
      <c r="BY92" s="4"/>
      <c r="BZ92" s="4"/>
      <c r="CA92" s="4"/>
      <c r="CB92" s="4"/>
      <c r="CC92" s="4"/>
      <c r="CD92" s="4"/>
      <c r="CE92" s="4"/>
      <c r="CF92" s="4"/>
      <c r="CG92" s="4"/>
      <c r="CH92" s="4"/>
      <c r="CI92" s="4"/>
      <c r="CJ92" s="4"/>
      <c r="CK92" s="4"/>
      <c r="CL92" s="4"/>
      <c r="CM92" s="4"/>
      <c r="CN92" s="4"/>
      <c r="CO92" s="4"/>
      <c r="CP92" s="4"/>
      <c r="CQ92" s="4"/>
      <c r="CR92" s="4"/>
      <c r="CS92" s="4"/>
      <c r="CT92" s="4"/>
      <c r="CU92" s="4"/>
      <c r="CV92" s="4"/>
      <c r="CW92" s="4"/>
      <c r="CX92" s="4"/>
      <c r="CY92" s="4"/>
      <c r="CZ92" s="4"/>
      <c r="DA92" s="4"/>
      <c r="DB92" s="4"/>
      <c r="DC92" s="4"/>
      <c r="DD92" s="4"/>
      <c r="DE92" s="4"/>
      <c r="DF92" s="4"/>
      <c r="DG92" s="4"/>
      <c r="DH92" s="4"/>
      <c r="DI92" s="4"/>
      <c r="DJ92" s="4"/>
      <c r="DK92" s="4"/>
      <c r="DL92" s="4"/>
      <c r="DM92" s="4"/>
      <c r="DN92" s="4"/>
      <c r="DO92" s="4"/>
      <c r="DP92" s="4"/>
      <c r="DQ92" s="4"/>
      <c r="DR92" s="4"/>
      <c r="DS92" s="4"/>
      <c r="DT92" s="4"/>
      <c r="DU92" s="4"/>
      <c r="DV92" s="4"/>
      <c r="DW92" s="4"/>
      <c r="DX92" s="4"/>
      <c r="DY92" s="4"/>
      <c r="DZ92" s="4"/>
      <c r="EA92" s="4"/>
      <c r="EB92" s="4"/>
      <c r="EC92" s="4"/>
      <c r="ED92" s="4"/>
      <c r="EE92" s="4"/>
      <c r="EF92" s="4"/>
      <c r="EG92" s="4"/>
      <c r="EH92" s="4"/>
      <c r="EI92" s="4"/>
      <c r="EJ92" s="4"/>
      <c r="EK92" s="4"/>
      <c r="EL92" s="4"/>
      <c r="EM92" s="4"/>
      <c r="EN92" s="4"/>
      <c r="EO92" s="4"/>
      <c r="EP92" s="4"/>
      <c r="EQ92" s="4"/>
      <c r="ER92" s="4"/>
      <c r="ES92" s="4"/>
      <c r="ET92" s="4"/>
      <c r="EU92" s="4"/>
      <c r="EV92" s="4"/>
      <c r="EW92" s="4"/>
      <c r="EX92" s="4"/>
      <c r="EY92" s="4"/>
      <c r="EZ92" s="4"/>
      <c r="FA92" s="4"/>
      <c r="FB92" s="4"/>
      <c r="FC92" s="4"/>
      <c r="FD92" s="4"/>
      <c r="FE92" s="4"/>
      <c r="FF92" s="4"/>
      <c r="FG92" s="4"/>
      <c r="FH92" s="4"/>
      <c r="FI92" s="4"/>
      <c r="FJ92" s="4"/>
      <c r="FK92" s="4"/>
      <c r="FL92" s="4"/>
      <c r="FM92" s="4"/>
      <c r="FN92" s="4"/>
      <c r="FO92" s="4"/>
      <c r="FP92" s="4"/>
      <c r="FQ92" s="4"/>
      <c r="FR92" s="4"/>
      <c r="FS92" s="4"/>
      <c r="FT92" s="4"/>
      <c r="FU92" s="4"/>
      <c r="FV92" s="4"/>
      <c r="FW92" s="4"/>
      <c r="FX92" s="4"/>
      <c r="FY92" s="4"/>
      <c r="FZ92" s="4"/>
      <c r="GA92" s="4"/>
      <c r="GB92" s="4"/>
      <c r="GC92" s="4"/>
      <c r="GD92" s="4"/>
      <c r="GE92" s="4"/>
      <c r="GF92" s="4"/>
      <c r="GG92" s="4"/>
      <c r="GH92" s="4"/>
      <c r="GI92" s="4"/>
      <c r="GJ92" s="4"/>
      <c r="GK92" s="4"/>
      <c r="GL92" s="4"/>
      <c r="GM92" s="4"/>
      <c r="GN92" s="4"/>
      <c r="GO92" s="4"/>
      <c r="GP92" s="4"/>
      <c r="GQ92" s="4"/>
      <c r="GR92" s="4"/>
      <c r="GS92" s="4"/>
      <c r="GT92" s="4"/>
      <c r="GU92" s="4"/>
      <c r="GV92" s="4"/>
      <c r="GW92" s="4"/>
      <c r="GX92" s="4"/>
      <c r="GY92" s="4"/>
      <c r="GZ92" s="4"/>
      <c r="HA92" s="4"/>
      <c r="HB92" s="4"/>
      <c r="HC92" s="4"/>
      <c r="HD92" s="4"/>
      <c r="HE92" s="4"/>
      <c r="HF92" s="4"/>
      <c r="HG92" s="4"/>
      <c r="HH92" s="4"/>
      <c r="HI92" s="4"/>
      <c r="HJ92" s="4"/>
      <c r="HK92" s="4"/>
      <c r="HL92" s="4"/>
      <c r="HM92" s="4"/>
      <c r="HN92" s="4"/>
      <c r="HO92" s="4"/>
      <c r="HP92" s="4"/>
      <c r="HQ92" s="4"/>
      <c r="HR92" s="4"/>
      <c r="HS92" s="4"/>
      <c r="HT92" s="4"/>
      <c r="HU92" s="4"/>
      <c r="HV92" s="4"/>
      <c r="HW92" s="4"/>
      <c r="HX92" s="4"/>
      <c r="HY92" s="4"/>
      <c r="HZ92" s="4"/>
      <c r="IA92" s="4"/>
      <c r="IB92" s="4"/>
      <c r="IC92" s="4"/>
      <c r="ID92" s="4"/>
      <c r="IE92" s="4"/>
      <c r="IF92" s="4"/>
      <c r="IG92" s="4"/>
      <c r="IH92" s="4"/>
      <c r="II92" s="4"/>
      <c r="IJ92" s="4"/>
      <c r="IK92" s="4"/>
      <c r="IL92" s="4"/>
      <c r="IM92" s="4"/>
      <c r="IN92" s="4"/>
      <c r="IO92" s="4"/>
      <c r="IP92" s="4"/>
      <c r="IQ92" s="4"/>
      <c r="IR92" s="4"/>
      <c r="IS92" s="4"/>
      <c r="IT92" s="4"/>
      <c r="IU92" s="4"/>
      <c r="IV92" s="4"/>
      <c r="IW92" s="4"/>
      <c r="IX92" s="4"/>
      <c r="IY92" s="4"/>
      <c r="IZ92" s="4"/>
      <c r="JA92" s="4"/>
      <c r="JB92" s="4"/>
      <c r="JC92" s="4"/>
      <c r="JD92" s="4"/>
      <c r="JE92" s="4"/>
      <c r="JF92" s="4"/>
      <c r="JG92" s="4"/>
      <c r="JH92" s="4"/>
      <c r="JI92" s="4"/>
      <c r="JJ92" s="4"/>
      <c r="JK92" s="4"/>
      <c r="JL92" s="4"/>
      <c r="JM92" s="4"/>
      <c r="JN92" s="4"/>
      <c r="JO92" s="4"/>
      <c r="JP92" s="4"/>
      <c r="JQ92" s="4"/>
      <c r="JR92" s="4"/>
      <c r="JS92" s="4"/>
      <c r="JT92" s="4"/>
      <c r="JU92" s="4"/>
      <c r="JV92" s="4"/>
      <c r="JW92" s="4"/>
      <c r="JX92" s="4"/>
      <c r="JY92" s="4"/>
      <c r="JZ92" s="4"/>
      <c r="KA92" s="4"/>
      <c r="KB92" s="4"/>
      <c r="KC92" s="4"/>
      <c r="KD92" s="4"/>
      <c r="KE92" s="4"/>
      <c r="KF92" s="4"/>
      <c r="KG92" s="4"/>
      <c r="KH92" s="4"/>
      <c r="KI92" s="4"/>
      <c r="KJ92" s="4"/>
      <c r="KK92" s="4"/>
      <c r="KL92" s="4"/>
      <c r="KM92" s="4"/>
      <c r="KN92" s="4"/>
      <c r="KO92" s="4"/>
      <c r="KP92" s="4"/>
      <c r="KQ92" s="4"/>
      <c r="KR92" s="4"/>
      <c r="KS92" s="4"/>
      <c r="KT92" s="4"/>
      <c r="KU92" s="4"/>
      <c r="KV92" s="4"/>
      <c r="KW92" s="4"/>
      <c r="KX92" s="4"/>
      <c r="KY92" s="4"/>
      <c r="KZ92" s="4"/>
      <c r="LA92" s="4"/>
      <c r="LB92" s="4"/>
      <c r="LC92" s="4"/>
      <c r="LD92" s="4"/>
      <c r="LE92" s="4"/>
      <c r="LF92" s="4"/>
      <c r="LG92" s="4"/>
      <c r="LH92" s="4"/>
      <c r="LI92" s="4"/>
      <c r="LJ92" s="4"/>
      <c r="LK92" s="4"/>
      <c r="LL92" s="4"/>
      <c r="LM92" s="4"/>
      <c r="LN92" s="4"/>
      <c r="LO92" s="4"/>
      <c r="LP92" s="4"/>
      <c r="LQ92" s="4"/>
      <c r="LR92" s="4"/>
      <c r="LS92" s="4"/>
      <c r="LT92" s="4"/>
      <c r="LU92" s="4"/>
      <c r="LV92" s="4"/>
      <c r="LW92" s="4"/>
      <c r="LX92" s="4"/>
      <c r="LY92" s="4"/>
      <c r="LZ92" s="4"/>
      <c r="MA92" s="4"/>
      <c r="MB92" s="4"/>
      <c r="MC92" s="4"/>
      <c r="MD92" s="4"/>
      <c r="ME92" s="4"/>
      <c r="MF92" s="4"/>
      <c r="MG92" s="4"/>
      <c r="MH92" s="4"/>
      <c r="MI92" s="4"/>
      <c r="MJ92" s="4"/>
      <c r="MK92" s="4"/>
      <c r="ML92" s="4"/>
      <c r="MM92" s="4"/>
      <c r="MN92" s="4"/>
      <c r="MO92" s="4"/>
      <c r="MP92" s="4"/>
    </row>
    <row r="93" spans="1:354">
      <c r="A93" s="4"/>
      <c r="B93" s="4"/>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c r="AQ93" s="4"/>
      <c r="AR93" s="4"/>
      <c r="AS93" s="4"/>
      <c r="AT93" s="4"/>
      <c r="AU93" s="4"/>
      <c r="AV93" s="4"/>
      <c r="AW93" s="4"/>
      <c r="AX93" s="4"/>
      <c r="AY93" s="4"/>
      <c r="AZ93" s="4"/>
      <c r="BA93" s="4"/>
      <c r="BB93" s="4"/>
      <c r="BC93" s="4"/>
      <c r="BD93" s="4"/>
      <c r="BE93" s="4"/>
      <c r="BF93" s="4"/>
      <c r="BG93" s="4"/>
      <c r="BH93" s="4"/>
      <c r="BI93" s="4"/>
      <c r="BJ93" s="4"/>
      <c r="BK93" s="4"/>
      <c r="BL93" s="4"/>
      <c r="BM93" s="4"/>
      <c r="BN93" s="4"/>
      <c r="BO93" s="4"/>
      <c r="BP93" s="4"/>
      <c r="BQ93" s="4"/>
      <c r="BR93" s="4"/>
      <c r="BS93" s="4"/>
      <c r="BT93" s="4"/>
      <c r="BU93" s="4"/>
      <c r="BV93" s="4"/>
      <c r="BW93" s="4"/>
      <c r="BX93" s="4"/>
      <c r="BY93" s="4"/>
      <c r="BZ93" s="4"/>
      <c r="CA93" s="4"/>
      <c r="CB93" s="4"/>
      <c r="CC93" s="4"/>
      <c r="CD93" s="4"/>
      <c r="CE93" s="4"/>
      <c r="CF93" s="4"/>
      <c r="CG93" s="4"/>
      <c r="CH93" s="4"/>
      <c r="CI93" s="4"/>
      <c r="CJ93" s="4"/>
      <c r="CK93" s="4"/>
      <c r="CL93" s="4"/>
      <c r="CM93" s="4"/>
      <c r="CN93" s="4"/>
      <c r="CO93" s="4"/>
      <c r="CP93" s="4"/>
      <c r="CQ93" s="4"/>
      <c r="CR93" s="4"/>
      <c r="CS93" s="4"/>
      <c r="CT93" s="4"/>
      <c r="CU93" s="4"/>
      <c r="CV93" s="4"/>
      <c r="CW93" s="4"/>
      <c r="CX93" s="4"/>
      <c r="CY93" s="4"/>
      <c r="CZ93" s="4"/>
      <c r="DA93" s="4"/>
      <c r="DB93" s="4"/>
      <c r="DC93" s="4"/>
      <c r="DD93" s="4"/>
      <c r="DE93" s="4"/>
      <c r="DF93" s="4"/>
      <c r="DG93" s="4"/>
      <c r="DH93" s="4"/>
      <c r="DI93" s="4"/>
      <c r="DJ93" s="4"/>
      <c r="DK93" s="4"/>
      <c r="DL93" s="4"/>
      <c r="DM93" s="4"/>
      <c r="DN93" s="4"/>
      <c r="DO93" s="4"/>
      <c r="DP93" s="4"/>
      <c r="DQ93" s="4"/>
      <c r="DR93" s="4"/>
      <c r="DS93" s="4"/>
      <c r="DT93" s="4"/>
      <c r="DU93" s="4"/>
      <c r="DV93" s="4"/>
      <c r="DW93" s="4"/>
      <c r="DX93" s="4"/>
      <c r="DY93" s="4"/>
      <c r="DZ93" s="4"/>
      <c r="EA93" s="4"/>
      <c r="EB93" s="4"/>
      <c r="EC93" s="4"/>
      <c r="ED93" s="4"/>
      <c r="EE93" s="4"/>
      <c r="EF93" s="4"/>
      <c r="EG93" s="4"/>
      <c r="EH93" s="4"/>
      <c r="EI93" s="4"/>
      <c r="EJ93" s="4"/>
      <c r="EK93" s="4"/>
      <c r="EL93" s="4"/>
      <c r="EM93" s="4"/>
      <c r="EN93" s="4"/>
      <c r="EO93" s="4"/>
      <c r="EP93" s="4"/>
      <c r="EQ93" s="4"/>
      <c r="ER93" s="4"/>
      <c r="ES93" s="4"/>
      <c r="ET93" s="4"/>
      <c r="EU93" s="4"/>
      <c r="EV93" s="4"/>
      <c r="EW93" s="4"/>
      <c r="EX93" s="4"/>
      <c r="EY93" s="4"/>
      <c r="EZ93" s="4"/>
      <c r="FA93" s="4"/>
      <c r="FB93" s="4"/>
      <c r="FC93" s="4"/>
      <c r="FD93" s="4"/>
      <c r="FE93" s="4"/>
      <c r="FF93" s="4"/>
      <c r="FG93" s="4"/>
      <c r="FH93" s="4"/>
      <c r="FI93" s="4"/>
      <c r="FJ93" s="4"/>
      <c r="FK93" s="4"/>
      <c r="FL93" s="4"/>
      <c r="FM93" s="4"/>
      <c r="FN93" s="4"/>
      <c r="FO93" s="4"/>
      <c r="FP93" s="4"/>
      <c r="FQ93" s="4"/>
      <c r="FR93" s="4"/>
      <c r="FS93" s="4"/>
      <c r="FT93" s="4"/>
      <c r="FU93" s="4"/>
      <c r="FV93" s="4"/>
      <c r="FW93" s="4"/>
      <c r="FX93" s="4"/>
      <c r="FY93" s="4"/>
      <c r="FZ93" s="4"/>
      <c r="GA93" s="4"/>
      <c r="GB93" s="4"/>
      <c r="GC93" s="4"/>
      <c r="GD93" s="4"/>
      <c r="GE93" s="4"/>
      <c r="GF93" s="4"/>
      <c r="GG93" s="4"/>
      <c r="GH93" s="4"/>
      <c r="GI93" s="4"/>
      <c r="GJ93" s="4"/>
      <c r="GK93" s="4"/>
      <c r="GL93" s="4"/>
      <c r="GM93" s="4"/>
      <c r="GN93" s="4"/>
      <c r="GO93" s="4"/>
      <c r="GP93" s="4"/>
      <c r="GQ93" s="4"/>
      <c r="GR93" s="4"/>
      <c r="GS93" s="4"/>
      <c r="GT93" s="4"/>
      <c r="GU93" s="4"/>
      <c r="GV93" s="4"/>
      <c r="GW93" s="4"/>
      <c r="GX93" s="4"/>
      <c r="GY93" s="4"/>
      <c r="GZ93" s="4"/>
      <c r="HA93" s="4"/>
      <c r="HB93" s="4"/>
      <c r="HC93" s="4"/>
      <c r="HD93" s="4"/>
      <c r="HE93" s="4"/>
      <c r="HF93" s="4"/>
      <c r="HG93" s="4"/>
      <c r="HH93" s="4"/>
      <c r="HI93" s="4"/>
      <c r="HJ93" s="4"/>
      <c r="HK93" s="4"/>
      <c r="HL93" s="4"/>
      <c r="HM93" s="4"/>
      <c r="HN93" s="4"/>
      <c r="HO93" s="4"/>
      <c r="HP93" s="4"/>
      <c r="HQ93" s="4"/>
      <c r="HR93" s="4"/>
      <c r="HS93" s="4"/>
      <c r="HT93" s="4"/>
      <c r="HU93" s="4"/>
      <c r="HV93" s="4"/>
      <c r="HW93" s="4"/>
      <c r="HX93" s="4"/>
      <c r="HY93" s="4"/>
      <c r="HZ93" s="4"/>
      <c r="IA93" s="4"/>
      <c r="IB93" s="4"/>
      <c r="IC93" s="4"/>
      <c r="ID93" s="4"/>
      <c r="IE93" s="4"/>
      <c r="IF93" s="4"/>
      <c r="IG93" s="4"/>
      <c r="IH93" s="4"/>
      <c r="II93" s="4"/>
      <c r="IJ93" s="4"/>
      <c r="IK93" s="4"/>
      <c r="IL93" s="4"/>
      <c r="IM93" s="4"/>
      <c r="IN93" s="4"/>
      <c r="IO93" s="4"/>
      <c r="IP93" s="4"/>
      <c r="IQ93" s="4"/>
      <c r="IR93" s="4"/>
      <c r="IS93" s="4"/>
      <c r="IT93" s="4"/>
      <c r="IU93" s="4"/>
      <c r="IV93" s="4"/>
      <c r="IW93" s="4"/>
      <c r="IX93" s="4"/>
      <c r="IY93" s="4"/>
      <c r="IZ93" s="4"/>
      <c r="JA93" s="4"/>
      <c r="JB93" s="4"/>
      <c r="JC93" s="4"/>
      <c r="JD93" s="4"/>
      <c r="JE93" s="4"/>
      <c r="JF93" s="4"/>
      <c r="JG93" s="4"/>
      <c r="JH93" s="4"/>
      <c r="JI93" s="4"/>
      <c r="JJ93" s="4"/>
      <c r="JK93" s="4"/>
      <c r="JL93" s="4"/>
      <c r="JM93" s="4"/>
      <c r="JN93" s="4"/>
      <c r="JO93" s="4"/>
      <c r="JP93" s="4"/>
      <c r="JQ93" s="4"/>
      <c r="JR93" s="4"/>
      <c r="JS93" s="4"/>
      <c r="JT93" s="4"/>
      <c r="JU93" s="4"/>
      <c r="JV93" s="4"/>
      <c r="JW93" s="4"/>
      <c r="JX93" s="4"/>
      <c r="JY93" s="4"/>
      <c r="JZ93" s="4"/>
      <c r="KA93" s="4"/>
      <c r="KB93" s="4"/>
      <c r="KC93" s="4"/>
      <c r="KD93" s="4"/>
      <c r="KE93" s="4"/>
      <c r="KF93" s="4"/>
      <c r="KG93" s="4"/>
      <c r="KH93" s="4"/>
      <c r="KI93" s="4"/>
      <c r="KJ93" s="4"/>
      <c r="KK93" s="4"/>
      <c r="KL93" s="4"/>
      <c r="KM93" s="4"/>
      <c r="KN93" s="4"/>
      <c r="KO93" s="4"/>
      <c r="KP93" s="4"/>
      <c r="KQ93" s="4"/>
      <c r="KR93" s="4"/>
      <c r="KS93" s="4"/>
      <c r="KT93" s="4"/>
      <c r="KU93" s="4"/>
      <c r="KV93" s="4"/>
      <c r="KW93" s="4"/>
      <c r="KX93" s="4"/>
      <c r="KY93" s="4"/>
      <c r="KZ93" s="4"/>
      <c r="LA93" s="4"/>
      <c r="LB93" s="4"/>
      <c r="LC93" s="4"/>
      <c r="LD93" s="4"/>
      <c r="LE93" s="4"/>
      <c r="LF93" s="4"/>
      <c r="LG93" s="4"/>
      <c r="LH93" s="4"/>
      <c r="LI93" s="4"/>
      <c r="LJ93" s="4"/>
      <c r="LK93" s="4"/>
      <c r="LL93" s="4"/>
      <c r="LM93" s="4"/>
      <c r="LN93" s="4"/>
      <c r="LO93" s="4"/>
      <c r="LP93" s="4"/>
      <c r="LQ93" s="4"/>
      <c r="LR93" s="4"/>
      <c r="LS93" s="4"/>
      <c r="LT93" s="4"/>
      <c r="LU93" s="4"/>
      <c r="LV93" s="4"/>
      <c r="LW93" s="4"/>
      <c r="LX93" s="4"/>
      <c r="LY93" s="4"/>
      <c r="LZ93" s="4"/>
      <c r="MA93" s="4"/>
      <c r="MB93" s="4"/>
      <c r="MC93" s="4"/>
      <c r="MD93" s="4"/>
      <c r="ME93" s="4"/>
      <c r="MF93" s="4"/>
      <c r="MG93" s="4"/>
      <c r="MH93" s="4"/>
      <c r="MI93" s="4"/>
      <c r="MJ93" s="4"/>
      <c r="MK93" s="4"/>
      <c r="ML93" s="4"/>
      <c r="MM93" s="4"/>
      <c r="MN93" s="4"/>
      <c r="MO93" s="4"/>
      <c r="MP93" s="4"/>
    </row>
    <row r="94" spans="1:354">
      <c r="A94" s="4"/>
      <c r="B94" s="4"/>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c r="AQ94" s="4"/>
      <c r="AR94" s="4"/>
      <c r="AS94" s="4"/>
      <c r="AT94" s="4"/>
      <c r="AU94" s="4"/>
      <c r="AV94" s="4"/>
      <c r="AW94" s="4"/>
      <c r="AX94" s="4"/>
      <c r="AY94" s="4"/>
      <c r="AZ94" s="4"/>
      <c r="BA94" s="4"/>
      <c r="BB94" s="4"/>
      <c r="BC94" s="4"/>
      <c r="BD94" s="4"/>
      <c r="BE94" s="4"/>
      <c r="BF94" s="4"/>
      <c r="BG94" s="4"/>
      <c r="BH94" s="4"/>
      <c r="BI94" s="4"/>
      <c r="BJ94" s="4"/>
      <c r="BK94" s="4"/>
      <c r="BL94" s="4"/>
      <c r="BM94" s="4"/>
      <c r="BN94" s="4"/>
      <c r="BO94" s="4"/>
      <c r="BP94" s="4"/>
      <c r="BQ94" s="4"/>
      <c r="BR94" s="4"/>
      <c r="BS94" s="4"/>
      <c r="BT94" s="4"/>
      <c r="BU94" s="4"/>
      <c r="BV94" s="4"/>
      <c r="BW94" s="4"/>
      <c r="BX94" s="4"/>
      <c r="BY94" s="4"/>
      <c r="BZ94" s="4"/>
      <c r="CA94" s="4"/>
      <c r="CB94" s="4"/>
      <c r="CC94" s="4"/>
      <c r="CD94" s="4"/>
      <c r="CE94" s="4"/>
      <c r="CF94" s="4"/>
      <c r="CG94" s="4"/>
      <c r="CH94" s="4"/>
      <c r="CI94" s="4"/>
      <c r="CJ94" s="4"/>
      <c r="CK94" s="4"/>
      <c r="CL94" s="4"/>
      <c r="CM94" s="4"/>
      <c r="CN94" s="4"/>
      <c r="CO94" s="4"/>
      <c r="CP94" s="4"/>
      <c r="CQ94" s="4"/>
      <c r="CR94" s="4"/>
      <c r="CS94" s="4"/>
      <c r="CT94" s="4"/>
      <c r="CU94" s="4"/>
      <c r="CV94" s="4"/>
      <c r="CW94" s="4"/>
      <c r="CX94" s="4"/>
      <c r="CY94" s="4"/>
      <c r="CZ94" s="4"/>
      <c r="DA94" s="4"/>
      <c r="DB94" s="4"/>
      <c r="DC94" s="4"/>
      <c r="DD94" s="4"/>
      <c r="DE94" s="4"/>
      <c r="DF94" s="4"/>
      <c r="DG94" s="4"/>
      <c r="DH94" s="4"/>
      <c r="DI94" s="4"/>
      <c r="DJ94" s="4"/>
      <c r="DK94" s="4"/>
      <c r="DL94" s="4"/>
      <c r="DM94" s="4"/>
      <c r="DN94" s="4"/>
      <c r="DO94" s="4"/>
      <c r="DP94" s="4"/>
      <c r="DQ94" s="4"/>
      <c r="DR94" s="4"/>
      <c r="DS94" s="4"/>
      <c r="DT94" s="4"/>
      <c r="DU94" s="4"/>
      <c r="DV94" s="4"/>
      <c r="DW94" s="4"/>
      <c r="DX94" s="4"/>
      <c r="DY94" s="4"/>
      <c r="DZ94" s="4"/>
      <c r="EA94" s="4"/>
      <c r="EB94" s="4"/>
      <c r="EC94" s="4"/>
      <c r="ED94" s="4"/>
      <c r="EE94" s="4"/>
      <c r="EF94" s="4"/>
      <c r="EG94" s="4"/>
      <c r="EH94" s="4"/>
      <c r="EI94" s="4"/>
      <c r="EJ94" s="4"/>
      <c r="EK94" s="4"/>
      <c r="EL94" s="4"/>
      <c r="EM94" s="4"/>
      <c r="EN94" s="4"/>
      <c r="EO94" s="4"/>
      <c r="EP94" s="4"/>
      <c r="EQ94" s="4"/>
      <c r="ER94" s="4"/>
      <c r="ES94" s="4"/>
      <c r="ET94" s="4"/>
      <c r="EU94" s="4"/>
      <c r="EV94" s="4"/>
      <c r="EW94" s="4"/>
      <c r="EX94" s="4"/>
      <c r="EY94" s="4"/>
      <c r="EZ94" s="4"/>
      <c r="FA94" s="4"/>
      <c r="FB94" s="4"/>
      <c r="FC94" s="4"/>
      <c r="FD94" s="4"/>
      <c r="FE94" s="4"/>
      <c r="FF94" s="4"/>
      <c r="FG94" s="4"/>
      <c r="FH94" s="4"/>
      <c r="FI94" s="4"/>
      <c r="FJ94" s="4"/>
      <c r="FK94" s="4"/>
      <c r="FL94" s="4"/>
      <c r="FM94" s="4"/>
      <c r="FN94" s="4"/>
      <c r="FO94" s="4"/>
      <c r="FP94" s="4"/>
      <c r="FQ94" s="4"/>
      <c r="FR94" s="4"/>
      <c r="FS94" s="4"/>
      <c r="FT94" s="4"/>
      <c r="FU94" s="4"/>
      <c r="FV94" s="4"/>
      <c r="FW94" s="4"/>
      <c r="FX94" s="4"/>
      <c r="FY94" s="4"/>
      <c r="FZ94" s="4"/>
      <c r="GA94" s="4"/>
      <c r="GB94" s="4"/>
      <c r="GC94" s="4"/>
      <c r="GD94" s="4"/>
      <c r="GE94" s="4"/>
      <c r="GF94" s="4"/>
      <c r="GG94" s="4"/>
      <c r="GH94" s="4"/>
      <c r="GI94" s="4"/>
      <c r="GJ94" s="4"/>
      <c r="GK94" s="4"/>
      <c r="GL94" s="4"/>
      <c r="GM94" s="4"/>
      <c r="GN94" s="4"/>
      <c r="GO94" s="4"/>
      <c r="GP94" s="4"/>
      <c r="GQ94" s="4"/>
      <c r="GR94" s="4"/>
      <c r="GS94" s="4"/>
      <c r="GT94" s="4"/>
      <c r="GU94" s="4"/>
      <c r="GV94" s="4"/>
      <c r="GW94" s="4"/>
      <c r="GX94" s="4"/>
      <c r="GY94" s="4"/>
      <c r="GZ94" s="4"/>
      <c r="HA94" s="4"/>
      <c r="HB94" s="4"/>
      <c r="HC94" s="4"/>
      <c r="HD94" s="4"/>
      <c r="HE94" s="4"/>
      <c r="HF94" s="4"/>
      <c r="HG94" s="4"/>
      <c r="HH94" s="4"/>
      <c r="HI94" s="4"/>
      <c r="HJ94" s="4"/>
      <c r="HK94" s="4"/>
      <c r="HL94" s="4"/>
      <c r="HM94" s="4"/>
      <c r="HN94" s="4"/>
      <c r="HO94" s="4"/>
      <c r="HP94" s="4"/>
      <c r="HQ94" s="4"/>
      <c r="HR94" s="4"/>
      <c r="HS94" s="4"/>
      <c r="HT94" s="4"/>
      <c r="HU94" s="4"/>
      <c r="HV94" s="4"/>
      <c r="HW94" s="4"/>
      <c r="HX94" s="4"/>
      <c r="HY94" s="4"/>
      <c r="HZ94" s="4"/>
      <c r="IA94" s="4"/>
      <c r="IB94" s="4"/>
      <c r="IC94" s="4"/>
      <c r="ID94" s="4"/>
      <c r="IE94" s="4"/>
      <c r="IF94" s="4"/>
      <c r="IG94" s="4"/>
      <c r="IH94" s="4"/>
      <c r="II94" s="4"/>
      <c r="IJ94" s="4"/>
      <c r="IK94" s="4"/>
      <c r="IL94" s="4"/>
      <c r="IM94" s="4"/>
      <c r="IN94" s="4"/>
      <c r="IO94" s="4"/>
      <c r="IP94" s="4"/>
      <c r="IQ94" s="4"/>
      <c r="IR94" s="4"/>
      <c r="IS94" s="4"/>
      <c r="IT94" s="4"/>
      <c r="IU94" s="4"/>
      <c r="IV94" s="4"/>
      <c r="IW94" s="4"/>
      <c r="IX94" s="4"/>
      <c r="IY94" s="4"/>
      <c r="IZ94" s="4"/>
      <c r="JA94" s="4"/>
      <c r="JB94" s="4"/>
      <c r="JC94" s="4"/>
      <c r="JD94" s="4"/>
      <c r="JE94" s="4"/>
      <c r="JF94" s="4"/>
      <c r="JG94" s="4"/>
      <c r="JH94" s="4"/>
      <c r="JI94" s="4"/>
      <c r="JJ94" s="4"/>
      <c r="JK94" s="4"/>
      <c r="JL94" s="4"/>
      <c r="JM94" s="4"/>
      <c r="JN94" s="4"/>
      <c r="JO94" s="4"/>
      <c r="JP94" s="4"/>
      <c r="JQ94" s="4"/>
      <c r="JR94" s="4"/>
      <c r="JS94" s="4"/>
      <c r="JT94" s="4"/>
      <c r="JU94" s="4"/>
      <c r="JV94" s="4"/>
      <c r="JW94" s="4"/>
      <c r="JX94" s="4"/>
      <c r="JY94" s="4"/>
      <c r="JZ94" s="4"/>
      <c r="KA94" s="4"/>
      <c r="KB94" s="4"/>
      <c r="KC94" s="4"/>
      <c r="KD94" s="4"/>
      <c r="KE94" s="4"/>
      <c r="KF94" s="4"/>
      <c r="KG94" s="4"/>
      <c r="KH94" s="4"/>
      <c r="KI94" s="4"/>
      <c r="KJ94" s="4"/>
      <c r="KK94" s="4"/>
      <c r="KL94" s="4"/>
      <c r="KM94" s="4"/>
      <c r="KN94" s="4"/>
      <c r="KO94" s="4"/>
      <c r="KP94" s="4"/>
      <c r="KQ94" s="4"/>
      <c r="KR94" s="4"/>
      <c r="KS94" s="4"/>
      <c r="KT94" s="4"/>
      <c r="KU94" s="4"/>
      <c r="KV94" s="4"/>
      <c r="KW94" s="4"/>
      <c r="KX94" s="4"/>
      <c r="KY94" s="4"/>
      <c r="KZ94" s="4"/>
      <c r="LA94" s="4"/>
      <c r="LB94" s="4"/>
      <c r="LC94" s="4"/>
      <c r="LD94" s="4"/>
      <c r="LE94" s="4"/>
      <c r="LF94" s="4"/>
      <c r="LG94" s="4"/>
      <c r="LH94" s="4"/>
      <c r="LI94" s="4"/>
      <c r="LJ94" s="4"/>
      <c r="LK94" s="4"/>
      <c r="LL94" s="4"/>
      <c r="LM94" s="4"/>
      <c r="LN94" s="4"/>
      <c r="LO94" s="4"/>
      <c r="LP94" s="4"/>
      <c r="LQ94" s="4"/>
      <c r="LR94" s="4"/>
      <c r="LS94" s="4"/>
      <c r="LT94" s="4"/>
      <c r="LU94" s="4"/>
      <c r="LV94" s="4"/>
      <c r="LW94" s="4"/>
      <c r="LX94" s="4"/>
      <c r="LY94" s="4"/>
      <c r="LZ94" s="4"/>
      <c r="MA94" s="4"/>
      <c r="MB94" s="4"/>
      <c r="MC94" s="4"/>
      <c r="MD94" s="4"/>
      <c r="ME94" s="4"/>
      <c r="MF94" s="4"/>
      <c r="MG94" s="4"/>
      <c r="MH94" s="4"/>
      <c r="MI94" s="4"/>
      <c r="MJ94" s="4"/>
      <c r="MK94" s="4"/>
      <c r="ML94" s="4"/>
      <c r="MM94" s="4"/>
      <c r="MN94" s="4"/>
      <c r="MO94" s="4"/>
      <c r="MP94" s="4"/>
    </row>
    <row r="95" spans="1:354">
      <c r="A95" s="4"/>
      <c r="B95" s="4"/>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c r="AQ95" s="4"/>
      <c r="AR95" s="4"/>
      <c r="AS95" s="4"/>
      <c r="AT95" s="4"/>
      <c r="AU95" s="4"/>
      <c r="AV95" s="4"/>
      <c r="AW95" s="4"/>
      <c r="AX95" s="4"/>
      <c r="AY95" s="4"/>
      <c r="AZ95" s="4"/>
      <c r="BA95" s="4"/>
      <c r="BB95" s="4"/>
      <c r="BC95" s="4"/>
      <c r="BD95" s="4"/>
      <c r="BE95" s="4"/>
      <c r="BF95" s="4"/>
      <c r="BG95" s="4"/>
      <c r="BH95" s="4"/>
      <c r="BI95" s="4"/>
      <c r="BJ95" s="4"/>
      <c r="BK95" s="4"/>
      <c r="BL95" s="4"/>
      <c r="BM95" s="4"/>
      <c r="BN95" s="4"/>
      <c r="BO95" s="4"/>
      <c r="BP95" s="4"/>
      <c r="BQ95" s="4"/>
      <c r="BR95" s="4"/>
      <c r="BS95" s="4"/>
      <c r="BT95" s="4"/>
      <c r="BU95" s="4"/>
      <c r="BV95" s="4"/>
      <c r="BW95" s="4"/>
      <c r="BX95" s="4"/>
      <c r="BY95" s="4"/>
      <c r="BZ95" s="4"/>
      <c r="CA95" s="4"/>
      <c r="CB95" s="4"/>
      <c r="CC95" s="4"/>
      <c r="CD95" s="4"/>
      <c r="CE95" s="4"/>
      <c r="CF95" s="4"/>
      <c r="CG95" s="4"/>
      <c r="CH95" s="4"/>
      <c r="CI95" s="4"/>
      <c r="CJ95" s="4"/>
      <c r="CK95" s="4"/>
      <c r="CL95" s="4"/>
      <c r="CM95" s="4"/>
      <c r="CN95" s="4"/>
      <c r="CO95" s="4"/>
      <c r="CP95" s="4"/>
      <c r="CQ95" s="4"/>
      <c r="CR95" s="4"/>
      <c r="CS95" s="4"/>
      <c r="CT95" s="4"/>
      <c r="CU95" s="4"/>
      <c r="CV95" s="4"/>
      <c r="CW95" s="4"/>
      <c r="CX95" s="4"/>
      <c r="CY95" s="4"/>
      <c r="CZ95" s="4"/>
      <c r="DA95" s="4"/>
      <c r="DB95" s="4"/>
      <c r="DC95" s="4"/>
      <c r="DD95" s="4"/>
      <c r="DE95" s="4"/>
      <c r="DF95" s="4"/>
      <c r="DG95" s="4"/>
      <c r="DH95" s="4"/>
      <c r="DI95" s="4"/>
      <c r="DJ95" s="4"/>
      <c r="DK95" s="4"/>
      <c r="DL95" s="4"/>
      <c r="DM95" s="4"/>
      <c r="DN95" s="4"/>
      <c r="DO95" s="4"/>
      <c r="DP95" s="4"/>
      <c r="DQ95" s="4"/>
      <c r="DR95" s="4"/>
      <c r="DS95" s="4"/>
      <c r="DT95" s="4"/>
      <c r="DU95" s="4"/>
      <c r="DV95" s="4"/>
      <c r="DW95" s="4"/>
      <c r="DX95" s="4"/>
      <c r="DY95" s="4"/>
      <c r="DZ95" s="4"/>
      <c r="EA95" s="4"/>
      <c r="EB95" s="4"/>
      <c r="EC95" s="4"/>
      <c r="ED95" s="4"/>
      <c r="EE95" s="4"/>
      <c r="EF95" s="4"/>
      <c r="EG95" s="4"/>
      <c r="EH95" s="4"/>
      <c r="EI95" s="4"/>
      <c r="EJ95" s="4"/>
      <c r="EK95" s="4"/>
      <c r="EL95" s="4"/>
      <c r="EM95" s="4"/>
      <c r="EN95" s="4"/>
      <c r="EO95" s="4"/>
      <c r="EP95" s="4"/>
      <c r="EQ95" s="4"/>
      <c r="ER95" s="4"/>
      <c r="ES95" s="4"/>
      <c r="ET95" s="4"/>
      <c r="EU95" s="4"/>
      <c r="EV95" s="4"/>
      <c r="EW95" s="4"/>
      <c r="EX95" s="4"/>
      <c r="EY95" s="4"/>
      <c r="EZ95" s="4"/>
      <c r="FA95" s="4"/>
      <c r="FB95" s="4"/>
      <c r="FC95" s="4"/>
      <c r="FD95" s="4"/>
      <c r="FE95" s="4"/>
      <c r="FF95" s="4"/>
      <c r="FG95" s="4"/>
      <c r="FH95" s="4"/>
      <c r="FI95" s="4"/>
      <c r="FJ95" s="4"/>
      <c r="FK95" s="4"/>
      <c r="FL95" s="4"/>
      <c r="FM95" s="4"/>
      <c r="FN95" s="4"/>
      <c r="FO95" s="4"/>
      <c r="FP95" s="4"/>
      <c r="FQ95" s="4"/>
      <c r="FR95" s="4"/>
      <c r="FS95" s="4"/>
      <c r="FT95" s="4"/>
      <c r="FU95" s="4"/>
      <c r="FV95" s="4"/>
      <c r="FW95" s="4"/>
      <c r="FX95" s="4"/>
      <c r="FY95" s="4"/>
      <c r="FZ95" s="4"/>
      <c r="GA95" s="4"/>
      <c r="GB95" s="4"/>
      <c r="GC95" s="4"/>
      <c r="GD95" s="4"/>
      <c r="GE95" s="4"/>
      <c r="GF95" s="4"/>
      <c r="GG95" s="4"/>
      <c r="GH95" s="4"/>
      <c r="GI95" s="4"/>
      <c r="GJ95" s="4"/>
      <c r="GK95" s="4"/>
      <c r="GL95" s="4"/>
      <c r="GM95" s="4"/>
      <c r="GN95" s="4"/>
      <c r="GO95" s="4"/>
      <c r="GP95" s="4"/>
      <c r="GQ95" s="4"/>
      <c r="GR95" s="4"/>
      <c r="GS95" s="4"/>
      <c r="GT95" s="4"/>
      <c r="GU95" s="4"/>
      <c r="GV95" s="4"/>
      <c r="GW95" s="4"/>
      <c r="GX95" s="4"/>
      <c r="GY95" s="4"/>
      <c r="GZ95" s="4"/>
      <c r="HA95" s="4"/>
      <c r="HB95" s="4"/>
      <c r="HC95" s="4"/>
      <c r="HD95" s="4"/>
      <c r="HE95" s="4"/>
      <c r="HF95" s="4"/>
      <c r="HG95" s="4"/>
      <c r="HH95" s="4"/>
      <c r="HI95" s="4"/>
      <c r="HJ95" s="4"/>
      <c r="HK95" s="4"/>
      <c r="HL95" s="4"/>
      <c r="HM95" s="4"/>
      <c r="HN95" s="4"/>
      <c r="HO95" s="4"/>
      <c r="HP95" s="4"/>
      <c r="HQ95" s="4"/>
      <c r="HR95" s="4"/>
      <c r="HS95" s="4"/>
      <c r="HT95" s="4"/>
      <c r="HU95" s="4"/>
      <c r="HV95" s="4"/>
      <c r="HW95" s="4"/>
      <c r="HX95" s="4"/>
      <c r="HY95" s="4"/>
      <c r="HZ95" s="4"/>
      <c r="IA95" s="4"/>
      <c r="IB95" s="4"/>
      <c r="IC95" s="4"/>
      <c r="ID95" s="4"/>
      <c r="IE95" s="4"/>
      <c r="IF95" s="4"/>
      <c r="IG95" s="4"/>
      <c r="IH95" s="4"/>
      <c r="II95" s="4"/>
      <c r="IJ95" s="4"/>
      <c r="IK95" s="4"/>
      <c r="IL95" s="4"/>
      <c r="IM95" s="4"/>
      <c r="IN95" s="4"/>
      <c r="IO95" s="4"/>
      <c r="IP95" s="4"/>
      <c r="IQ95" s="4"/>
      <c r="IR95" s="4"/>
      <c r="IS95" s="4"/>
      <c r="IT95" s="4"/>
      <c r="IU95" s="4"/>
      <c r="IV95" s="4"/>
      <c r="IW95" s="4"/>
      <c r="IX95" s="4"/>
      <c r="IY95" s="4"/>
      <c r="IZ95" s="4"/>
      <c r="JA95" s="4"/>
      <c r="JB95" s="4"/>
      <c r="JC95" s="4"/>
      <c r="JD95" s="4"/>
      <c r="JE95" s="4"/>
      <c r="JF95" s="4"/>
      <c r="JG95" s="4"/>
      <c r="JH95" s="4"/>
      <c r="JI95" s="4"/>
      <c r="JJ95" s="4"/>
      <c r="JK95" s="4"/>
      <c r="JL95" s="4"/>
      <c r="JM95" s="4"/>
      <c r="JN95" s="4"/>
      <c r="JO95" s="4"/>
      <c r="JP95" s="4"/>
      <c r="JQ95" s="4"/>
      <c r="JR95" s="4"/>
      <c r="JS95" s="4"/>
      <c r="JT95" s="4"/>
      <c r="JU95" s="4"/>
      <c r="JV95" s="4"/>
      <c r="JW95" s="4"/>
      <c r="JX95" s="4"/>
      <c r="JY95" s="4"/>
      <c r="JZ95" s="4"/>
      <c r="KA95" s="4"/>
      <c r="KB95" s="4"/>
      <c r="KC95" s="4"/>
      <c r="KD95" s="4"/>
      <c r="KE95" s="4"/>
      <c r="KF95" s="4"/>
      <c r="KG95" s="4"/>
      <c r="KH95" s="4"/>
      <c r="KI95" s="4"/>
      <c r="KJ95" s="4"/>
      <c r="KK95" s="4"/>
      <c r="KL95" s="4"/>
      <c r="KM95" s="4"/>
      <c r="KN95" s="4"/>
      <c r="KO95" s="4"/>
      <c r="KP95" s="4"/>
      <c r="KQ95" s="4"/>
      <c r="KR95" s="4"/>
      <c r="KS95" s="4"/>
      <c r="KT95" s="4"/>
      <c r="KU95" s="4"/>
      <c r="KV95" s="4"/>
      <c r="KW95" s="4"/>
      <c r="KX95" s="4"/>
      <c r="KY95" s="4"/>
      <c r="KZ95" s="4"/>
      <c r="LA95" s="4"/>
      <c r="LB95" s="4"/>
      <c r="LC95" s="4"/>
      <c r="LD95" s="4"/>
      <c r="LE95" s="4"/>
      <c r="LF95" s="4"/>
      <c r="LG95" s="4"/>
      <c r="LH95" s="4"/>
      <c r="LI95" s="4"/>
      <c r="LJ95" s="4"/>
      <c r="LK95" s="4"/>
      <c r="LL95" s="4"/>
      <c r="LM95" s="4"/>
      <c r="LN95" s="4"/>
      <c r="LO95" s="4"/>
      <c r="LP95" s="4"/>
      <c r="LQ95" s="4"/>
      <c r="LR95" s="4"/>
      <c r="LS95" s="4"/>
      <c r="LT95" s="4"/>
      <c r="LU95" s="4"/>
      <c r="LV95" s="4"/>
      <c r="LW95" s="4"/>
      <c r="LX95" s="4"/>
      <c r="LY95" s="4"/>
      <c r="LZ95" s="4"/>
      <c r="MA95" s="4"/>
      <c r="MB95" s="4"/>
      <c r="MC95" s="4"/>
      <c r="MD95" s="4"/>
      <c r="ME95" s="4"/>
      <c r="MF95" s="4"/>
      <c r="MG95" s="4"/>
      <c r="MH95" s="4"/>
      <c r="MI95" s="4"/>
      <c r="MJ95" s="4"/>
      <c r="MK95" s="4"/>
      <c r="ML95" s="4"/>
      <c r="MM95" s="4"/>
      <c r="MN95" s="4"/>
      <c r="MO95" s="4"/>
      <c r="MP95" s="4"/>
    </row>
    <row r="96" spans="1:354">
      <c r="A96" s="4"/>
      <c r="B96" s="4"/>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c r="AQ96" s="4"/>
      <c r="AR96" s="4"/>
      <c r="AS96" s="4"/>
      <c r="AT96" s="4"/>
      <c r="AU96" s="4"/>
      <c r="AV96" s="4"/>
      <c r="AW96" s="4"/>
      <c r="AX96" s="4"/>
      <c r="AY96" s="4"/>
      <c r="AZ96" s="4"/>
      <c r="BA96" s="4"/>
      <c r="BB96" s="4"/>
      <c r="BC96" s="4"/>
      <c r="BD96" s="4"/>
      <c r="BE96" s="4"/>
      <c r="BF96" s="4"/>
      <c r="BG96" s="4"/>
      <c r="BH96" s="4"/>
      <c r="BI96" s="4"/>
      <c r="BJ96" s="4"/>
      <c r="BK96" s="4"/>
      <c r="BL96" s="4"/>
      <c r="BM96" s="4"/>
      <c r="BN96" s="4"/>
      <c r="BO96" s="4"/>
      <c r="BP96" s="4"/>
      <c r="BQ96" s="4"/>
      <c r="BR96" s="4"/>
      <c r="BS96" s="4"/>
      <c r="BT96" s="4"/>
      <c r="BU96" s="4"/>
      <c r="BV96" s="4"/>
      <c r="BW96" s="4"/>
      <c r="BX96" s="4"/>
      <c r="BY96" s="4"/>
      <c r="BZ96" s="4"/>
      <c r="CA96" s="4"/>
      <c r="CB96" s="4"/>
      <c r="CC96" s="4"/>
      <c r="CD96" s="4"/>
      <c r="CE96" s="4"/>
      <c r="CF96" s="4"/>
      <c r="CG96" s="4"/>
      <c r="CH96" s="4"/>
      <c r="CI96" s="4"/>
      <c r="CJ96" s="4"/>
      <c r="CK96" s="4"/>
      <c r="CL96" s="4"/>
      <c r="CM96" s="4"/>
      <c r="CN96" s="4"/>
      <c r="CO96" s="4"/>
      <c r="CP96" s="4"/>
      <c r="CQ96" s="4"/>
      <c r="CR96" s="4"/>
      <c r="CS96" s="4"/>
      <c r="CT96" s="4"/>
      <c r="CU96" s="4"/>
      <c r="CV96" s="4"/>
      <c r="CW96" s="4"/>
      <c r="CX96" s="4"/>
      <c r="CY96" s="4"/>
      <c r="CZ96" s="4"/>
      <c r="DA96" s="4"/>
      <c r="DB96" s="4"/>
      <c r="DC96" s="4"/>
      <c r="DD96" s="4"/>
      <c r="DE96" s="4"/>
      <c r="DF96" s="4"/>
      <c r="DG96" s="4"/>
      <c r="DH96" s="4"/>
      <c r="DI96" s="4"/>
      <c r="DJ96" s="4"/>
      <c r="DK96" s="4"/>
      <c r="DL96" s="4"/>
      <c r="DM96" s="4"/>
      <c r="DN96" s="4"/>
      <c r="DO96" s="4"/>
      <c r="DP96" s="4"/>
      <c r="DQ96" s="4"/>
      <c r="DR96" s="4"/>
      <c r="DS96" s="4"/>
      <c r="DT96" s="4"/>
      <c r="DU96" s="4"/>
      <c r="DV96" s="4"/>
      <c r="DW96" s="4"/>
      <c r="DX96" s="4"/>
      <c r="DY96" s="4"/>
      <c r="DZ96" s="4"/>
      <c r="EA96" s="4"/>
      <c r="EB96" s="4"/>
      <c r="EC96" s="4"/>
      <c r="ED96" s="4"/>
      <c r="EE96" s="4"/>
      <c r="EF96" s="4"/>
      <c r="EG96" s="4"/>
      <c r="EH96" s="4"/>
      <c r="EI96" s="4"/>
      <c r="EJ96" s="4"/>
      <c r="EK96" s="4"/>
      <c r="EL96" s="4"/>
      <c r="EM96" s="4"/>
      <c r="EN96" s="4"/>
      <c r="EO96" s="4"/>
      <c r="EP96" s="4"/>
      <c r="EQ96" s="4"/>
      <c r="ER96" s="4"/>
      <c r="ES96" s="4"/>
      <c r="ET96" s="4"/>
      <c r="EU96" s="4"/>
      <c r="EV96" s="4"/>
      <c r="EW96" s="4"/>
      <c r="EX96" s="4"/>
      <c r="EY96" s="4"/>
      <c r="EZ96" s="4"/>
      <c r="FA96" s="4"/>
      <c r="FB96" s="4"/>
      <c r="FC96" s="4"/>
      <c r="FD96" s="4"/>
      <c r="FE96" s="4"/>
      <c r="FF96" s="4"/>
      <c r="FG96" s="4"/>
      <c r="FH96" s="4"/>
      <c r="FI96" s="4"/>
      <c r="FJ96" s="4"/>
      <c r="FK96" s="4"/>
      <c r="FL96" s="4"/>
      <c r="FM96" s="4"/>
      <c r="FN96" s="4"/>
      <c r="FO96" s="4"/>
      <c r="FP96" s="4"/>
      <c r="FQ96" s="4"/>
      <c r="FR96" s="4"/>
      <c r="FS96" s="4"/>
      <c r="FT96" s="4"/>
      <c r="FU96" s="4"/>
      <c r="FV96" s="4"/>
      <c r="FW96" s="4"/>
      <c r="FX96" s="4"/>
      <c r="FY96" s="4"/>
      <c r="FZ96" s="4"/>
      <c r="GA96" s="4"/>
      <c r="GB96" s="4"/>
      <c r="GC96" s="4"/>
      <c r="GD96" s="4"/>
      <c r="GE96" s="4"/>
      <c r="GF96" s="4"/>
      <c r="GG96" s="4"/>
      <c r="GH96" s="4"/>
      <c r="GI96" s="4"/>
      <c r="GJ96" s="4"/>
      <c r="GK96" s="4"/>
      <c r="GL96" s="4"/>
      <c r="GM96" s="4"/>
      <c r="GN96" s="4"/>
      <c r="GO96" s="4"/>
      <c r="GP96" s="4"/>
      <c r="GQ96" s="4"/>
      <c r="GR96" s="4"/>
      <c r="GS96" s="4"/>
      <c r="GT96" s="4"/>
      <c r="GU96" s="4"/>
      <c r="GV96" s="4"/>
      <c r="GW96" s="4"/>
      <c r="GX96" s="4"/>
      <c r="GY96" s="4"/>
      <c r="GZ96" s="4"/>
      <c r="HA96" s="4"/>
      <c r="HB96" s="4"/>
      <c r="HC96" s="4"/>
      <c r="HD96" s="4"/>
      <c r="HE96" s="4"/>
      <c r="HF96" s="4"/>
      <c r="HG96" s="4"/>
      <c r="HH96" s="4"/>
      <c r="HI96" s="4"/>
      <c r="HJ96" s="4"/>
      <c r="HK96" s="4"/>
      <c r="HL96" s="4"/>
      <c r="HM96" s="4"/>
      <c r="HN96" s="4"/>
      <c r="HO96" s="4"/>
      <c r="HP96" s="4"/>
      <c r="HQ96" s="4"/>
      <c r="HR96" s="4"/>
      <c r="HS96" s="4"/>
      <c r="HT96" s="4"/>
      <c r="HU96" s="4"/>
      <c r="HV96" s="4"/>
      <c r="HW96" s="4"/>
      <c r="HX96" s="4"/>
      <c r="HY96" s="4"/>
      <c r="HZ96" s="4"/>
      <c r="IA96" s="4"/>
      <c r="IB96" s="4"/>
      <c r="IC96" s="4"/>
      <c r="ID96" s="4"/>
      <c r="IE96" s="4"/>
      <c r="IF96" s="4"/>
      <c r="IG96" s="4"/>
      <c r="IH96" s="4"/>
      <c r="II96" s="4"/>
      <c r="IJ96" s="4"/>
      <c r="IK96" s="4"/>
      <c r="IL96" s="4"/>
      <c r="IM96" s="4"/>
      <c r="IN96" s="4"/>
      <c r="IO96" s="4"/>
      <c r="IP96" s="4"/>
      <c r="IQ96" s="4"/>
      <c r="IR96" s="4"/>
      <c r="IS96" s="4"/>
      <c r="IT96" s="4"/>
      <c r="IU96" s="4"/>
      <c r="IV96" s="4"/>
      <c r="IW96" s="4"/>
      <c r="IX96" s="4"/>
      <c r="IY96" s="4"/>
      <c r="IZ96" s="4"/>
      <c r="JA96" s="4"/>
      <c r="JB96" s="4"/>
      <c r="JC96" s="4"/>
      <c r="JD96" s="4"/>
      <c r="JE96" s="4"/>
      <c r="JF96" s="4"/>
      <c r="JG96" s="4"/>
      <c r="JH96" s="4"/>
      <c r="JI96" s="4"/>
      <c r="JJ96" s="4"/>
      <c r="JK96" s="4"/>
      <c r="JL96" s="4"/>
      <c r="JM96" s="4"/>
      <c r="JN96" s="4"/>
      <c r="JO96" s="4"/>
      <c r="JP96" s="4"/>
      <c r="JQ96" s="4"/>
      <c r="JR96" s="4"/>
      <c r="JS96" s="4"/>
      <c r="JT96" s="4"/>
      <c r="JU96" s="4"/>
      <c r="JV96" s="4"/>
      <c r="JW96" s="4"/>
      <c r="JX96" s="4"/>
      <c r="JY96" s="4"/>
      <c r="JZ96" s="4"/>
      <c r="KA96" s="4"/>
      <c r="KB96" s="4"/>
      <c r="KC96" s="4"/>
      <c r="KD96" s="4"/>
      <c r="KE96" s="4"/>
      <c r="KF96" s="4"/>
      <c r="KG96" s="4"/>
      <c r="KH96" s="4"/>
      <c r="KI96" s="4"/>
      <c r="KJ96" s="4"/>
      <c r="KK96" s="4"/>
      <c r="KL96" s="4"/>
      <c r="KM96" s="4"/>
      <c r="KN96" s="4"/>
      <c r="KO96" s="4"/>
      <c r="KP96" s="4"/>
      <c r="KQ96" s="4"/>
      <c r="KR96" s="4"/>
      <c r="KS96" s="4"/>
      <c r="KT96" s="4"/>
      <c r="KU96" s="4"/>
      <c r="KV96" s="4"/>
      <c r="KW96" s="4"/>
      <c r="KX96" s="4"/>
      <c r="KY96" s="4"/>
      <c r="KZ96" s="4"/>
      <c r="LA96" s="4"/>
      <c r="LB96" s="4"/>
      <c r="LC96" s="4"/>
      <c r="LD96" s="4"/>
      <c r="LE96" s="4"/>
      <c r="LF96" s="4"/>
      <c r="LG96" s="4"/>
      <c r="LH96" s="4"/>
      <c r="LI96" s="4"/>
      <c r="LJ96" s="4"/>
      <c r="LK96" s="4"/>
      <c r="LL96" s="4"/>
      <c r="LM96" s="4"/>
      <c r="LN96" s="4"/>
      <c r="LO96" s="4"/>
      <c r="LP96" s="4"/>
      <c r="LQ96" s="4"/>
      <c r="LR96" s="4"/>
      <c r="LS96" s="4"/>
      <c r="LT96" s="4"/>
      <c r="LU96" s="4"/>
      <c r="LV96" s="4"/>
      <c r="LW96" s="4"/>
      <c r="LX96" s="4"/>
      <c r="LY96" s="4"/>
      <c r="LZ96" s="4"/>
      <c r="MA96" s="4"/>
      <c r="MB96" s="4"/>
      <c r="MC96" s="4"/>
      <c r="MD96" s="4"/>
      <c r="ME96" s="4"/>
      <c r="MF96" s="4"/>
      <c r="MG96" s="4"/>
      <c r="MH96" s="4"/>
      <c r="MI96" s="4"/>
      <c r="MJ96" s="4"/>
      <c r="MK96" s="4"/>
      <c r="ML96" s="4"/>
      <c r="MM96" s="4"/>
      <c r="MN96" s="4"/>
      <c r="MO96" s="4"/>
      <c r="MP96" s="4"/>
    </row>
    <row r="97" spans="1:354">
      <c r="A97" s="4"/>
      <c r="B97" s="4"/>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c r="AQ97" s="4"/>
      <c r="AR97" s="4"/>
      <c r="AS97" s="4"/>
      <c r="AT97" s="4"/>
      <c r="AU97" s="4"/>
      <c r="AV97" s="4"/>
      <c r="AW97" s="4"/>
      <c r="AX97" s="4"/>
      <c r="AY97" s="4"/>
      <c r="AZ97" s="4"/>
      <c r="BA97" s="4"/>
      <c r="BB97" s="4"/>
      <c r="BC97" s="4"/>
      <c r="BD97" s="4"/>
      <c r="BE97" s="4"/>
      <c r="BF97" s="4"/>
      <c r="BG97" s="4"/>
      <c r="BH97" s="4"/>
      <c r="BI97" s="4"/>
      <c r="BJ97" s="4"/>
      <c r="BK97" s="4"/>
      <c r="BL97" s="4"/>
      <c r="BM97" s="4"/>
      <c r="BN97" s="4"/>
      <c r="BO97" s="4"/>
      <c r="BP97" s="4"/>
      <c r="BQ97" s="4"/>
      <c r="BR97" s="4"/>
      <c r="BS97" s="4"/>
      <c r="BT97" s="4"/>
      <c r="BU97" s="4"/>
      <c r="BV97" s="4"/>
      <c r="BW97" s="4"/>
      <c r="BX97" s="4"/>
      <c r="BY97" s="4"/>
      <c r="BZ97" s="4"/>
      <c r="CA97" s="4"/>
      <c r="CB97" s="4"/>
      <c r="CC97" s="4"/>
      <c r="CD97" s="4"/>
      <c r="CE97" s="4"/>
      <c r="CF97" s="4"/>
      <c r="CG97" s="4"/>
      <c r="CH97" s="4"/>
      <c r="CI97" s="4"/>
      <c r="CJ97" s="4"/>
      <c r="CK97" s="4"/>
      <c r="CL97" s="4"/>
      <c r="CM97" s="4"/>
      <c r="CN97" s="4"/>
      <c r="CO97" s="4"/>
      <c r="CP97" s="4"/>
      <c r="CQ97" s="4"/>
      <c r="CR97" s="4"/>
      <c r="CS97" s="4"/>
      <c r="CT97" s="4"/>
      <c r="CU97" s="4"/>
      <c r="CV97" s="4"/>
      <c r="CW97" s="4"/>
      <c r="CX97" s="4"/>
      <c r="CY97" s="4"/>
      <c r="CZ97" s="4"/>
      <c r="DA97" s="4"/>
      <c r="DB97" s="4"/>
      <c r="DC97" s="4"/>
      <c r="DD97" s="4"/>
      <c r="DE97" s="4"/>
      <c r="DF97" s="4"/>
      <c r="DG97" s="4"/>
      <c r="DH97" s="4"/>
      <c r="DI97" s="4"/>
      <c r="DJ97" s="4"/>
      <c r="DK97" s="4"/>
      <c r="DL97" s="4"/>
      <c r="DM97" s="4"/>
      <c r="DN97" s="4"/>
      <c r="DO97" s="4"/>
      <c r="DP97" s="4"/>
      <c r="DQ97" s="4"/>
      <c r="DR97" s="4"/>
      <c r="DS97" s="4"/>
      <c r="DT97" s="4"/>
      <c r="DU97" s="4"/>
      <c r="DV97" s="4"/>
      <c r="DW97" s="4"/>
      <c r="DX97" s="4"/>
      <c r="DY97" s="4"/>
      <c r="DZ97" s="4"/>
      <c r="EA97" s="4"/>
      <c r="EB97" s="4"/>
      <c r="EC97" s="4"/>
      <c r="ED97" s="4"/>
      <c r="EE97" s="4"/>
      <c r="EF97" s="4"/>
      <c r="EG97" s="4"/>
      <c r="EH97" s="4"/>
      <c r="EI97" s="4"/>
      <c r="EJ97" s="4"/>
      <c r="EK97" s="4"/>
      <c r="EL97" s="4"/>
      <c r="EM97" s="4"/>
      <c r="EN97" s="4"/>
      <c r="EO97" s="4"/>
      <c r="EP97" s="4"/>
      <c r="EQ97" s="4"/>
      <c r="ER97" s="4"/>
      <c r="ES97" s="4"/>
      <c r="ET97" s="4"/>
      <c r="EU97" s="4"/>
      <c r="EV97" s="4"/>
      <c r="EW97" s="4"/>
      <c r="EX97" s="4"/>
      <c r="EY97" s="4"/>
      <c r="EZ97" s="4"/>
      <c r="FA97" s="4"/>
      <c r="FB97" s="4"/>
      <c r="FC97" s="4"/>
      <c r="FD97" s="4"/>
      <c r="FE97" s="4"/>
      <c r="FF97" s="4"/>
      <c r="FG97" s="4"/>
      <c r="FH97" s="4"/>
      <c r="FI97" s="4"/>
      <c r="FJ97" s="4"/>
      <c r="FK97" s="4"/>
      <c r="FL97" s="4"/>
      <c r="FM97" s="4"/>
      <c r="FN97" s="4"/>
      <c r="FO97" s="4"/>
      <c r="FP97" s="4"/>
      <c r="FQ97" s="4"/>
      <c r="FR97" s="4"/>
      <c r="FS97" s="4"/>
      <c r="FT97" s="4"/>
      <c r="FU97" s="4"/>
      <c r="FV97" s="4"/>
      <c r="FW97" s="4"/>
      <c r="FX97" s="4"/>
      <c r="FY97" s="4"/>
      <c r="FZ97" s="4"/>
      <c r="GA97" s="4"/>
      <c r="GB97" s="4"/>
      <c r="GC97" s="4"/>
      <c r="GD97" s="4"/>
      <c r="GE97" s="4"/>
      <c r="GF97" s="4"/>
      <c r="GG97" s="4"/>
      <c r="GH97" s="4"/>
      <c r="GI97" s="4"/>
      <c r="GJ97" s="4"/>
      <c r="GK97" s="4"/>
      <c r="GL97" s="4"/>
      <c r="GM97" s="4"/>
      <c r="GN97" s="4"/>
      <c r="GO97" s="4"/>
      <c r="GP97" s="4"/>
      <c r="GQ97" s="4"/>
      <c r="GR97" s="4"/>
      <c r="GS97" s="4"/>
      <c r="GT97" s="4"/>
      <c r="GU97" s="4"/>
      <c r="GV97" s="4"/>
      <c r="GW97" s="4"/>
      <c r="GX97" s="4"/>
      <c r="GY97" s="4"/>
      <c r="GZ97" s="4"/>
      <c r="HA97" s="4"/>
      <c r="HB97" s="4"/>
      <c r="HC97" s="4"/>
      <c r="HD97" s="4"/>
      <c r="HE97" s="4"/>
      <c r="HF97" s="4"/>
      <c r="HG97" s="4"/>
      <c r="HH97" s="4"/>
      <c r="HI97" s="4"/>
      <c r="HJ97" s="4"/>
      <c r="HK97" s="4"/>
      <c r="HL97" s="4"/>
      <c r="HM97" s="4"/>
      <c r="HN97" s="4"/>
      <c r="HO97" s="4"/>
      <c r="HP97" s="4"/>
      <c r="HQ97" s="4"/>
      <c r="HR97" s="4"/>
      <c r="HS97" s="4"/>
      <c r="HT97" s="4"/>
      <c r="HU97" s="4"/>
      <c r="HV97" s="4"/>
      <c r="HW97" s="4"/>
      <c r="HX97" s="4"/>
      <c r="HY97" s="4"/>
      <c r="HZ97" s="4"/>
      <c r="IA97" s="4"/>
      <c r="IB97" s="4"/>
      <c r="IC97" s="4"/>
      <c r="ID97" s="4"/>
      <c r="IE97" s="4"/>
      <c r="IF97" s="4"/>
      <c r="IG97" s="4"/>
      <c r="IH97" s="4"/>
      <c r="II97" s="4"/>
      <c r="IJ97" s="4"/>
      <c r="IK97" s="4"/>
      <c r="IL97" s="4"/>
      <c r="IM97" s="4"/>
      <c r="IN97" s="4"/>
      <c r="IO97" s="4"/>
      <c r="IP97" s="4"/>
      <c r="IQ97" s="4"/>
      <c r="IR97" s="4"/>
      <c r="IS97" s="4"/>
      <c r="IT97" s="4"/>
      <c r="IU97" s="4"/>
      <c r="IV97" s="4"/>
      <c r="IW97" s="4"/>
      <c r="IX97" s="4"/>
      <c r="IY97" s="4"/>
      <c r="IZ97" s="4"/>
      <c r="JA97" s="4"/>
      <c r="JB97" s="4"/>
      <c r="JC97" s="4"/>
      <c r="JD97" s="4"/>
      <c r="JE97" s="4"/>
      <c r="JF97" s="4"/>
      <c r="JG97" s="4"/>
      <c r="JH97" s="4"/>
      <c r="JI97" s="4"/>
      <c r="JJ97" s="4"/>
      <c r="JK97" s="4"/>
      <c r="JL97" s="4"/>
      <c r="JM97" s="4"/>
      <c r="JN97" s="4"/>
      <c r="JO97" s="4"/>
      <c r="JP97" s="4"/>
      <c r="JQ97" s="4"/>
      <c r="JR97" s="4"/>
      <c r="JS97" s="4"/>
      <c r="JT97" s="4"/>
      <c r="JU97" s="4"/>
      <c r="JV97" s="4"/>
      <c r="JW97" s="4"/>
      <c r="JX97" s="4"/>
      <c r="JY97" s="4"/>
      <c r="JZ97" s="4"/>
      <c r="KA97" s="4"/>
      <c r="KB97" s="4"/>
      <c r="KC97" s="4"/>
      <c r="KD97" s="4"/>
      <c r="KE97" s="4"/>
      <c r="KF97" s="4"/>
      <c r="KG97" s="4"/>
      <c r="KH97" s="4"/>
      <c r="KI97" s="4"/>
      <c r="KJ97" s="4"/>
      <c r="KK97" s="4"/>
      <c r="KL97" s="4"/>
      <c r="KM97" s="4"/>
      <c r="KN97" s="4"/>
      <c r="KO97" s="4"/>
      <c r="KP97" s="4"/>
      <c r="KQ97" s="4"/>
      <c r="KR97" s="4"/>
      <c r="KS97" s="4"/>
      <c r="KT97" s="4"/>
      <c r="KU97" s="4"/>
      <c r="KV97" s="4"/>
      <c r="KW97" s="4"/>
      <c r="KX97" s="4"/>
      <c r="KY97" s="4"/>
      <c r="KZ97" s="4"/>
      <c r="LA97" s="4"/>
      <c r="LB97" s="4"/>
      <c r="LC97" s="4"/>
      <c r="LD97" s="4"/>
      <c r="LE97" s="4"/>
      <c r="LF97" s="4"/>
      <c r="LG97" s="4"/>
      <c r="LH97" s="4"/>
      <c r="LI97" s="4"/>
      <c r="LJ97" s="4"/>
      <c r="LK97" s="4"/>
      <c r="LL97" s="4"/>
      <c r="LM97" s="4"/>
      <c r="LN97" s="4"/>
      <c r="LO97" s="4"/>
      <c r="LP97" s="4"/>
      <c r="LQ97" s="4"/>
      <c r="LR97" s="4"/>
      <c r="LS97" s="4"/>
      <c r="LT97" s="4"/>
      <c r="LU97" s="4"/>
      <c r="LV97" s="4"/>
      <c r="LW97" s="4"/>
      <c r="LX97" s="4"/>
      <c r="LY97" s="4"/>
      <c r="LZ97" s="4"/>
      <c r="MA97" s="4"/>
      <c r="MB97" s="4"/>
      <c r="MC97" s="4"/>
      <c r="MD97" s="4"/>
      <c r="ME97" s="4"/>
      <c r="MF97" s="4"/>
      <c r="MG97" s="4"/>
      <c r="MH97" s="4"/>
      <c r="MI97" s="4"/>
      <c r="MJ97" s="4"/>
      <c r="MK97" s="4"/>
      <c r="ML97" s="4"/>
      <c r="MM97" s="4"/>
      <c r="MN97" s="4"/>
      <c r="MO97" s="4"/>
      <c r="MP97" s="4"/>
    </row>
    <row r="98" spans="1:354">
      <c r="A98" s="4"/>
      <c r="B98" s="4"/>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c r="AQ98" s="4"/>
      <c r="AR98" s="4"/>
      <c r="AS98" s="4"/>
      <c r="AT98" s="4"/>
      <c r="AU98" s="4"/>
      <c r="AV98" s="4"/>
      <c r="AW98" s="4"/>
      <c r="AX98" s="4"/>
      <c r="AY98" s="4"/>
      <c r="AZ98" s="4"/>
      <c r="BA98" s="4"/>
      <c r="BB98" s="4"/>
      <c r="BC98" s="4"/>
      <c r="BD98" s="4"/>
      <c r="BE98" s="4"/>
      <c r="BF98" s="4"/>
      <c r="BG98" s="4"/>
      <c r="BH98" s="4"/>
      <c r="BI98" s="4"/>
      <c r="BJ98" s="4"/>
      <c r="BK98" s="4"/>
      <c r="BL98" s="4"/>
      <c r="BM98" s="4"/>
      <c r="BN98" s="4"/>
      <c r="BO98" s="4"/>
      <c r="BP98" s="4"/>
      <c r="BQ98" s="4"/>
      <c r="BR98" s="4"/>
      <c r="BS98" s="4"/>
      <c r="BT98" s="4"/>
      <c r="BU98" s="4"/>
      <c r="BV98" s="4"/>
      <c r="BW98" s="4"/>
      <c r="BX98" s="4"/>
      <c r="BY98" s="4"/>
      <c r="BZ98" s="4"/>
      <c r="CA98" s="4"/>
      <c r="CB98" s="4"/>
      <c r="CC98" s="4"/>
      <c r="CD98" s="4"/>
      <c r="CE98" s="4"/>
      <c r="CF98" s="4"/>
      <c r="CG98" s="4"/>
      <c r="CH98" s="4"/>
      <c r="CI98" s="4"/>
      <c r="CJ98" s="4"/>
      <c r="CK98" s="4"/>
      <c r="CL98" s="4"/>
      <c r="CM98" s="4"/>
      <c r="CN98" s="4"/>
      <c r="CO98" s="4"/>
      <c r="CP98" s="4"/>
      <c r="CQ98" s="4"/>
      <c r="CR98" s="4"/>
      <c r="CS98" s="4"/>
      <c r="CT98" s="4"/>
      <c r="CU98" s="4"/>
      <c r="CV98" s="4"/>
      <c r="CW98" s="4"/>
      <c r="CX98" s="4"/>
      <c r="CY98" s="4"/>
      <c r="CZ98" s="4"/>
      <c r="DA98" s="4"/>
      <c r="DB98" s="4"/>
      <c r="DC98" s="4"/>
      <c r="DD98" s="4"/>
      <c r="DE98" s="4"/>
      <c r="DF98" s="4"/>
      <c r="DG98" s="4"/>
      <c r="DH98" s="4"/>
      <c r="DI98" s="4"/>
      <c r="DJ98" s="4"/>
      <c r="DK98" s="4"/>
      <c r="DL98" s="4"/>
      <c r="DM98" s="4"/>
      <c r="DN98" s="4"/>
      <c r="DO98" s="4"/>
      <c r="DP98" s="4"/>
      <c r="DQ98" s="4"/>
      <c r="DR98" s="4"/>
      <c r="DS98" s="4"/>
      <c r="DT98" s="4"/>
      <c r="DU98" s="4"/>
      <c r="DV98" s="4"/>
      <c r="DW98" s="4"/>
      <c r="DX98" s="4"/>
      <c r="DY98" s="4"/>
      <c r="DZ98" s="4"/>
      <c r="EA98" s="4"/>
      <c r="EB98" s="4"/>
      <c r="EC98" s="4"/>
      <c r="ED98" s="4"/>
      <c r="EE98" s="4"/>
      <c r="EF98" s="4"/>
      <c r="EG98" s="4"/>
      <c r="EH98" s="4"/>
      <c r="EI98" s="4"/>
      <c r="EJ98" s="4"/>
      <c r="EK98" s="4"/>
      <c r="EL98" s="4"/>
      <c r="EM98" s="4"/>
      <c r="EN98" s="4"/>
      <c r="EO98" s="4"/>
      <c r="EP98" s="4"/>
      <c r="EQ98" s="4"/>
      <c r="ER98" s="4"/>
      <c r="ES98" s="4"/>
      <c r="ET98" s="4"/>
      <c r="EU98" s="4"/>
      <c r="EV98" s="4"/>
      <c r="EW98" s="4"/>
      <c r="EX98" s="4"/>
      <c r="EY98" s="4"/>
      <c r="EZ98" s="4"/>
      <c r="FA98" s="4"/>
      <c r="FB98" s="4"/>
      <c r="FC98" s="4"/>
      <c r="FD98" s="4"/>
      <c r="FE98" s="4"/>
      <c r="FF98" s="4"/>
      <c r="FG98" s="4"/>
      <c r="FH98" s="4"/>
      <c r="FI98" s="4"/>
      <c r="FJ98" s="4"/>
      <c r="FK98" s="4"/>
      <c r="FL98" s="4"/>
      <c r="FM98" s="4"/>
      <c r="FN98" s="4"/>
      <c r="FO98" s="4"/>
      <c r="FP98" s="4"/>
      <c r="FQ98" s="4"/>
      <c r="FR98" s="4"/>
      <c r="FS98" s="4"/>
      <c r="FT98" s="4"/>
      <c r="FU98" s="4"/>
      <c r="FV98" s="4"/>
      <c r="FW98" s="4"/>
      <c r="FX98" s="4"/>
      <c r="FY98" s="4"/>
      <c r="FZ98" s="4"/>
      <c r="GA98" s="4"/>
      <c r="GB98" s="4"/>
      <c r="GC98" s="4"/>
      <c r="GD98" s="4"/>
      <c r="GE98" s="4"/>
      <c r="GF98" s="4"/>
      <c r="GG98" s="4"/>
      <c r="GH98" s="4"/>
      <c r="GI98" s="4"/>
      <c r="GJ98" s="4"/>
      <c r="GK98" s="4"/>
      <c r="GL98" s="4"/>
      <c r="GM98" s="4"/>
      <c r="GN98" s="4"/>
      <c r="GO98" s="4"/>
      <c r="GP98" s="4"/>
      <c r="GQ98" s="4"/>
      <c r="GR98" s="4"/>
      <c r="GS98" s="4"/>
      <c r="GT98" s="4"/>
      <c r="GU98" s="4"/>
      <c r="GV98" s="4"/>
      <c r="GW98" s="4"/>
      <c r="GX98" s="4"/>
      <c r="GY98" s="4"/>
      <c r="GZ98" s="4"/>
      <c r="HA98" s="4"/>
      <c r="HB98" s="4"/>
      <c r="HC98" s="4"/>
      <c r="HD98" s="4"/>
      <c r="HE98" s="4"/>
      <c r="HF98" s="4"/>
      <c r="HG98" s="4"/>
      <c r="HH98" s="4"/>
      <c r="HI98" s="4"/>
      <c r="HJ98" s="4"/>
      <c r="HK98" s="4"/>
      <c r="HL98" s="4"/>
      <c r="HM98" s="4"/>
      <c r="HN98" s="4"/>
      <c r="HO98" s="4"/>
      <c r="HP98" s="4"/>
      <c r="HQ98" s="4"/>
      <c r="HR98" s="4"/>
      <c r="HS98" s="4"/>
      <c r="HT98" s="4"/>
      <c r="HU98" s="4"/>
      <c r="HV98" s="4"/>
      <c r="HW98" s="4"/>
      <c r="HX98" s="4"/>
      <c r="HY98" s="4"/>
      <c r="HZ98" s="4"/>
      <c r="IA98" s="4"/>
      <c r="IB98" s="4"/>
      <c r="IC98" s="4"/>
      <c r="ID98" s="4"/>
      <c r="IE98" s="4"/>
      <c r="IF98" s="4"/>
      <c r="IG98" s="4"/>
      <c r="IH98" s="4"/>
      <c r="II98" s="4"/>
      <c r="IJ98" s="4"/>
      <c r="IK98" s="4"/>
      <c r="IL98" s="4"/>
      <c r="IM98" s="4"/>
      <c r="IN98" s="4"/>
      <c r="IO98" s="4"/>
      <c r="IP98" s="4"/>
      <c r="IQ98" s="4"/>
      <c r="IR98" s="4"/>
      <c r="IS98" s="4"/>
      <c r="IT98" s="4"/>
      <c r="IU98" s="4"/>
      <c r="IV98" s="4"/>
      <c r="IW98" s="4"/>
      <c r="IX98" s="4"/>
      <c r="IY98" s="4"/>
      <c r="IZ98" s="4"/>
      <c r="JA98" s="4"/>
      <c r="JB98" s="4"/>
      <c r="JC98" s="4"/>
      <c r="JD98" s="4"/>
      <c r="JE98" s="4"/>
      <c r="JF98" s="4"/>
      <c r="JG98" s="4"/>
      <c r="JH98" s="4"/>
      <c r="JI98" s="4"/>
      <c r="JJ98" s="4"/>
      <c r="JK98" s="4"/>
      <c r="JL98" s="4"/>
      <c r="JM98" s="4"/>
      <c r="JN98" s="4"/>
      <c r="JO98" s="4"/>
      <c r="JP98" s="4"/>
      <c r="JQ98" s="4"/>
      <c r="JR98" s="4"/>
      <c r="JS98" s="4"/>
      <c r="JT98" s="4"/>
      <c r="JU98" s="4"/>
      <c r="JV98" s="4"/>
      <c r="JW98" s="4"/>
      <c r="JX98" s="4"/>
      <c r="JY98" s="4"/>
      <c r="JZ98" s="4"/>
      <c r="KA98" s="4"/>
      <c r="KB98" s="4"/>
      <c r="KC98" s="4"/>
      <c r="KD98" s="4"/>
      <c r="KE98" s="4"/>
      <c r="KF98" s="4"/>
      <c r="KG98" s="4"/>
      <c r="KH98" s="4"/>
      <c r="KI98" s="4"/>
      <c r="KJ98" s="4"/>
      <c r="KK98" s="4"/>
      <c r="KL98" s="4"/>
      <c r="KM98" s="4"/>
      <c r="KN98" s="4"/>
      <c r="KO98" s="4"/>
      <c r="KP98" s="4"/>
      <c r="KQ98" s="4"/>
      <c r="KR98" s="4"/>
      <c r="KS98" s="4"/>
      <c r="KT98" s="4"/>
      <c r="KU98" s="4"/>
      <c r="KV98" s="4"/>
      <c r="KW98" s="4"/>
      <c r="KX98" s="4"/>
      <c r="KY98" s="4"/>
      <c r="KZ98" s="4"/>
      <c r="LA98" s="4"/>
      <c r="LB98" s="4"/>
      <c r="LC98" s="4"/>
      <c r="LD98" s="4"/>
      <c r="LE98" s="4"/>
      <c r="LF98" s="4"/>
      <c r="LG98" s="4"/>
      <c r="LH98" s="4"/>
      <c r="LI98" s="4"/>
      <c r="LJ98" s="4"/>
      <c r="LK98" s="4"/>
      <c r="LL98" s="4"/>
      <c r="LM98" s="4"/>
      <c r="LN98" s="4"/>
      <c r="LO98" s="4"/>
      <c r="LP98" s="4"/>
      <c r="LQ98" s="4"/>
      <c r="LR98" s="4"/>
      <c r="LS98" s="4"/>
      <c r="LT98" s="4"/>
      <c r="LU98" s="4"/>
      <c r="LV98" s="4"/>
      <c r="LW98" s="4"/>
      <c r="LX98" s="4"/>
      <c r="LY98" s="4"/>
      <c r="LZ98" s="4"/>
      <c r="MA98" s="4"/>
      <c r="MB98" s="4"/>
      <c r="MC98" s="4"/>
      <c r="MD98" s="4"/>
      <c r="ME98" s="4"/>
      <c r="MF98" s="4"/>
      <c r="MG98" s="4"/>
      <c r="MH98" s="4"/>
      <c r="MI98" s="4"/>
      <c r="MJ98" s="4"/>
      <c r="MK98" s="4"/>
      <c r="ML98" s="4"/>
      <c r="MM98" s="4"/>
      <c r="MN98" s="4"/>
      <c r="MO98" s="4"/>
      <c r="MP98" s="4"/>
    </row>
    <row r="99" spans="1:354">
      <c r="A99" s="4"/>
      <c r="B99" s="4"/>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c r="AQ99" s="4"/>
      <c r="AR99" s="4"/>
      <c r="AS99" s="4"/>
      <c r="AT99" s="4"/>
      <c r="AU99" s="4"/>
      <c r="AV99" s="4"/>
      <c r="AW99" s="4"/>
      <c r="AX99" s="4"/>
      <c r="AY99" s="4"/>
      <c r="AZ99" s="4"/>
      <c r="BA99" s="4"/>
      <c r="BB99" s="4"/>
      <c r="BC99" s="4"/>
      <c r="BD99" s="4"/>
      <c r="BE99" s="4"/>
      <c r="BF99" s="4"/>
      <c r="BG99" s="4"/>
      <c r="BH99" s="4"/>
      <c r="BI99" s="4"/>
      <c r="BJ99" s="4"/>
      <c r="BK99" s="4"/>
      <c r="BL99" s="4"/>
      <c r="BM99" s="4"/>
      <c r="BN99" s="4"/>
      <c r="BO99" s="4"/>
      <c r="BP99" s="4"/>
      <c r="BQ99" s="4"/>
      <c r="BR99" s="4"/>
      <c r="BS99" s="4"/>
      <c r="BT99" s="4"/>
      <c r="BU99" s="4"/>
      <c r="BV99" s="4"/>
      <c r="BW99" s="4"/>
      <c r="BX99" s="4"/>
      <c r="BY99" s="4"/>
      <c r="BZ99" s="4"/>
      <c r="CA99" s="4"/>
      <c r="CB99" s="4"/>
      <c r="CC99" s="4"/>
      <c r="CD99" s="4"/>
      <c r="CE99" s="4"/>
      <c r="CF99" s="4"/>
      <c r="CG99" s="4"/>
      <c r="CH99" s="4"/>
      <c r="CI99" s="4"/>
      <c r="CJ99" s="4"/>
      <c r="CK99" s="4"/>
      <c r="CL99" s="4"/>
      <c r="CM99" s="4"/>
      <c r="CN99" s="4"/>
      <c r="CO99" s="4"/>
      <c r="CP99" s="4"/>
      <c r="CQ99" s="4"/>
      <c r="CR99" s="4"/>
      <c r="CS99" s="4"/>
      <c r="CT99" s="4"/>
      <c r="CU99" s="4"/>
      <c r="CV99" s="4"/>
      <c r="CW99" s="4"/>
      <c r="CX99" s="4"/>
      <c r="CY99" s="4"/>
      <c r="CZ99" s="4"/>
      <c r="DA99" s="4"/>
      <c r="DB99" s="4"/>
      <c r="DC99" s="4"/>
      <c r="DD99" s="4"/>
      <c r="DE99" s="4"/>
      <c r="DF99" s="4"/>
      <c r="DG99" s="4"/>
      <c r="DH99" s="4"/>
      <c r="DI99" s="4"/>
      <c r="DJ99" s="4"/>
      <c r="DK99" s="4"/>
      <c r="DL99" s="4"/>
      <c r="DM99" s="4"/>
      <c r="DN99" s="4"/>
      <c r="DO99" s="4"/>
      <c r="DP99" s="4"/>
      <c r="DQ99" s="4"/>
      <c r="DR99" s="4"/>
      <c r="DS99" s="4"/>
      <c r="DT99" s="4"/>
      <c r="DU99" s="4"/>
      <c r="DV99" s="4"/>
      <c r="DW99" s="4"/>
      <c r="DX99" s="4"/>
      <c r="DY99" s="4"/>
      <c r="DZ99" s="4"/>
      <c r="EA99" s="4"/>
      <c r="EB99" s="4"/>
      <c r="EC99" s="4"/>
      <c r="ED99" s="4"/>
      <c r="EE99" s="4"/>
      <c r="EF99" s="4"/>
      <c r="EG99" s="4"/>
      <c r="EH99" s="4"/>
      <c r="EI99" s="4"/>
      <c r="EJ99" s="4"/>
      <c r="EK99" s="4"/>
      <c r="EL99" s="4"/>
      <c r="EM99" s="4"/>
      <c r="EN99" s="4"/>
      <c r="EO99" s="4"/>
      <c r="EP99" s="4"/>
      <c r="EQ99" s="4"/>
      <c r="ER99" s="4"/>
      <c r="ES99" s="4"/>
      <c r="ET99" s="4"/>
      <c r="EU99" s="4"/>
      <c r="EV99" s="4"/>
      <c r="EW99" s="4"/>
      <c r="EX99" s="4"/>
      <c r="EY99" s="4"/>
      <c r="EZ99" s="4"/>
      <c r="FA99" s="4"/>
      <c r="FB99" s="4"/>
      <c r="FC99" s="4"/>
      <c r="FD99" s="4"/>
      <c r="FE99" s="4"/>
      <c r="FF99" s="4"/>
      <c r="FG99" s="4"/>
      <c r="FH99" s="4"/>
      <c r="FI99" s="4"/>
      <c r="FJ99" s="4"/>
      <c r="FK99" s="4"/>
      <c r="FL99" s="4"/>
      <c r="FM99" s="4"/>
      <c r="FN99" s="4"/>
      <c r="FO99" s="4"/>
      <c r="FP99" s="4"/>
      <c r="FQ99" s="4"/>
      <c r="FR99" s="4"/>
      <c r="FS99" s="4"/>
      <c r="FT99" s="4"/>
      <c r="FU99" s="4"/>
      <c r="FV99" s="4"/>
      <c r="FW99" s="4"/>
      <c r="FX99" s="4"/>
      <c r="FY99" s="4"/>
      <c r="FZ99" s="4"/>
      <c r="GA99" s="4"/>
      <c r="GB99" s="4"/>
      <c r="GC99" s="4"/>
      <c r="GD99" s="4"/>
      <c r="GE99" s="4"/>
      <c r="GF99" s="4"/>
      <c r="GG99" s="4"/>
      <c r="GH99" s="4"/>
      <c r="GI99" s="4"/>
      <c r="GJ99" s="4"/>
      <c r="GK99" s="4"/>
      <c r="GL99" s="4"/>
      <c r="GM99" s="4"/>
      <c r="GN99" s="4"/>
      <c r="GO99" s="4"/>
      <c r="GP99" s="4"/>
      <c r="GQ99" s="4"/>
      <c r="GR99" s="4"/>
      <c r="GS99" s="4"/>
      <c r="GT99" s="4"/>
      <c r="GU99" s="4"/>
      <c r="GV99" s="4"/>
      <c r="GW99" s="4"/>
      <c r="GX99" s="4"/>
      <c r="GY99" s="4"/>
      <c r="GZ99" s="4"/>
      <c r="HA99" s="4"/>
      <c r="HB99" s="4"/>
      <c r="HC99" s="4"/>
      <c r="HD99" s="4"/>
      <c r="HE99" s="4"/>
      <c r="HF99" s="4"/>
      <c r="HG99" s="4"/>
      <c r="HH99" s="4"/>
      <c r="HI99" s="4"/>
      <c r="HJ99" s="4"/>
      <c r="HK99" s="4"/>
      <c r="HL99" s="4"/>
      <c r="HM99" s="4"/>
      <c r="HN99" s="4"/>
      <c r="HO99" s="4"/>
      <c r="HP99" s="4"/>
      <c r="HQ99" s="4"/>
      <c r="HR99" s="4"/>
      <c r="HS99" s="4"/>
      <c r="HT99" s="4"/>
      <c r="HU99" s="4"/>
      <c r="HV99" s="4"/>
      <c r="HW99" s="4"/>
      <c r="HX99" s="4"/>
      <c r="HY99" s="4"/>
      <c r="HZ99" s="4"/>
      <c r="IA99" s="4"/>
      <c r="IB99" s="4"/>
      <c r="IC99" s="4"/>
      <c r="ID99" s="4"/>
      <c r="IE99" s="4"/>
      <c r="IF99" s="4"/>
      <c r="IG99" s="4"/>
      <c r="IH99" s="4"/>
      <c r="II99" s="4"/>
      <c r="IJ99" s="4"/>
      <c r="IK99" s="4"/>
      <c r="IL99" s="4"/>
      <c r="IM99" s="4"/>
      <c r="IN99" s="4"/>
      <c r="IO99" s="4"/>
      <c r="IP99" s="4"/>
      <c r="IQ99" s="4"/>
      <c r="IR99" s="4"/>
      <c r="IS99" s="4"/>
      <c r="IT99" s="4"/>
      <c r="IU99" s="4"/>
      <c r="IV99" s="4"/>
      <c r="IW99" s="4"/>
      <c r="IX99" s="4"/>
      <c r="IY99" s="4"/>
      <c r="IZ99" s="4"/>
      <c r="JA99" s="4"/>
      <c r="JB99" s="4"/>
      <c r="JC99" s="4"/>
      <c r="JD99" s="4"/>
      <c r="JE99" s="4"/>
      <c r="JF99" s="4"/>
      <c r="JG99" s="4"/>
      <c r="JH99" s="4"/>
      <c r="JI99" s="4"/>
      <c r="JJ99" s="4"/>
      <c r="JK99" s="4"/>
      <c r="JL99" s="4"/>
      <c r="JM99" s="4"/>
      <c r="JN99" s="4"/>
      <c r="JO99" s="4"/>
      <c r="JP99" s="4"/>
      <c r="JQ99" s="4"/>
      <c r="JR99" s="4"/>
      <c r="JS99" s="4"/>
      <c r="JT99" s="4"/>
      <c r="JU99" s="4"/>
      <c r="JV99" s="4"/>
      <c r="JW99" s="4"/>
      <c r="JX99" s="4"/>
      <c r="JY99" s="4"/>
      <c r="JZ99" s="4"/>
      <c r="KA99" s="4"/>
      <c r="KB99" s="4"/>
      <c r="KC99" s="4"/>
      <c r="KD99" s="4"/>
      <c r="KE99" s="4"/>
      <c r="KF99" s="4"/>
      <c r="KG99" s="4"/>
      <c r="KH99" s="4"/>
      <c r="KI99" s="4"/>
      <c r="KJ99" s="4"/>
      <c r="KK99" s="4"/>
      <c r="KL99" s="4"/>
      <c r="KM99" s="4"/>
      <c r="KN99" s="4"/>
      <c r="KO99" s="4"/>
      <c r="KP99" s="4"/>
      <c r="KQ99" s="4"/>
      <c r="KR99" s="4"/>
      <c r="KS99" s="4"/>
      <c r="KT99" s="4"/>
      <c r="KU99" s="4"/>
      <c r="KV99" s="4"/>
      <c r="KW99" s="4"/>
      <c r="KX99" s="4"/>
      <c r="KY99" s="4"/>
      <c r="KZ99" s="4"/>
      <c r="LA99" s="4"/>
      <c r="LB99" s="4"/>
      <c r="LC99" s="4"/>
      <c r="LD99" s="4"/>
      <c r="LE99" s="4"/>
      <c r="LF99" s="4"/>
      <c r="LG99" s="4"/>
      <c r="LH99" s="4"/>
      <c r="LI99" s="4"/>
      <c r="LJ99" s="4"/>
      <c r="LK99" s="4"/>
      <c r="LL99" s="4"/>
      <c r="LM99" s="4"/>
      <c r="LN99" s="4"/>
      <c r="LO99" s="4"/>
      <c r="LP99" s="4"/>
      <c r="LQ99" s="4"/>
      <c r="LR99" s="4"/>
      <c r="LS99" s="4"/>
      <c r="LT99" s="4"/>
      <c r="LU99" s="4"/>
      <c r="LV99" s="4"/>
      <c r="LW99" s="4"/>
      <c r="LX99" s="4"/>
      <c r="LY99" s="4"/>
      <c r="LZ99" s="4"/>
      <c r="MA99" s="4"/>
      <c r="MB99" s="4"/>
      <c r="MC99" s="4"/>
      <c r="MD99" s="4"/>
      <c r="ME99" s="4"/>
      <c r="MF99" s="4"/>
      <c r="MG99" s="4"/>
      <c r="MH99" s="4"/>
      <c r="MI99" s="4"/>
      <c r="MJ99" s="4"/>
      <c r="MK99" s="4"/>
      <c r="ML99" s="4"/>
      <c r="MM99" s="4"/>
      <c r="MN99" s="4"/>
      <c r="MO99" s="4"/>
      <c r="MP99" s="4"/>
    </row>
    <row r="100" spans="1:354">
      <c r="A100" s="4"/>
      <c r="B100" s="4"/>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c r="AQ100" s="4"/>
      <c r="AR100" s="4"/>
      <c r="AS100" s="4"/>
      <c r="AT100" s="4"/>
      <c r="AU100" s="4"/>
      <c r="AV100" s="4"/>
      <c r="AW100" s="4"/>
      <c r="AX100" s="4"/>
      <c r="AY100" s="4"/>
      <c r="AZ100" s="4"/>
      <c r="BA100" s="4"/>
      <c r="BB100" s="4"/>
      <c r="BC100" s="4"/>
      <c r="BD100" s="4"/>
      <c r="BE100" s="4"/>
      <c r="BF100" s="4"/>
      <c r="BG100" s="4"/>
      <c r="BH100" s="4"/>
      <c r="BI100" s="4"/>
      <c r="BJ100" s="4"/>
      <c r="BK100" s="4"/>
      <c r="BL100" s="4"/>
      <c r="BM100" s="4"/>
      <c r="BN100" s="4"/>
      <c r="BO100" s="4"/>
      <c r="BP100" s="4"/>
      <c r="BQ100" s="4"/>
      <c r="BR100" s="4"/>
      <c r="BS100" s="4"/>
      <c r="BT100" s="4"/>
      <c r="BU100" s="4"/>
      <c r="BV100" s="4"/>
      <c r="BW100" s="4"/>
      <c r="BX100" s="4"/>
      <c r="BY100" s="4"/>
      <c r="BZ100" s="4"/>
      <c r="CA100" s="4"/>
      <c r="CB100" s="4"/>
      <c r="CC100" s="4"/>
      <c r="CD100" s="4"/>
      <c r="CE100" s="4"/>
      <c r="CF100" s="4"/>
      <c r="CG100" s="4"/>
      <c r="CH100" s="4"/>
      <c r="CI100" s="4"/>
      <c r="CJ100" s="4"/>
      <c r="CK100" s="4"/>
      <c r="CL100" s="4"/>
      <c r="CM100" s="4"/>
      <c r="CN100" s="4"/>
      <c r="CO100" s="4"/>
      <c r="CP100" s="4"/>
      <c r="CQ100" s="4"/>
      <c r="CR100" s="4"/>
      <c r="CS100" s="4"/>
      <c r="CT100" s="4"/>
      <c r="CU100" s="4"/>
      <c r="CV100" s="4"/>
      <c r="CW100" s="4"/>
      <c r="CX100" s="4"/>
      <c r="CY100" s="4"/>
      <c r="CZ100" s="4"/>
      <c r="DA100" s="4"/>
      <c r="DB100" s="4"/>
      <c r="DC100" s="4"/>
      <c r="DD100" s="4"/>
      <c r="DE100" s="4"/>
      <c r="DF100" s="4"/>
      <c r="DG100" s="4"/>
      <c r="DH100" s="4"/>
      <c r="DI100" s="4"/>
      <c r="DJ100" s="4"/>
      <c r="DK100" s="4"/>
      <c r="DL100" s="4"/>
      <c r="DM100" s="4"/>
      <c r="DN100" s="4"/>
      <c r="DO100" s="4"/>
      <c r="DP100" s="4"/>
      <c r="DQ100" s="4"/>
      <c r="DR100" s="4"/>
      <c r="DS100" s="4"/>
      <c r="DT100" s="4"/>
      <c r="DU100" s="4"/>
      <c r="DV100" s="4"/>
      <c r="DW100" s="4"/>
      <c r="DX100" s="4"/>
      <c r="DY100" s="4"/>
      <c r="DZ100" s="4"/>
      <c r="EA100" s="4"/>
      <c r="EB100" s="4"/>
      <c r="EC100" s="4"/>
      <c r="ED100" s="4"/>
      <c r="EE100" s="4"/>
      <c r="EF100" s="4"/>
      <c r="EG100" s="4"/>
      <c r="EH100" s="4"/>
      <c r="EI100" s="4"/>
      <c r="EJ100" s="4"/>
      <c r="EK100" s="4"/>
      <c r="EL100" s="4"/>
      <c r="EM100" s="4"/>
      <c r="EN100" s="4"/>
      <c r="EO100" s="4"/>
      <c r="EP100" s="4"/>
      <c r="EQ100" s="4"/>
      <c r="ER100" s="4"/>
      <c r="ES100" s="4"/>
      <c r="ET100" s="4"/>
      <c r="EU100" s="4"/>
      <c r="EV100" s="4"/>
      <c r="EW100" s="4"/>
      <c r="EX100" s="4"/>
      <c r="EY100" s="4"/>
      <c r="EZ100" s="4"/>
      <c r="FA100" s="4"/>
      <c r="FB100" s="4"/>
      <c r="FC100" s="4"/>
      <c r="FD100" s="4"/>
      <c r="FE100" s="4"/>
      <c r="FF100" s="4"/>
      <c r="FG100" s="4"/>
      <c r="FH100" s="4"/>
      <c r="FI100" s="4"/>
      <c r="FJ100" s="4"/>
      <c r="FK100" s="4"/>
      <c r="FL100" s="4"/>
      <c r="FM100" s="4"/>
      <c r="FN100" s="4"/>
      <c r="FO100" s="4"/>
      <c r="FP100" s="4"/>
      <c r="FQ100" s="4"/>
      <c r="FR100" s="4"/>
      <c r="FS100" s="4"/>
      <c r="FT100" s="4"/>
      <c r="FU100" s="4"/>
      <c r="FV100" s="4"/>
      <c r="FW100" s="4"/>
      <c r="FX100" s="4"/>
      <c r="FY100" s="4"/>
      <c r="FZ100" s="4"/>
      <c r="GA100" s="4"/>
      <c r="GB100" s="4"/>
      <c r="GC100" s="4"/>
      <c r="GD100" s="4"/>
      <c r="GE100" s="4"/>
      <c r="GF100" s="4"/>
      <c r="GG100" s="4"/>
      <c r="GH100" s="4"/>
      <c r="GI100" s="4"/>
      <c r="GJ100" s="4"/>
      <c r="GK100" s="4"/>
      <c r="GL100" s="4"/>
      <c r="GM100" s="4"/>
      <c r="GN100" s="4"/>
      <c r="GO100" s="4"/>
      <c r="GP100" s="4"/>
      <c r="GQ100" s="4"/>
      <c r="GR100" s="4"/>
      <c r="GS100" s="4"/>
      <c r="GT100" s="4"/>
      <c r="GU100" s="4"/>
      <c r="GV100" s="4"/>
      <c r="GW100" s="4"/>
      <c r="GX100" s="4"/>
      <c r="GY100" s="4"/>
      <c r="GZ100" s="4"/>
      <c r="HA100" s="4"/>
      <c r="HB100" s="4"/>
      <c r="HC100" s="4"/>
      <c r="HD100" s="4"/>
      <c r="HE100" s="4"/>
      <c r="HF100" s="4"/>
      <c r="HG100" s="4"/>
      <c r="HH100" s="4"/>
      <c r="HI100" s="4"/>
      <c r="HJ100" s="4"/>
      <c r="HK100" s="4"/>
      <c r="HL100" s="4"/>
      <c r="HM100" s="4"/>
      <c r="HN100" s="4"/>
      <c r="HO100" s="4"/>
      <c r="HP100" s="4"/>
      <c r="HQ100" s="4"/>
      <c r="HR100" s="4"/>
      <c r="HS100" s="4"/>
      <c r="HT100" s="4"/>
      <c r="HU100" s="4"/>
      <c r="HV100" s="4"/>
      <c r="HW100" s="4"/>
      <c r="HX100" s="4"/>
      <c r="HY100" s="4"/>
      <c r="HZ100" s="4"/>
      <c r="IA100" s="4"/>
      <c r="IB100" s="4"/>
      <c r="IC100" s="4"/>
      <c r="ID100" s="4"/>
      <c r="IE100" s="4"/>
      <c r="IF100" s="4"/>
      <c r="IG100" s="4"/>
      <c r="IH100" s="4"/>
      <c r="II100" s="4"/>
      <c r="IJ100" s="4"/>
      <c r="IK100" s="4"/>
      <c r="IL100" s="4"/>
      <c r="IM100" s="4"/>
      <c r="IN100" s="4"/>
      <c r="IO100" s="4"/>
      <c r="IP100" s="4"/>
      <c r="IQ100" s="4"/>
      <c r="IR100" s="4"/>
      <c r="IS100" s="4"/>
      <c r="IT100" s="4"/>
      <c r="IU100" s="4"/>
      <c r="IV100" s="4"/>
      <c r="IW100" s="4"/>
      <c r="IX100" s="4"/>
      <c r="IY100" s="4"/>
      <c r="IZ100" s="4"/>
      <c r="JA100" s="4"/>
      <c r="JB100" s="4"/>
      <c r="JC100" s="4"/>
      <c r="JD100" s="4"/>
      <c r="JE100" s="4"/>
      <c r="JF100" s="4"/>
      <c r="JG100" s="4"/>
      <c r="JH100" s="4"/>
      <c r="JI100" s="4"/>
      <c r="JJ100" s="4"/>
      <c r="JK100" s="4"/>
      <c r="JL100" s="4"/>
      <c r="JM100" s="4"/>
      <c r="JN100" s="4"/>
      <c r="JO100" s="4"/>
      <c r="JP100" s="4"/>
      <c r="JQ100" s="4"/>
      <c r="JR100" s="4"/>
      <c r="JS100" s="4"/>
      <c r="JT100" s="4"/>
      <c r="JU100" s="4"/>
      <c r="JV100" s="4"/>
      <c r="JW100" s="4"/>
      <c r="JX100" s="4"/>
      <c r="JY100" s="4"/>
      <c r="JZ100" s="4"/>
      <c r="KA100" s="4"/>
      <c r="KB100" s="4"/>
      <c r="KC100" s="4"/>
      <c r="KD100" s="4"/>
      <c r="KE100" s="4"/>
      <c r="KF100" s="4"/>
      <c r="KG100" s="4"/>
      <c r="KH100" s="4"/>
      <c r="KI100" s="4"/>
      <c r="KJ100" s="4"/>
      <c r="KK100" s="4"/>
      <c r="KL100" s="4"/>
      <c r="KM100" s="4"/>
      <c r="KN100" s="4"/>
      <c r="KO100" s="4"/>
      <c r="KP100" s="4"/>
      <c r="KQ100" s="4"/>
      <c r="KR100" s="4"/>
      <c r="KS100" s="4"/>
      <c r="KT100" s="4"/>
      <c r="KU100" s="4"/>
      <c r="KV100" s="4"/>
      <c r="KW100" s="4"/>
      <c r="KX100" s="4"/>
      <c r="KY100" s="4"/>
      <c r="KZ100" s="4"/>
      <c r="LA100" s="4"/>
      <c r="LB100" s="4"/>
      <c r="LC100" s="4"/>
      <c r="LD100" s="4"/>
      <c r="LE100" s="4"/>
      <c r="LF100" s="4"/>
      <c r="LG100" s="4"/>
      <c r="LH100" s="4"/>
      <c r="LI100" s="4"/>
      <c r="LJ100" s="4"/>
      <c r="LK100" s="4"/>
      <c r="LL100" s="4"/>
      <c r="LM100" s="4"/>
      <c r="LN100" s="4"/>
      <c r="LO100" s="4"/>
      <c r="LP100" s="4"/>
      <c r="LQ100" s="4"/>
      <c r="LR100" s="4"/>
      <c r="LS100" s="4"/>
      <c r="LT100" s="4"/>
      <c r="LU100" s="4"/>
      <c r="LV100" s="4"/>
      <c r="LW100" s="4"/>
      <c r="LX100" s="4"/>
      <c r="LY100" s="4"/>
      <c r="LZ100" s="4"/>
      <c r="MA100" s="4"/>
      <c r="MB100" s="4"/>
      <c r="MC100" s="4"/>
      <c r="MD100" s="4"/>
      <c r="ME100" s="4"/>
      <c r="MF100" s="4"/>
      <c r="MG100" s="4"/>
      <c r="MH100" s="4"/>
      <c r="MI100" s="4"/>
      <c r="MJ100" s="4"/>
      <c r="MK100" s="4"/>
      <c r="ML100" s="4"/>
      <c r="MM100" s="4"/>
      <c r="MN100" s="4"/>
      <c r="MO100" s="4"/>
      <c r="MP100" s="4"/>
    </row>
    <row r="101" spans="1:354">
      <c r="A101" s="4"/>
      <c r="B101" s="4"/>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c r="AQ101" s="4"/>
      <c r="AR101" s="4"/>
      <c r="AS101" s="4"/>
      <c r="AT101" s="4"/>
      <c r="AU101" s="4"/>
      <c r="AV101" s="4"/>
      <c r="AW101" s="4"/>
      <c r="AX101" s="4"/>
      <c r="AY101" s="4"/>
      <c r="AZ101" s="4"/>
      <c r="BA101" s="4"/>
      <c r="BB101" s="4"/>
      <c r="BC101" s="4"/>
      <c r="BD101" s="4"/>
      <c r="BE101" s="4"/>
      <c r="BF101" s="4"/>
      <c r="BG101" s="4"/>
      <c r="BH101" s="4"/>
      <c r="BI101" s="4"/>
      <c r="BJ101" s="4"/>
      <c r="BK101" s="4"/>
      <c r="BL101" s="4"/>
      <c r="BM101" s="4"/>
      <c r="BN101" s="4"/>
      <c r="BO101" s="4"/>
      <c r="BP101" s="4"/>
      <c r="BQ101" s="4"/>
      <c r="BR101" s="4"/>
      <c r="BS101" s="4"/>
      <c r="BT101" s="4"/>
      <c r="BU101" s="4"/>
      <c r="BV101" s="4"/>
      <c r="BW101" s="4"/>
      <c r="BX101" s="4"/>
      <c r="BY101" s="4"/>
      <c r="BZ101" s="4"/>
      <c r="CA101" s="4"/>
      <c r="CB101" s="4"/>
      <c r="CC101" s="4"/>
      <c r="CD101" s="4"/>
      <c r="CE101" s="4"/>
      <c r="CF101" s="4"/>
      <c r="CG101" s="4"/>
      <c r="CH101" s="4"/>
      <c r="CI101" s="4"/>
      <c r="CJ101" s="4"/>
      <c r="CK101" s="4"/>
      <c r="CL101" s="4"/>
      <c r="CM101" s="4"/>
      <c r="CN101" s="4"/>
      <c r="CO101" s="4"/>
      <c r="CP101" s="4"/>
      <c r="CQ101" s="4"/>
      <c r="CR101" s="4"/>
      <c r="CS101" s="4"/>
      <c r="CT101" s="4"/>
      <c r="CU101" s="4"/>
      <c r="CV101" s="4"/>
      <c r="CW101" s="4"/>
      <c r="CX101" s="4"/>
      <c r="CY101" s="4"/>
      <c r="CZ101" s="4"/>
      <c r="DA101" s="4"/>
      <c r="DB101" s="4"/>
      <c r="DC101" s="4"/>
      <c r="DD101" s="4"/>
      <c r="DE101" s="4"/>
      <c r="DF101" s="4"/>
      <c r="DG101" s="4"/>
      <c r="DH101" s="4"/>
      <c r="DI101" s="4"/>
      <c r="DJ101" s="4"/>
      <c r="DK101" s="4"/>
      <c r="DL101" s="4"/>
      <c r="DM101" s="4"/>
      <c r="DN101" s="4"/>
      <c r="DO101" s="4"/>
      <c r="DP101" s="4"/>
      <c r="DQ101" s="4"/>
      <c r="DR101" s="4"/>
      <c r="DS101" s="4"/>
      <c r="DT101" s="4"/>
      <c r="DU101" s="4"/>
      <c r="DV101" s="4"/>
      <c r="DW101" s="4"/>
      <c r="DX101" s="4"/>
      <c r="DY101" s="4"/>
      <c r="DZ101" s="4"/>
      <c r="EA101" s="4"/>
      <c r="EB101" s="4"/>
      <c r="EC101" s="4"/>
      <c r="ED101" s="4"/>
      <c r="EE101" s="4"/>
      <c r="EF101" s="4"/>
      <c r="EG101" s="4"/>
      <c r="EH101" s="4"/>
      <c r="EI101" s="4"/>
      <c r="EJ101" s="4"/>
      <c r="EK101" s="4"/>
      <c r="EL101" s="4"/>
      <c r="EM101" s="4"/>
      <c r="EN101" s="4"/>
      <c r="EO101" s="4"/>
      <c r="EP101" s="4"/>
      <c r="EQ101" s="4"/>
      <c r="ER101" s="4"/>
      <c r="ES101" s="4"/>
      <c r="ET101" s="4"/>
      <c r="EU101" s="4"/>
      <c r="EV101" s="4"/>
      <c r="EW101" s="4"/>
      <c r="EX101" s="4"/>
      <c r="EY101" s="4"/>
      <c r="EZ101" s="4"/>
      <c r="FA101" s="4"/>
      <c r="FB101" s="4"/>
      <c r="FC101" s="4"/>
      <c r="FD101" s="4"/>
      <c r="FE101" s="4"/>
      <c r="FF101" s="4"/>
      <c r="FG101" s="4"/>
      <c r="FH101" s="4"/>
      <c r="FI101" s="4"/>
      <c r="FJ101" s="4"/>
      <c r="FK101" s="4"/>
      <c r="FL101" s="4"/>
      <c r="FM101" s="4"/>
      <c r="FN101" s="4"/>
      <c r="FO101" s="4"/>
      <c r="FP101" s="4"/>
      <c r="FQ101" s="4"/>
      <c r="FR101" s="4"/>
      <c r="FS101" s="4"/>
      <c r="FT101" s="4"/>
      <c r="FU101" s="4"/>
      <c r="FV101" s="4"/>
      <c r="FW101" s="4"/>
      <c r="FX101" s="4"/>
      <c r="FY101" s="4"/>
      <c r="FZ101" s="4"/>
      <c r="GA101" s="4"/>
      <c r="GB101" s="4"/>
      <c r="GC101" s="4"/>
      <c r="GD101" s="4"/>
      <c r="GE101" s="4"/>
      <c r="GF101" s="4"/>
      <c r="GG101" s="4"/>
      <c r="GH101" s="4"/>
      <c r="GI101" s="4"/>
      <c r="GJ101" s="4"/>
      <c r="GK101" s="4"/>
      <c r="GL101" s="4"/>
      <c r="GM101" s="4"/>
      <c r="GN101" s="4"/>
      <c r="GO101" s="4"/>
      <c r="GP101" s="4"/>
      <c r="GQ101" s="4"/>
      <c r="GR101" s="4"/>
      <c r="GS101" s="4"/>
      <c r="GT101" s="4"/>
      <c r="GU101" s="4"/>
      <c r="GV101" s="4"/>
      <c r="GW101" s="4"/>
      <c r="GX101" s="4"/>
      <c r="GY101" s="4"/>
      <c r="GZ101" s="4"/>
      <c r="HA101" s="4"/>
      <c r="HB101" s="4"/>
      <c r="HC101" s="4"/>
      <c r="HD101" s="4"/>
      <c r="HE101" s="4"/>
      <c r="HF101" s="4"/>
      <c r="HG101" s="4"/>
      <c r="HH101" s="4"/>
      <c r="HI101" s="4"/>
      <c r="HJ101" s="4"/>
      <c r="HK101" s="4"/>
      <c r="HL101" s="4"/>
      <c r="HM101" s="4"/>
      <c r="HN101" s="4"/>
      <c r="HO101" s="4"/>
      <c r="HP101" s="4"/>
      <c r="HQ101" s="4"/>
      <c r="HR101" s="4"/>
      <c r="HS101" s="4"/>
      <c r="HT101" s="4"/>
      <c r="HU101" s="4"/>
      <c r="HV101" s="4"/>
      <c r="HW101" s="4"/>
      <c r="HX101" s="4"/>
      <c r="HY101" s="4"/>
      <c r="HZ101" s="4"/>
      <c r="IA101" s="4"/>
      <c r="IB101" s="4"/>
      <c r="IC101" s="4"/>
      <c r="ID101" s="4"/>
      <c r="IE101" s="4"/>
      <c r="IF101" s="4"/>
      <c r="IG101" s="4"/>
      <c r="IH101" s="4"/>
      <c r="II101" s="4"/>
      <c r="IJ101" s="4"/>
      <c r="IK101" s="4"/>
      <c r="IL101" s="4"/>
      <c r="IM101" s="4"/>
      <c r="IN101" s="4"/>
      <c r="IO101" s="4"/>
      <c r="IP101" s="4"/>
      <c r="IQ101" s="4"/>
      <c r="IR101" s="4"/>
      <c r="IS101" s="4"/>
      <c r="IT101" s="4"/>
      <c r="IU101" s="4"/>
      <c r="IV101" s="4"/>
      <c r="IW101" s="4"/>
      <c r="IX101" s="4"/>
      <c r="IY101" s="4"/>
      <c r="IZ101" s="4"/>
      <c r="JA101" s="4"/>
      <c r="JB101" s="4"/>
      <c r="JC101" s="4"/>
      <c r="JD101" s="4"/>
      <c r="JE101" s="4"/>
      <c r="JF101" s="4"/>
      <c r="JG101" s="4"/>
      <c r="JH101" s="4"/>
      <c r="JI101" s="4"/>
      <c r="JJ101" s="4"/>
      <c r="JK101" s="4"/>
      <c r="JL101" s="4"/>
      <c r="JM101" s="4"/>
      <c r="JN101" s="4"/>
      <c r="JO101" s="4"/>
      <c r="JP101" s="4"/>
      <c r="JQ101" s="4"/>
      <c r="JR101" s="4"/>
      <c r="JS101" s="4"/>
      <c r="JT101" s="4"/>
      <c r="JU101" s="4"/>
      <c r="JV101" s="4"/>
      <c r="JW101" s="4"/>
      <c r="JX101" s="4"/>
      <c r="JY101" s="4"/>
      <c r="JZ101" s="4"/>
      <c r="KA101" s="4"/>
      <c r="KB101" s="4"/>
      <c r="KC101" s="4"/>
      <c r="KD101" s="4"/>
      <c r="KE101" s="4"/>
      <c r="KF101" s="4"/>
      <c r="KG101" s="4"/>
      <c r="KH101" s="4"/>
      <c r="KI101" s="4"/>
      <c r="KJ101" s="4"/>
      <c r="KK101" s="4"/>
      <c r="KL101" s="4"/>
      <c r="KM101" s="4"/>
      <c r="KN101" s="4"/>
      <c r="KO101" s="4"/>
      <c r="KP101" s="4"/>
      <c r="KQ101" s="4"/>
      <c r="KR101" s="4"/>
      <c r="KS101" s="4"/>
      <c r="KT101" s="4"/>
      <c r="KU101" s="4"/>
      <c r="KV101" s="4"/>
      <c r="KW101" s="4"/>
      <c r="KX101" s="4"/>
      <c r="KY101" s="4"/>
      <c r="KZ101" s="4"/>
      <c r="LA101" s="4"/>
      <c r="LB101" s="4"/>
      <c r="LC101" s="4"/>
      <c r="LD101" s="4"/>
      <c r="LE101" s="4"/>
      <c r="LF101" s="4"/>
      <c r="LG101" s="4"/>
      <c r="LH101" s="4"/>
      <c r="LI101" s="4"/>
      <c r="LJ101" s="4"/>
      <c r="LK101" s="4"/>
      <c r="LL101" s="4"/>
      <c r="LM101" s="4"/>
      <c r="LN101" s="4"/>
      <c r="LO101" s="4"/>
      <c r="LP101" s="4"/>
      <c r="LQ101" s="4"/>
      <c r="LR101" s="4"/>
      <c r="LS101" s="4"/>
      <c r="LT101" s="4"/>
      <c r="LU101" s="4"/>
      <c r="LV101" s="4"/>
      <c r="LW101" s="4"/>
      <c r="LX101" s="4"/>
      <c r="LY101" s="4"/>
      <c r="LZ101" s="4"/>
      <c r="MA101" s="4"/>
      <c r="MB101" s="4"/>
      <c r="MC101" s="4"/>
      <c r="MD101" s="4"/>
      <c r="ME101" s="4"/>
      <c r="MF101" s="4"/>
      <c r="MG101" s="4"/>
      <c r="MH101" s="4"/>
      <c r="MI101" s="4"/>
      <c r="MJ101" s="4"/>
      <c r="MK101" s="4"/>
      <c r="ML101" s="4"/>
      <c r="MM101" s="4"/>
      <c r="MN101" s="4"/>
      <c r="MO101" s="4"/>
    </row>
    <row r="102" spans="1:354">
      <c r="A102" s="4"/>
      <c r="B102" s="4"/>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c r="AQ102" s="4"/>
      <c r="AR102" s="4"/>
      <c r="AS102" s="4"/>
      <c r="AT102" s="4"/>
      <c r="AU102" s="4"/>
      <c r="AV102" s="4"/>
      <c r="AW102" s="4"/>
      <c r="AX102" s="4"/>
      <c r="AY102" s="4"/>
      <c r="AZ102" s="4"/>
      <c r="BA102" s="4"/>
      <c r="BB102" s="4"/>
      <c r="BC102" s="4"/>
      <c r="BD102" s="4"/>
      <c r="BE102" s="4"/>
      <c r="BF102" s="4"/>
      <c r="BG102" s="4"/>
      <c r="BH102" s="4"/>
      <c r="BI102" s="4"/>
      <c r="BJ102" s="4"/>
      <c r="BK102" s="4"/>
      <c r="BL102" s="4"/>
      <c r="BM102" s="4"/>
      <c r="BN102" s="4"/>
      <c r="BO102" s="4"/>
      <c r="BP102" s="4"/>
      <c r="BQ102" s="4"/>
      <c r="BR102" s="4"/>
      <c r="BS102" s="4"/>
      <c r="BT102" s="4"/>
      <c r="BU102" s="4"/>
      <c r="BV102" s="4"/>
      <c r="BW102" s="4"/>
      <c r="BX102" s="4"/>
      <c r="BY102" s="4"/>
      <c r="BZ102" s="4"/>
      <c r="CA102" s="4"/>
      <c r="CB102" s="4"/>
      <c r="CC102" s="4"/>
      <c r="CD102" s="4"/>
      <c r="CE102" s="4"/>
      <c r="CF102" s="4"/>
      <c r="CG102" s="4"/>
      <c r="CH102" s="4"/>
      <c r="CI102" s="4"/>
      <c r="CJ102" s="4"/>
      <c r="CK102" s="4"/>
      <c r="CL102" s="4"/>
      <c r="CM102" s="4"/>
      <c r="CN102" s="4"/>
      <c r="CO102" s="4"/>
      <c r="CP102" s="4"/>
      <c r="CQ102" s="4"/>
      <c r="CR102" s="4"/>
      <c r="CS102" s="4"/>
      <c r="CT102" s="4"/>
      <c r="CU102" s="4"/>
      <c r="CV102" s="4"/>
      <c r="CW102" s="4"/>
      <c r="CX102" s="4"/>
      <c r="CY102" s="4"/>
      <c r="CZ102" s="4"/>
      <c r="DA102" s="4"/>
      <c r="DB102" s="4"/>
      <c r="DC102" s="4"/>
      <c r="DD102" s="4"/>
      <c r="DE102" s="4"/>
      <c r="DF102" s="4"/>
      <c r="DG102" s="4"/>
      <c r="DH102" s="4"/>
      <c r="DI102" s="4"/>
      <c r="DJ102" s="4"/>
      <c r="DK102" s="4"/>
      <c r="DL102" s="4"/>
      <c r="DM102" s="4"/>
      <c r="DN102" s="4"/>
      <c r="DO102" s="4"/>
      <c r="DP102" s="4"/>
      <c r="DQ102" s="4"/>
      <c r="DR102" s="4"/>
      <c r="DS102" s="4"/>
      <c r="DT102" s="4"/>
      <c r="DU102" s="4"/>
      <c r="DV102" s="4"/>
      <c r="DW102" s="4"/>
      <c r="DX102" s="4"/>
      <c r="DY102" s="4"/>
      <c r="DZ102" s="4"/>
      <c r="EA102" s="4"/>
      <c r="EB102" s="4"/>
      <c r="EC102" s="4"/>
      <c r="ED102" s="4"/>
      <c r="EE102" s="4"/>
      <c r="EF102" s="4"/>
      <c r="EG102" s="4"/>
      <c r="EH102" s="4"/>
      <c r="EI102" s="4"/>
      <c r="EJ102" s="4"/>
      <c r="EK102" s="4"/>
      <c r="EL102" s="4"/>
      <c r="EM102" s="4"/>
      <c r="EN102" s="4"/>
      <c r="EO102" s="4"/>
      <c r="EP102" s="4"/>
      <c r="EQ102" s="4"/>
      <c r="ER102" s="4"/>
      <c r="ES102" s="4"/>
      <c r="ET102" s="4"/>
      <c r="EU102" s="4"/>
      <c r="EV102" s="4"/>
      <c r="EW102" s="4"/>
      <c r="EX102" s="4"/>
      <c r="EY102" s="4"/>
      <c r="EZ102" s="4"/>
      <c r="FA102" s="4"/>
      <c r="FB102" s="4"/>
      <c r="FC102" s="4"/>
      <c r="FD102" s="4"/>
      <c r="FE102" s="4"/>
      <c r="FF102" s="4"/>
      <c r="FG102" s="4"/>
      <c r="FH102" s="4"/>
      <c r="FI102" s="4"/>
      <c r="FJ102" s="4"/>
      <c r="FK102" s="4"/>
      <c r="FL102" s="4"/>
      <c r="FM102" s="4"/>
      <c r="FN102" s="4"/>
      <c r="FO102" s="4"/>
      <c r="FP102" s="4"/>
      <c r="FQ102" s="4"/>
      <c r="FR102" s="4"/>
      <c r="FS102" s="4"/>
      <c r="FT102" s="4"/>
      <c r="FU102" s="4"/>
      <c r="FV102" s="4"/>
      <c r="FW102" s="4"/>
      <c r="FX102" s="4"/>
      <c r="FY102" s="4"/>
      <c r="FZ102" s="4"/>
      <c r="GA102" s="4"/>
      <c r="GB102" s="4"/>
      <c r="GC102" s="4"/>
      <c r="GD102" s="4"/>
      <c r="GE102" s="4"/>
      <c r="GF102" s="4"/>
      <c r="GG102" s="4"/>
      <c r="GH102" s="4"/>
      <c r="GI102" s="4"/>
      <c r="GJ102" s="4"/>
      <c r="GK102" s="4"/>
      <c r="GL102" s="4"/>
      <c r="GM102" s="4"/>
      <c r="GN102" s="4"/>
      <c r="GO102" s="4"/>
      <c r="GP102" s="4"/>
      <c r="GQ102" s="4"/>
      <c r="GR102" s="4"/>
      <c r="GS102" s="4"/>
      <c r="GT102" s="4"/>
      <c r="GU102" s="4"/>
      <c r="GV102" s="4"/>
      <c r="GW102" s="4"/>
      <c r="GX102" s="4"/>
      <c r="GY102" s="4"/>
      <c r="GZ102" s="4"/>
      <c r="HA102" s="4"/>
      <c r="HB102" s="4"/>
      <c r="HC102" s="4"/>
      <c r="HD102" s="4"/>
      <c r="HE102" s="4"/>
      <c r="HF102" s="4"/>
      <c r="HG102" s="4"/>
      <c r="HH102" s="4"/>
      <c r="HI102" s="4"/>
      <c r="HJ102" s="4"/>
      <c r="HK102" s="4"/>
      <c r="HL102" s="4"/>
      <c r="HM102" s="4"/>
      <c r="HN102" s="4"/>
      <c r="HO102" s="4"/>
      <c r="HP102" s="4"/>
      <c r="HQ102" s="4"/>
      <c r="HR102" s="4"/>
      <c r="HS102" s="4"/>
      <c r="HT102" s="4"/>
      <c r="HU102" s="4"/>
      <c r="HV102" s="4"/>
      <c r="HW102" s="4"/>
      <c r="HX102" s="4"/>
      <c r="HY102" s="4"/>
      <c r="HZ102" s="4"/>
      <c r="IA102" s="4"/>
      <c r="IB102" s="4"/>
      <c r="IC102" s="4"/>
      <c r="ID102" s="4"/>
      <c r="IE102" s="4"/>
      <c r="IF102" s="4"/>
      <c r="IG102" s="4"/>
      <c r="IH102" s="4"/>
      <c r="II102" s="4"/>
      <c r="IJ102" s="4"/>
      <c r="IK102" s="4"/>
      <c r="IL102" s="4"/>
      <c r="IM102" s="4"/>
      <c r="IN102" s="4"/>
      <c r="IO102" s="4"/>
      <c r="IP102" s="4"/>
      <c r="IQ102" s="4"/>
      <c r="IR102" s="4"/>
      <c r="IS102" s="4"/>
      <c r="IT102" s="4"/>
      <c r="IU102" s="4"/>
      <c r="IV102" s="4"/>
      <c r="IW102" s="4"/>
      <c r="IX102" s="4"/>
      <c r="IY102" s="4"/>
      <c r="IZ102" s="4"/>
      <c r="JA102" s="4"/>
      <c r="JB102" s="4"/>
      <c r="JC102" s="4"/>
      <c r="JD102" s="4"/>
      <c r="JE102" s="4"/>
      <c r="JF102" s="4"/>
      <c r="JG102" s="4"/>
      <c r="JH102" s="4"/>
      <c r="JI102" s="4"/>
      <c r="JJ102" s="4"/>
      <c r="JK102" s="4"/>
      <c r="JL102" s="4"/>
      <c r="JM102" s="4"/>
      <c r="JN102" s="4"/>
      <c r="JO102" s="4"/>
      <c r="JP102" s="4"/>
      <c r="JQ102" s="4"/>
      <c r="JR102" s="4"/>
      <c r="JS102" s="4"/>
      <c r="JT102" s="4"/>
      <c r="JU102" s="4"/>
      <c r="JV102" s="4"/>
      <c r="JW102" s="4"/>
      <c r="JX102" s="4"/>
      <c r="JY102" s="4"/>
      <c r="JZ102" s="4"/>
      <c r="KA102" s="4"/>
      <c r="KB102" s="4"/>
      <c r="KC102" s="4"/>
      <c r="KD102" s="4"/>
      <c r="KE102" s="4"/>
      <c r="KF102" s="4"/>
      <c r="KG102" s="4"/>
      <c r="KH102" s="4"/>
      <c r="KI102" s="4"/>
      <c r="KJ102" s="4"/>
      <c r="KK102" s="4"/>
      <c r="KL102" s="4"/>
      <c r="KM102" s="4"/>
      <c r="KN102" s="4"/>
      <c r="KO102" s="4"/>
      <c r="KP102" s="4"/>
      <c r="KQ102" s="4"/>
      <c r="KR102" s="4"/>
      <c r="KS102" s="4"/>
      <c r="KT102" s="4"/>
      <c r="KU102" s="4"/>
      <c r="KV102" s="4"/>
      <c r="KW102" s="4"/>
      <c r="KX102" s="4"/>
      <c r="KY102" s="4"/>
      <c r="KZ102" s="4"/>
      <c r="LA102" s="4"/>
      <c r="LB102" s="4"/>
      <c r="LC102" s="4"/>
      <c r="LD102" s="4"/>
      <c r="LE102" s="4"/>
      <c r="LF102" s="4"/>
      <c r="LG102" s="4"/>
      <c r="LH102" s="4"/>
      <c r="LI102" s="4"/>
      <c r="LJ102" s="4"/>
      <c r="LK102" s="4"/>
      <c r="LL102" s="4"/>
      <c r="LM102" s="4"/>
      <c r="LN102" s="4"/>
      <c r="LO102" s="4"/>
      <c r="LP102" s="4"/>
      <c r="LQ102" s="4"/>
      <c r="LR102" s="4"/>
      <c r="LS102" s="4"/>
      <c r="LT102" s="4"/>
      <c r="LU102" s="4"/>
      <c r="LV102" s="4"/>
      <c r="LW102" s="4"/>
      <c r="LX102" s="4"/>
      <c r="LY102" s="4"/>
      <c r="LZ102" s="4"/>
      <c r="MA102" s="4"/>
      <c r="MB102" s="4"/>
      <c r="MC102" s="4"/>
      <c r="MD102" s="4"/>
      <c r="ME102" s="4"/>
      <c r="MF102" s="4"/>
      <c r="MG102" s="4"/>
      <c r="MH102" s="4"/>
      <c r="MI102" s="4"/>
      <c r="MJ102" s="4"/>
      <c r="MK102" s="4"/>
      <c r="ML102" s="4"/>
      <c r="MM102" s="4"/>
      <c r="MN102" s="4"/>
      <c r="MO102" s="4"/>
    </row>
    <row r="103" spans="1:354">
      <c r="A103" s="4"/>
      <c r="B103" s="4"/>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c r="AQ103" s="4"/>
      <c r="AR103" s="4"/>
      <c r="AS103" s="4"/>
      <c r="AT103" s="4"/>
      <c r="AU103" s="4"/>
      <c r="AV103" s="4"/>
      <c r="AW103" s="4"/>
      <c r="AX103" s="4"/>
      <c r="AY103" s="4"/>
      <c r="AZ103" s="4"/>
      <c r="BA103" s="4"/>
      <c r="BB103" s="4"/>
      <c r="BC103" s="4"/>
      <c r="BD103" s="4"/>
      <c r="BE103" s="4"/>
      <c r="BF103" s="4"/>
      <c r="BG103" s="4"/>
      <c r="BH103" s="4"/>
      <c r="BI103" s="4"/>
      <c r="BJ103" s="4"/>
      <c r="BK103" s="4"/>
      <c r="BL103" s="4"/>
      <c r="BM103" s="4"/>
      <c r="BN103" s="4"/>
      <c r="BO103" s="4"/>
      <c r="BP103" s="4"/>
      <c r="BQ103" s="4"/>
      <c r="BR103" s="4"/>
      <c r="BS103" s="4"/>
      <c r="BT103" s="4"/>
      <c r="BU103" s="4"/>
      <c r="BV103" s="4"/>
      <c r="BW103" s="4"/>
      <c r="BX103" s="4"/>
      <c r="BY103" s="4"/>
      <c r="BZ103" s="4"/>
      <c r="CA103" s="4"/>
      <c r="CB103" s="4"/>
      <c r="CC103" s="4"/>
      <c r="CD103" s="4"/>
      <c r="CE103" s="4"/>
      <c r="CF103" s="4"/>
      <c r="CG103" s="4"/>
      <c r="CH103" s="4"/>
      <c r="CI103" s="4"/>
      <c r="CJ103" s="4"/>
      <c r="CK103" s="4"/>
      <c r="CL103" s="4"/>
      <c r="CM103" s="4"/>
      <c r="CN103" s="4"/>
      <c r="CO103" s="4"/>
      <c r="CP103" s="4"/>
      <c r="CQ103" s="4"/>
      <c r="CR103" s="4"/>
      <c r="CS103" s="4"/>
      <c r="CT103" s="4"/>
      <c r="CU103" s="4"/>
      <c r="CV103" s="4"/>
      <c r="CW103" s="4"/>
      <c r="CX103" s="4"/>
      <c r="CY103" s="4"/>
      <c r="CZ103" s="4"/>
      <c r="DA103" s="4"/>
      <c r="DB103" s="4"/>
      <c r="DC103" s="4"/>
      <c r="DD103" s="4"/>
      <c r="DE103" s="4"/>
      <c r="DF103" s="4"/>
      <c r="DG103" s="4"/>
      <c r="DH103" s="4"/>
      <c r="DI103" s="4"/>
      <c r="DJ103" s="4"/>
      <c r="DK103" s="4"/>
      <c r="DL103" s="4"/>
      <c r="DM103" s="4"/>
      <c r="DN103" s="4"/>
      <c r="DO103" s="4"/>
      <c r="DP103" s="4"/>
      <c r="DQ103" s="4"/>
      <c r="DR103" s="4"/>
      <c r="DS103" s="4"/>
      <c r="DT103" s="4"/>
      <c r="DU103" s="4"/>
      <c r="DV103" s="4"/>
      <c r="DW103" s="4"/>
      <c r="DX103" s="4"/>
      <c r="DY103" s="4"/>
      <c r="DZ103" s="4"/>
      <c r="EA103" s="4"/>
      <c r="EB103" s="4"/>
      <c r="EC103" s="4"/>
      <c r="ED103" s="4"/>
      <c r="EE103" s="4"/>
      <c r="EF103" s="4"/>
      <c r="EG103" s="4"/>
      <c r="EH103" s="4"/>
      <c r="EI103" s="4"/>
      <c r="EJ103" s="4"/>
      <c r="EK103" s="4"/>
      <c r="EL103" s="4"/>
      <c r="EM103" s="4"/>
      <c r="EN103" s="4"/>
      <c r="EO103" s="4"/>
      <c r="EP103" s="4"/>
      <c r="EQ103" s="4"/>
      <c r="ER103" s="4"/>
      <c r="ES103" s="4"/>
      <c r="ET103" s="4"/>
      <c r="EU103" s="4"/>
      <c r="EV103" s="4"/>
      <c r="EW103" s="4"/>
      <c r="EX103" s="4"/>
      <c r="EY103" s="4"/>
      <c r="EZ103" s="4"/>
      <c r="FA103" s="4"/>
      <c r="FB103" s="4"/>
      <c r="FC103" s="4"/>
      <c r="FD103" s="4"/>
      <c r="FE103" s="4"/>
      <c r="FF103" s="4"/>
      <c r="FG103" s="4"/>
      <c r="FH103" s="4"/>
      <c r="FI103" s="4"/>
      <c r="FJ103" s="4"/>
      <c r="FK103" s="4"/>
      <c r="FL103" s="4"/>
      <c r="FM103" s="4"/>
      <c r="FN103" s="4"/>
      <c r="FO103" s="4"/>
      <c r="FP103" s="4"/>
      <c r="FQ103" s="4"/>
      <c r="FR103" s="4"/>
      <c r="FS103" s="4"/>
      <c r="FT103" s="4"/>
      <c r="FU103" s="4"/>
      <c r="FV103" s="4"/>
      <c r="FW103" s="4"/>
      <c r="FX103" s="4"/>
      <c r="FY103" s="4"/>
      <c r="FZ103" s="4"/>
      <c r="GA103" s="4"/>
      <c r="GB103" s="4"/>
      <c r="GC103" s="4"/>
      <c r="GD103" s="4"/>
      <c r="GE103" s="4"/>
      <c r="GF103" s="4"/>
      <c r="GG103" s="4"/>
      <c r="GH103" s="4"/>
      <c r="GI103" s="4"/>
      <c r="GJ103" s="4"/>
      <c r="GK103" s="4"/>
      <c r="GL103" s="4"/>
      <c r="GM103" s="4"/>
      <c r="GN103" s="4"/>
      <c r="GO103" s="4"/>
      <c r="GP103" s="4"/>
      <c r="GQ103" s="4"/>
      <c r="GR103" s="4"/>
      <c r="GS103" s="4"/>
      <c r="GT103" s="4"/>
      <c r="GU103" s="4"/>
      <c r="GV103" s="4"/>
      <c r="GW103" s="4"/>
      <c r="GX103" s="4"/>
      <c r="GY103" s="4"/>
      <c r="GZ103" s="4"/>
      <c r="HA103" s="4"/>
      <c r="HB103" s="4"/>
      <c r="HC103" s="4"/>
      <c r="HD103" s="4"/>
      <c r="HE103" s="4"/>
      <c r="HF103" s="4"/>
      <c r="HG103" s="4"/>
      <c r="HH103" s="4"/>
      <c r="HI103" s="4"/>
      <c r="HJ103" s="4"/>
      <c r="HK103" s="4"/>
      <c r="HL103" s="4"/>
      <c r="HM103" s="4"/>
      <c r="HN103" s="4"/>
      <c r="HO103" s="4"/>
      <c r="HP103" s="4"/>
      <c r="HQ103" s="4"/>
      <c r="HR103" s="4"/>
      <c r="HS103" s="4"/>
      <c r="HT103" s="4"/>
      <c r="HU103" s="4"/>
      <c r="HV103" s="4"/>
      <c r="HW103" s="4"/>
      <c r="HX103" s="4"/>
      <c r="HY103" s="4"/>
      <c r="HZ103" s="4"/>
      <c r="IA103" s="4"/>
      <c r="IB103" s="4"/>
      <c r="IC103" s="4"/>
      <c r="ID103" s="4"/>
      <c r="IE103" s="4"/>
      <c r="IF103" s="4"/>
      <c r="IG103" s="4"/>
      <c r="IH103" s="4"/>
      <c r="II103" s="4"/>
      <c r="IJ103" s="4"/>
      <c r="IK103" s="4"/>
      <c r="IL103" s="4"/>
      <c r="IM103" s="4"/>
      <c r="IN103" s="4"/>
      <c r="IO103" s="4"/>
      <c r="IP103" s="4"/>
      <c r="IQ103" s="4"/>
      <c r="IR103" s="4"/>
      <c r="IS103" s="4"/>
      <c r="IT103" s="4"/>
      <c r="IU103" s="4"/>
      <c r="IV103" s="4"/>
      <c r="IW103" s="4"/>
      <c r="IX103" s="4"/>
      <c r="IY103" s="4"/>
      <c r="IZ103" s="4"/>
      <c r="JA103" s="4"/>
      <c r="JB103" s="4"/>
      <c r="JC103" s="4"/>
      <c r="JD103" s="4"/>
      <c r="JE103" s="4"/>
      <c r="JF103" s="4"/>
      <c r="JG103" s="4"/>
      <c r="JH103" s="4"/>
      <c r="JI103" s="4"/>
      <c r="JJ103" s="4"/>
      <c r="JK103" s="4"/>
      <c r="JL103" s="4"/>
      <c r="JM103" s="4"/>
      <c r="JN103" s="4"/>
      <c r="JO103" s="4"/>
      <c r="JP103" s="4"/>
      <c r="JQ103" s="4"/>
      <c r="JR103" s="4"/>
      <c r="JS103" s="4"/>
      <c r="JT103" s="4"/>
      <c r="JU103" s="4"/>
      <c r="JV103" s="4"/>
      <c r="JW103" s="4"/>
      <c r="JX103" s="4"/>
      <c r="JY103" s="4"/>
      <c r="JZ103" s="4"/>
      <c r="KA103" s="4"/>
      <c r="KB103" s="4"/>
      <c r="KC103" s="4"/>
      <c r="KD103" s="4"/>
      <c r="KE103" s="4"/>
      <c r="KF103" s="4"/>
      <c r="KG103" s="4"/>
      <c r="KH103" s="4"/>
      <c r="KI103" s="4"/>
      <c r="KJ103" s="4"/>
      <c r="KK103" s="4"/>
      <c r="KL103" s="4"/>
      <c r="KM103" s="4"/>
      <c r="KN103" s="4"/>
      <c r="KO103" s="4"/>
      <c r="KP103" s="4"/>
      <c r="KQ103" s="4"/>
      <c r="KR103" s="4"/>
      <c r="KS103" s="4"/>
      <c r="KT103" s="4"/>
      <c r="KU103" s="4"/>
      <c r="KV103" s="4"/>
      <c r="KW103" s="4"/>
      <c r="KX103" s="4"/>
      <c r="KY103" s="4"/>
      <c r="KZ103" s="4"/>
      <c r="LA103" s="4"/>
      <c r="LB103" s="4"/>
      <c r="LC103" s="4"/>
      <c r="LD103" s="4"/>
      <c r="LE103" s="4"/>
      <c r="LF103" s="4"/>
      <c r="LG103" s="4"/>
      <c r="LH103" s="4"/>
      <c r="LI103" s="4"/>
      <c r="LJ103" s="4"/>
      <c r="LK103" s="4"/>
      <c r="LL103" s="4"/>
      <c r="LM103" s="4"/>
      <c r="LN103" s="4"/>
      <c r="LO103" s="4"/>
      <c r="LP103" s="4"/>
      <c r="LQ103" s="4"/>
      <c r="LR103" s="4"/>
      <c r="LS103" s="4"/>
      <c r="LT103" s="4"/>
      <c r="LU103" s="4"/>
      <c r="LV103" s="4"/>
      <c r="LW103" s="4"/>
      <c r="LX103" s="4"/>
      <c r="LY103" s="4"/>
      <c r="LZ103" s="4"/>
      <c r="MA103" s="4"/>
      <c r="MB103" s="4"/>
      <c r="MC103" s="4"/>
      <c r="MD103" s="4"/>
      <c r="ME103" s="4"/>
      <c r="MF103" s="4"/>
      <c r="MG103" s="4"/>
      <c r="MH103" s="4"/>
      <c r="MI103" s="4"/>
      <c r="MJ103" s="4"/>
      <c r="MK103" s="4"/>
      <c r="ML103" s="4"/>
      <c r="MM103" s="4"/>
      <c r="MN103" s="4"/>
      <c r="MO103" s="4"/>
    </row>
    <row r="104" spans="1:354">
      <c r="A104" s="4"/>
      <c r="B104" s="4"/>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c r="AQ104" s="4"/>
      <c r="AR104" s="4"/>
      <c r="AS104" s="4"/>
      <c r="AT104" s="4"/>
      <c r="AU104" s="4"/>
      <c r="AV104" s="4"/>
      <c r="AW104" s="4"/>
      <c r="AX104" s="4"/>
      <c r="AY104" s="4"/>
      <c r="AZ104" s="4"/>
      <c r="BA104" s="4"/>
      <c r="BB104" s="4"/>
      <c r="BC104" s="4"/>
      <c r="BD104" s="4"/>
      <c r="BE104" s="4"/>
      <c r="BF104" s="4"/>
      <c r="BG104" s="4"/>
      <c r="BH104" s="4"/>
      <c r="BI104" s="4"/>
      <c r="BJ104" s="4"/>
      <c r="BK104" s="4"/>
      <c r="BL104" s="4"/>
      <c r="BM104" s="4"/>
      <c r="BN104" s="4"/>
      <c r="BO104" s="4"/>
      <c r="BP104" s="4"/>
      <c r="BQ104" s="4"/>
      <c r="BR104" s="4"/>
      <c r="BS104" s="4"/>
      <c r="BT104" s="4"/>
      <c r="BU104" s="4"/>
      <c r="BV104" s="4"/>
      <c r="BW104" s="4"/>
      <c r="BX104" s="4"/>
      <c r="BY104" s="4"/>
      <c r="BZ104" s="4"/>
      <c r="CA104" s="4"/>
      <c r="CB104" s="4"/>
      <c r="CC104" s="4"/>
      <c r="CD104" s="4"/>
      <c r="CE104" s="4"/>
      <c r="CF104" s="4"/>
      <c r="CG104" s="4"/>
      <c r="CH104" s="4"/>
      <c r="CI104" s="4"/>
      <c r="CJ104" s="4"/>
      <c r="CK104" s="4"/>
      <c r="CL104" s="4"/>
      <c r="CM104" s="4"/>
      <c r="CN104" s="4"/>
      <c r="CO104" s="4"/>
      <c r="CP104" s="4"/>
      <c r="CQ104" s="4"/>
      <c r="CR104" s="4"/>
      <c r="CS104" s="4"/>
      <c r="CT104" s="4"/>
      <c r="CU104" s="4"/>
      <c r="CV104" s="4"/>
      <c r="CW104" s="4"/>
      <c r="CX104" s="4"/>
      <c r="CY104" s="4"/>
      <c r="CZ104" s="4"/>
      <c r="DA104" s="4"/>
      <c r="DB104" s="4"/>
      <c r="DC104" s="4"/>
      <c r="DD104" s="4"/>
      <c r="DE104" s="4"/>
      <c r="DF104" s="4"/>
      <c r="DG104" s="4"/>
      <c r="DH104" s="4"/>
      <c r="DI104" s="4"/>
      <c r="DJ104" s="4"/>
      <c r="DK104" s="4"/>
      <c r="DL104" s="4"/>
      <c r="DM104" s="4"/>
      <c r="DN104" s="4"/>
      <c r="DO104" s="4"/>
      <c r="DP104" s="4"/>
      <c r="DQ104" s="4"/>
      <c r="DR104" s="4"/>
      <c r="DS104" s="4"/>
      <c r="DT104" s="4"/>
      <c r="DU104" s="4"/>
      <c r="DV104" s="4"/>
      <c r="DW104" s="4"/>
      <c r="DX104" s="4"/>
      <c r="DY104" s="4"/>
      <c r="DZ104" s="4"/>
      <c r="EA104" s="4"/>
      <c r="EB104" s="4"/>
      <c r="EC104" s="4"/>
      <c r="ED104" s="4"/>
      <c r="EE104" s="4"/>
      <c r="EF104" s="4"/>
      <c r="EG104" s="4"/>
      <c r="EH104" s="4"/>
      <c r="EI104" s="4"/>
      <c r="EJ104" s="4"/>
      <c r="EK104" s="4"/>
      <c r="EL104" s="4"/>
      <c r="EM104" s="4"/>
      <c r="EN104" s="4"/>
      <c r="EO104" s="4"/>
      <c r="EP104" s="4"/>
      <c r="EQ104" s="4"/>
      <c r="ER104" s="4"/>
      <c r="ES104" s="4"/>
      <c r="ET104" s="4"/>
      <c r="EU104" s="4"/>
      <c r="EV104" s="4"/>
      <c r="EW104" s="4"/>
      <c r="EX104" s="4"/>
      <c r="EY104" s="4"/>
      <c r="EZ104" s="4"/>
      <c r="FA104" s="4"/>
      <c r="FB104" s="4"/>
      <c r="FC104" s="4"/>
      <c r="FD104" s="4"/>
      <c r="FE104" s="4"/>
      <c r="FF104" s="4"/>
      <c r="FG104" s="4"/>
      <c r="FH104" s="4"/>
      <c r="FI104" s="4"/>
      <c r="FJ104" s="4"/>
      <c r="FK104" s="4"/>
      <c r="FL104" s="4"/>
      <c r="FM104" s="4"/>
      <c r="FN104" s="4"/>
      <c r="FO104" s="4"/>
      <c r="FP104" s="4"/>
      <c r="FQ104" s="4"/>
      <c r="FR104" s="4"/>
      <c r="FS104" s="4"/>
      <c r="FT104" s="4"/>
      <c r="FU104" s="4"/>
      <c r="FV104" s="4"/>
      <c r="FW104" s="4"/>
      <c r="FX104" s="4"/>
      <c r="FY104" s="4"/>
      <c r="FZ104" s="4"/>
      <c r="GA104" s="4"/>
      <c r="GB104" s="4"/>
      <c r="GC104" s="4"/>
      <c r="GD104" s="4"/>
      <c r="GE104" s="4"/>
      <c r="GF104" s="4"/>
      <c r="GG104" s="4"/>
      <c r="GH104" s="4"/>
      <c r="GI104" s="4"/>
      <c r="GJ104" s="4"/>
      <c r="GK104" s="4"/>
      <c r="GL104" s="4"/>
      <c r="GM104" s="4"/>
      <c r="GN104" s="4"/>
      <c r="GO104" s="4"/>
      <c r="GP104" s="4"/>
      <c r="GQ104" s="4"/>
      <c r="GR104" s="4"/>
      <c r="GS104" s="4"/>
      <c r="GT104" s="4"/>
      <c r="GU104" s="4"/>
      <c r="GV104" s="4"/>
      <c r="GW104" s="4"/>
      <c r="GX104" s="4"/>
      <c r="GY104" s="4"/>
      <c r="GZ104" s="4"/>
      <c r="HA104" s="4"/>
      <c r="HB104" s="4"/>
      <c r="HC104" s="4"/>
      <c r="HD104" s="4"/>
      <c r="HE104" s="4"/>
      <c r="HF104" s="4"/>
      <c r="HG104" s="4"/>
      <c r="HH104" s="4"/>
      <c r="HI104" s="4"/>
      <c r="HJ104" s="4"/>
      <c r="HK104" s="4"/>
      <c r="HL104" s="4"/>
      <c r="HM104" s="4"/>
      <c r="HN104" s="4"/>
      <c r="HO104" s="4"/>
      <c r="HP104" s="4"/>
      <c r="HQ104" s="4"/>
      <c r="HR104" s="4"/>
      <c r="HS104" s="4"/>
      <c r="HT104" s="4"/>
      <c r="HU104" s="4"/>
      <c r="HV104" s="4"/>
      <c r="HW104" s="4"/>
      <c r="HX104" s="4"/>
      <c r="HY104" s="4"/>
      <c r="HZ104" s="4"/>
      <c r="IA104" s="4"/>
      <c r="IB104" s="4"/>
      <c r="IC104" s="4"/>
      <c r="ID104" s="4"/>
      <c r="IE104" s="4"/>
      <c r="IF104" s="4"/>
      <c r="IG104" s="4"/>
      <c r="IH104" s="4"/>
      <c r="II104" s="4"/>
      <c r="IJ104" s="4"/>
      <c r="IK104" s="4"/>
      <c r="IL104" s="4"/>
      <c r="IM104" s="4"/>
      <c r="IN104" s="4"/>
      <c r="IO104" s="4"/>
      <c r="IP104" s="4"/>
      <c r="IQ104" s="4"/>
      <c r="IR104" s="4"/>
      <c r="IS104" s="4"/>
      <c r="IT104" s="4"/>
      <c r="IU104" s="4"/>
      <c r="IV104" s="4"/>
      <c r="IW104" s="4"/>
      <c r="IX104" s="4"/>
      <c r="IY104" s="4"/>
      <c r="IZ104" s="4"/>
      <c r="JA104" s="4"/>
      <c r="JB104" s="4"/>
      <c r="JC104" s="4"/>
      <c r="JD104" s="4"/>
      <c r="JE104" s="4"/>
      <c r="JF104" s="4"/>
      <c r="JG104" s="4"/>
      <c r="JH104" s="4"/>
      <c r="JI104" s="4"/>
      <c r="JJ104" s="4"/>
      <c r="JK104" s="4"/>
      <c r="JL104" s="4"/>
      <c r="JM104" s="4"/>
      <c r="JN104" s="4"/>
      <c r="JO104" s="4"/>
      <c r="JP104" s="4"/>
      <c r="JQ104" s="4"/>
      <c r="JR104" s="4"/>
      <c r="JS104" s="4"/>
      <c r="JT104" s="4"/>
      <c r="JU104" s="4"/>
      <c r="JV104" s="4"/>
      <c r="JW104" s="4"/>
      <c r="JX104" s="4"/>
      <c r="JY104" s="4"/>
      <c r="JZ104" s="4"/>
      <c r="KA104" s="4"/>
      <c r="KB104" s="4"/>
      <c r="KC104" s="4"/>
      <c r="KD104" s="4"/>
      <c r="KE104" s="4"/>
      <c r="KF104" s="4"/>
      <c r="KG104" s="4"/>
      <c r="KH104" s="4"/>
      <c r="KI104" s="4"/>
      <c r="KJ104" s="4"/>
      <c r="KK104" s="4"/>
      <c r="KL104" s="4"/>
      <c r="KM104" s="4"/>
      <c r="KN104" s="4"/>
      <c r="KO104" s="4"/>
      <c r="KP104" s="4"/>
      <c r="KQ104" s="4"/>
      <c r="KR104" s="4"/>
      <c r="KS104" s="4"/>
      <c r="KT104" s="4"/>
      <c r="KU104" s="4"/>
      <c r="KV104" s="4"/>
      <c r="KW104" s="4"/>
      <c r="KX104" s="4"/>
      <c r="KY104" s="4"/>
      <c r="KZ104" s="4"/>
      <c r="LA104" s="4"/>
      <c r="LB104" s="4"/>
      <c r="LC104" s="4"/>
      <c r="LD104" s="4"/>
      <c r="LE104" s="4"/>
      <c r="LF104" s="4"/>
      <c r="LG104" s="4"/>
      <c r="LH104" s="4"/>
      <c r="LI104" s="4"/>
      <c r="LJ104" s="4"/>
      <c r="LK104" s="4"/>
      <c r="LL104" s="4"/>
      <c r="LM104" s="4"/>
      <c r="LN104" s="4"/>
      <c r="LO104" s="4"/>
      <c r="LP104" s="4"/>
      <c r="LQ104" s="4"/>
      <c r="LR104" s="4"/>
      <c r="LS104" s="4"/>
      <c r="LT104" s="4"/>
      <c r="LU104" s="4"/>
      <c r="LV104" s="4"/>
      <c r="LW104" s="4"/>
      <c r="LX104" s="4"/>
      <c r="LY104" s="4"/>
      <c r="LZ104" s="4"/>
      <c r="MA104" s="4"/>
      <c r="MB104" s="4"/>
      <c r="MC104" s="4"/>
      <c r="MD104" s="4"/>
      <c r="ME104" s="4"/>
      <c r="MF104" s="4"/>
      <c r="MG104" s="4"/>
      <c r="MH104" s="4"/>
      <c r="MI104" s="4"/>
      <c r="MJ104" s="4"/>
      <c r="MK104" s="4"/>
      <c r="ML104" s="4"/>
      <c r="MM104" s="4"/>
      <c r="MN104" s="4"/>
      <c r="MO104" s="4"/>
    </row>
    <row r="105" spans="1:354">
      <c r="A105" s="4"/>
      <c r="B105" s="4"/>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c r="AQ105" s="4"/>
      <c r="AR105" s="4"/>
      <c r="AS105" s="4"/>
      <c r="AT105" s="4"/>
      <c r="AU105" s="4"/>
      <c r="AV105" s="4"/>
      <c r="AW105" s="4"/>
      <c r="AX105" s="4"/>
      <c r="AY105" s="4"/>
      <c r="AZ105" s="4"/>
      <c r="BA105" s="4"/>
      <c r="BB105" s="4"/>
      <c r="BC105" s="4"/>
      <c r="BD105" s="4"/>
      <c r="BE105" s="4"/>
      <c r="BF105" s="4"/>
      <c r="BG105" s="4"/>
      <c r="BH105" s="4"/>
      <c r="BI105" s="4"/>
      <c r="BJ105" s="4"/>
      <c r="BK105" s="4"/>
      <c r="BL105" s="4"/>
      <c r="BM105" s="4"/>
      <c r="BN105" s="4"/>
      <c r="BO105" s="4"/>
      <c r="BP105" s="4"/>
      <c r="BQ105" s="4"/>
      <c r="BR105" s="4"/>
      <c r="BS105" s="4"/>
      <c r="BT105" s="4"/>
      <c r="BU105" s="4"/>
      <c r="BV105" s="4"/>
      <c r="BW105" s="4"/>
      <c r="BX105" s="4"/>
      <c r="BY105" s="4"/>
      <c r="BZ105" s="4"/>
      <c r="CA105" s="4"/>
      <c r="CB105" s="4"/>
      <c r="CC105" s="4"/>
      <c r="CD105" s="4"/>
      <c r="CE105" s="4"/>
      <c r="CF105" s="4"/>
      <c r="CG105" s="4"/>
      <c r="CH105" s="4"/>
      <c r="CI105" s="4"/>
      <c r="CJ105" s="4"/>
      <c r="CK105" s="4"/>
      <c r="CL105" s="4"/>
      <c r="CM105" s="4"/>
      <c r="CN105" s="4"/>
      <c r="CO105" s="4"/>
      <c r="CP105" s="4"/>
      <c r="CQ105" s="4"/>
      <c r="CR105" s="4"/>
      <c r="CS105" s="4"/>
      <c r="CT105" s="4"/>
      <c r="CU105" s="4"/>
      <c r="CV105" s="4"/>
      <c r="CW105" s="4"/>
      <c r="CX105" s="4"/>
      <c r="CY105" s="4"/>
      <c r="CZ105" s="4"/>
      <c r="DA105" s="4"/>
      <c r="DB105" s="4"/>
      <c r="DC105" s="4"/>
      <c r="DD105" s="4"/>
      <c r="DE105" s="4"/>
      <c r="DF105" s="4"/>
      <c r="DG105" s="4"/>
      <c r="DH105" s="4"/>
      <c r="DI105" s="4"/>
      <c r="DJ105" s="4"/>
      <c r="DK105" s="4"/>
      <c r="DL105" s="4"/>
      <c r="DM105" s="4"/>
      <c r="DN105" s="4"/>
      <c r="DO105" s="4"/>
      <c r="DP105" s="4"/>
      <c r="DQ105" s="4"/>
      <c r="DR105" s="4"/>
      <c r="DS105" s="4"/>
      <c r="DT105" s="4"/>
      <c r="DU105" s="4"/>
      <c r="DV105" s="4"/>
      <c r="DW105" s="4"/>
      <c r="DX105" s="4"/>
      <c r="DY105" s="4"/>
      <c r="DZ105" s="4"/>
      <c r="EA105" s="4"/>
      <c r="EB105" s="4"/>
      <c r="EC105" s="4"/>
      <c r="ED105" s="4"/>
      <c r="EE105" s="4"/>
      <c r="EF105" s="4"/>
      <c r="EG105" s="4"/>
      <c r="EH105" s="4"/>
      <c r="EI105" s="4"/>
      <c r="EJ105" s="4"/>
      <c r="EK105" s="4"/>
      <c r="EL105" s="4"/>
      <c r="EM105" s="4"/>
      <c r="EN105" s="4"/>
      <c r="EO105" s="4"/>
      <c r="EP105" s="4"/>
      <c r="EQ105" s="4"/>
      <c r="ER105" s="4"/>
      <c r="ES105" s="4"/>
      <c r="ET105" s="4"/>
      <c r="EU105" s="4"/>
      <c r="EV105" s="4"/>
      <c r="EW105" s="4"/>
      <c r="EX105" s="4"/>
      <c r="EY105" s="4"/>
      <c r="EZ105" s="4"/>
      <c r="FA105" s="4"/>
      <c r="FB105" s="4"/>
      <c r="FC105" s="4"/>
      <c r="FD105" s="4"/>
      <c r="FE105" s="4"/>
      <c r="FF105" s="4"/>
      <c r="FG105" s="4"/>
      <c r="FH105" s="4"/>
      <c r="FI105" s="4"/>
      <c r="FJ105" s="4"/>
      <c r="FK105" s="4"/>
      <c r="FL105" s="4"/>
      <c r="FM105" s="4"/>
      <c r="FN105" s="4"/>
      <c r="FO105" s="4"/>
      <c r="FP105" s="4"/>
      <c r="FQ105" s="4"/>
      <c r="FR105" s="4"/>
      <c r="FS105" s="4"/>
      <c r="FT105" s="4"/>
      <c r="FU105" s="4"/>
      <c r="FV105" s="4"/>
      <c r="FW105" s="4"/>
      <c r="FX105" s="4"/>
      <c r="FY105" s="4"/>
      <c r="FZ105" s="4"/>
      <c r="GA105" s="4"/>
      <c r="GB105" s="4"/>
      <c r="GC105" s="4"/>
      <c r="GD105" s="4"/>
      <c r="GE105" s="4"/>
      <c r="GF105" s="4"/>
      <c r="GG105" s="4"/>
      <c r="GH105" s="4"/>
      <c r="GI105" s="4"/>
      <c r="GJ105" s="4"/>
      <c r="GK105" s="4"/>
      <c r="GL105" s="4"/>
      <c r="GM105" s="4"/>
      <c r="GN105" s="4"/>
      <c r="GO105" s="4"/>
      <c r="GP105" s="4"/>
      <c r="GQ105" s="4"/>
      <c r="GR105" s="4"/>
      <c r="GS105" s="4"/>
      <c r="GT105" s="4"/>
      <c r="GU105" s="4"/>
      <c r="GV105" s="4"/>
      <c r="GW105" s="4"/>
      <c r="GX105" s="4"/>
      <c r="GY105" s="4"/>
      <c r="GZ105" s="4"/>
      <c r="HA105" s="4"/>
      <c r="HB105" s="4"/>
      <c r="HC105" s="4"/>
      <c r="HD105" s="4"/>
      <c r="HE105" s="4"/>
      <c r="HF105" s="4"/>
      <c r="HG105" s="4"/>
      <c r="HH105" s="4"/>
      <c r="HI105" s="4"/>
      <c r="HJ105" s="4"/>
      <c r="HK105" s="4"/>
      <c r="HL105" s="4"/>
      <c r="HM105" s="4"/>
      <c r="HN105" s="4"/>
      <c r="HO105" s="4"/>
      <c r="HP105" s="4"/>
      <c r="HQ105" s="4"/>
      <c r="HR105" s="4"/>
      <c r="HS105" s="4"/>
      <c r="HT105" s="4"/>
      <c r="HU105" s="4"/>
      <c r="HV105" s="4"/>
      <c r="HW105" s="4"/>
      <c r="HX105" s="4"/>
      <c r="HY105" s="4"/>
      <c r="HZ105" s="4"/>
      <c r="IA105" s="4"/>
      <c r="IB105" s="4"/>
      <c r="IC105" s="4"/>
      <c r="ID105" s="4"/>
      <c r="IE105" s="4"/>
      <c r="IF105" s="4"/>
      <c r="IG105" s="4"/>
      <c r="IH105" s="4"/>
      <c r="II105" s="4"/>
      <c r="IJ105" s="4"/>
      <c r="IK105" s="4"/>
      <c r="IL105" s="4"/>
      <c r="IM105" s="4"/>
      <c r="IN105" s="4"/>
      <c r="IO105" s="4"/>
      <c r="IP105" s="4"/>
      <c r="IQ105" s="4"/>
      <c r="IR105" s="4"/>
      <c r="IS105" s="4"/>
      <c r="IT105" s="4"/>
      <c r="IU105" s="4"/>
      <c r="IV105" s="4"/>
      <c r="IW105" s="4"/>
      <c r="IX105" s="4"/>
      <c r="IY105" s="4"/>
      <c r="IZ105" s="4"/>
      <c r="JA105" s="4"/>
      <c r="JB105" s="4"/>
      <c r="JC105" s="4"/>
      <c r="JD105" s="4"/>
      <c r="JE105" s="4"/>
      <c r="JF105" s="4"/>
      <c r="JG105" s="4"/>
      <c r="JH105" s="4"/>
      <c r="JI105" s="4"/>
      <c r="JJ105" s="4"/>
      <c r="JK105" s="4"/>
      <c r="JL105" s="4"/>
      <c r="JM105" s="4"/>
      <c r="JN105" s="4"/>
      <c r="JO105" s="4"/>
      <c r="JP105" s="4"/>
      <c r="JQ105" s="4"/>
      <c r="JR105" s="4"/>
      <c r="JS105" s="4"/>
      <c r="JT105" s="4"/>
      <c r="JU105" s="4"/>
      <c r="JV105" s="4"/>
      <c r="JW105" s="4"/>
      <c r="JX105" s="4"/>
      <c r="JY105" s="4"/>
      <c r="JZ105" s="4"/>
      <c r="KA105" s="4"/>
      <c r="KB105" s="4"/>
      <c r="KC105" s="4"/>
      <c r="KD105" s="4"/>
      <c r="KE105" s="4"/>
      <c r="KF105" s="4"/>
      <c r="KG105" s="4"/>
      <c r="KH105" s="4"/>
      <c r="KI105" s="4"/>
      <c r="KJ105" s="4"/>
      <c r="KK105" s="4"/>
      <c r="KL105" s="4"/>
      <c r="KM105" s="4"/>
      <c r="KN105" s="4"/>
      <c r="KO105" s="4"/>
      <c r="KP105" s="4"/>
      <c r="KQ105" s="4"/>
      <c r="KR105" s="4"/>
      <c r="KS105" s="4"/>
      <c r="KT105" s="4"/>
      <c r="KU105" s="4"/>
      <c r="KV105" s="4"/>
      <c r="KW105" s="4"/>
      <c r="KX105" s="4"/>
      <c r="KY105" s="4"/>
      <c r="KZ105" s="4"/>
      <c r="LA105" s="4"/>
      <c r="LB105" s="4"/>
      <c r="LC105" s="4"/>
      <c r="LD105" s="4"/>
      <c r="LE105" s="4"/>
      <c r="LF105" s="4"/>
      <c r="LG105" s="4"/>
      <c r="LH105" s="4"/>
      <c r="LI105" s="4"/>
      <c r="LJ105" s="4"/>
      <c r="LK105" s="4"/>
      <c r="LL105" s="4"/>
      <c r="LM105" s="4"/>
      <c r="LN105" s="4"/>
      <c r="LO105" s="4"/>
      <c r="LP105" s="4"/>
      <c r="LQ105" s="4"/>
      <c r="LR105" s="4"/>
      <c r="LS105" s="4"/>
      <c r="LT105" s="4"/>
      <c r="LU105" s="4"/>
      <c r="LV105" s="4"/>
      <c r="LW105" s="4"/>
      <c r="LX105" s="4"/>
      <c r="LY105" s="4"/>
      <c r="LZ105" s="4"/>
      <c r="MA105" s="4"/>
      <c r="MB105" s="4"/>
      <c r="MC105" s="4"/>
      <c r="MD105" s="4"/>
      <c r="ME105" s="4"/>
      <c r="MF105" s="4"/>
      <c r="MG105" s="4"/>
      <c r="MH105" s="4"/>
      <c r="MI105" s="4"/>
      <c r="MJ105" s="4"/>
      <c r="MK105" s="4"/>
      <c r="ML105" s="4"/>
      <c r="MM105" s="4"/>
      <c r="MN105" s="4"/>
      <c r="MO105" s="4"/>
    </row>
    <row r="106" spans="1:354">
      <c r="A106" s="4"/>
      <c r="B106" s="4"/>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c r="AQ106" s="4"/>
      <c r="AR106" s="4"/>
      <c r="AS106" s="4"/>
      <c r="AT106" s="4"/>
      <c r="AU106" s="4"/>
      <c r="AV106" s="4"/>
      <c r="AW106" s="4"/>
      <c r="AX106" s="4"/>
      <c r="AY106" s="4"/>
      <c r="AZ106" s="4"/>
      <c r="BA106" s="4"/>
      <c r="BB106" s="4"/>
      <c r="BC106" s="4"/>
      <c r="BD106" s="4"/>
      <c r="BE106" s="4"/>
      <c r="BF106" s="4"/>
      <c r="BG106" s="4"/>
      <c r="BH106" s="4"/>
      <c r="BI106" s="4"/>
      <c r="BJ106" s="4"/>
      <c r="BK106" s="4"/>
      <c r="BL106" s="4"/>
      <c r="BM106" s="4"/>
      <c r="BN106" s="4"/>
      <c r="BO106" s="4"/>
      <c r="BP106" s="4"/>
      <c r="BQ106" s="4"/>
      <c r="BR106" s="4"/>
      <c r="BS106" s="4"/>
      <c r="BT106" s="4"/>
      <c r="BU106" s="4"/>
      <c r="BV106" s="4"/>
      <c r="BW106" s="4"/>
      <c r="BX106" s="4"/>
      <c r="BY106" s="4"/>
      <c r="BZ106" s="4"/>
      <c r="CA106" s="4"/>
      <c r="CB106" s="4"/>
      <c r="CC106" s="4"/>
      <c r="CD106" s="4"/>
      <c r="CE106" s="4"/>
      <c r="CF106" s="4"/>
      <c r="CG106" s="4"/>
      <c r="CH106" s="4"/>
      <c r="CI106" s="4"/>
      <c r="CJ106" s="4"/>
      <c r="CK106" s="4"/>
      <c r="CL106" s="4"/>
      <c r="CM106" s="4"/>
      <c r="CN106" s="4"/>
      <c r="CO106" s="4"/>
      <c r="CP106" s="4"/>
      <c r="CQ106" s="4"/>
      <c r="CR106" s="4"/>
      <c r="CS106" s="4"/>
      <c r="CT106" s="4"/>
      <c r="CU106" s="4"/>
      <c r="CV106" s="4"/>
      <c r="CW106" s="4"/>
      <c r="CX106" s="4"/>
      <c r="CY106" s="4"/>
      <c r="CZ106" s="4"/>
      <c r="DA106" s="4"/>
      <c r="DB106" s="4"/>
      <c r="DC106" s="4"/>
      <c r="DD106" s="4"/>
      <c r="DE106" s="4"/>
      <c r="DF106" s="4"/>
      <c r="DG106" s="4"/>
      <c r="DH106" s="4"/>
      <c r="DI106" s="4"/>
      <c r="DJ106" s="4"/>
      <c r="DK106" s="4"/>
      <c r="DL106" s="4"/>
      <c r="DM106" s="4"/>
      <c r="DN106" s="4"/>
      <c r="DO106" s="4"/>
      <c r="DP106" s="4"/>
      <c r="DQ106" s="4"/>
      <c r="DR106" s="4"/>
      <c r="DS106" s="4"/>
      <c r="DT106" s="4"/>
      <c r="DU106" s="4"/>
      <c r="DV106" s="4"/>
      <c r="DW106" s="4"/>
      <c r="DX106" s="4"/>
      <c r="DY106" s="4"/>
      <c r="DZ106" s="4"/>
      <c r="EA106" s="4"/>
      <c r="EB106" s="4"/>
      <c r="EC106" s="4"/>
      <c r="ED106" s="4"/>
      <c r="EE106" s="4"/>
      <c r="EF106" s="4"/>
      <c r="EG106" s="4"/>
      <c r="EH106" s="4"/>
      <c r="EI106" s="4"/>
      <c r="EJ106" s="4"/>
      <c r="EK106" s="4"/>
      <c r="EL106" s="4"/>
      <c r="EM106" s="4"/>
      <c r="EN106" s="4"/>
      <c r="EO106" s="4"/>
      <c r="EP106" s="4"/>
      <c r="EQ106" s="4"/>
      <c r="ER106" s="4"/>
      <c r="ES106" s="4"/>
      <c r="ET106" s="4"/>
      <c r="EU106" s="4"/>
      <c r="EV106" s="4"/>
      <c r="EW106" s="4"/>
      <c r="EX106" s="4"/>
      <c r="EY106" s="4"/>
      <c r="EZ106" s="4"/>
      <c r="FA106" s="4"/>
      <c r="FB106" s="4"/>
      <c r="FC106" s="4"/>
      <c r="FD106" s="4"/>
      <c r="FE106" s="4"/>
      <c r="FF106" s="4"/>
      <c r="FG106" s="4"/>
      <c r="FH106" s="4"/>
      <c r="FI106" s="4"/>
      <c r="FJ106" s="4"/>
      <c r="FK106" s="4"/>
      <c r="FL106" s="4"/>
      <c r="FM106" s="4"/>
      <c r="FN106" s="4"/>
      <c r="FO106" s="4"/>
      <c r="FP106" s="4"/>
      <c r="FQ106" s="4"/>
      <c r="FR106" s="4"/>
      <c r="FS106" s="4"/>
      <c r="FT106" s="4"/>
      <c r="FU106" s="4"/>
      <c r="FV106" s="4"/>
      <c r="FW106" s="4"/>
      <c r="FX106" s="4"/>
      <c r="FY106" s="4"/>
      <c r="FZ106" s="4"/>
      <c r="GA106" s="4"/>
      <c r="GB106" s="4"/>
      <c r="GC106" s="4"/>
      <c r="GD106" s="4"/>
      <c r="GE106" s="4"/>
      <c r="GF106" s="4"/>
      <c r="GG106" s="4"/>
      <c r="GH106" s="4"/>
      <c r="GI106" s="4"/>
      <c r="GJ106" s="4"/>
      <c r="GK106" s="4"/>
      <c r="GL106" s="4"/>
      <c r="GM106" s="4"/>
      <c r="GN106" s="4"/>
      <c r="GO106" s="4"/>
      <c r="GP106" s="4"/>
      <c r="GQ106" s="4"/>
      <c r="GR106" s="4"/>
      <c r="GS106" s="4"/>
      <c r="GT106" s="4"/>
      <c r="GU106" s="4"/>
      <c r="GV106" s="4"/>
      <c r="GW106" s="4"/>
      <c r="GX106" s="4"/>
      <c r="GY106" s="4"/>
      <c r="GZ106" s="4"/>
      <c r="HA106" s="4"/>
      <c r="HB106" s="4"/>
      <c r="HC106" s="4"/>
      <c r="HD106" s="4"/>
      <c r="HE106" s="4"/>
      <c r="HF106" s="4"/>
      <c r="HG106" s="4"/>
      <c r="HH106" s="4"/>
      <c r="HI106" s="4"/>
      <c r="HJ106" s="4"/>
      <c r="HK106" s="4"/>
      <c r="HL106" s="4"/>
      <c r="HM106" s="4"/>
      <c r="HN106" s="4"/>
      <c r="HO106" s="4"/>
      <c r="HP106" s="4"/>
      <c r="HQ106" s="4"/>
      <c r="HR106" s="4"/>
      <c r="HS106" s="4"/>
      <c r="HT106" s="4"/>
      <c r="HU106" s="4"/>
      <c r="HV106" s="4"/>
      <c r="HW106" s="4"/>
      <c r="HX106" s="4"/>
      <c r="HY106" s="4"/>
      <c r="HZ106" s="4"/>
      <c r="IA106" s="4"/>
      <c r="IB106" s="4"/>
      <c r="IC106" s="4"/>
      <c r="ID106" s="4"/>
      <c r="IE106" s="4"/>
      <c r="IF106" s="4"/>
      <c r="IG106" s="4"/>
      <c r="IH106" s="4"/>
      <c r="II106" s="4"/>
      <c r="IJ106" s="4"/>
      <c r="IK106" s="4"/>
      <c r="IL106" s="4"/>
      <c r="IM106" s="4"/>
      <c r="IN106" s="4"/>
      <c r="IO106" s="4"/>
      <c r="IP106" s="4"/>
      <c r="IQ106" s="4"/>
      <c r="IR106" s="4"/>
      <c r="IS106" s="4"/>
      <c r="IT106" s="4"/>
      <c r="IU106" s="4"/>
      <c r="IV106" s="4"/>
      <c r="IW106" s="4"/>
      <c r="IX106" s="4"/>
      <c r="IY106" s="4"/>
      <c r="IZ106" s="4"/>
      <c r="JA106" s="4"/>
      <c r="JB106" s="4"/>
      <c r="JC106" s="4"/>
      <c r="JD106" s="4"/>
      <c r="JE106" s="4"/>
      <c r="JF106" s="4"/>
      <c r="JG106" s="4"/>
      <c r="JH106" s="4"/>
      <c r="JI106" s="4"/>
      <c r="JJ106" s="4"/>
      <c r="JK106" s="4"/>
      <c r="JL106" s="4"/>
      <c r="JM106" s="4"/>
      <c r="JN106" s="4"/>
      <c r="JO106" s="4"/>
      <c r="JP106" s="4"/>
      <c r="JQ106" s="4"/>
      <c r="JR106" s="4"/>
      <c r="JS106" s="4"/>
      <c r="JT106" s="4"/>
      <c r="JU106" s="4"/>
      <c r="JV106" s="4"/>
      <c r="JW106" s="4"/>
      <c r="JX106" s="4"/>
      <c r="JY106" s="4"/>
      <c r="JZ106" s="4"/>
      <c r="KA106" s="4"/>
      <c r="KB106" s="4"/>
      <c r="KC106" s="4"/>
      <c r="KD106" s="4"/>
      <c r="KE106" s="4"/>
      <c r="KF106" s="4"/>
      <c r="KG106" s="4"/>
      <c r="KH106" s="4"/>
      <c r="KI106" s="4"/>
      <c r="KJ106" s="4"/>
      <c r="KK106" s="4"/>
      <c r="KL106" s="4"/>
      <c r="KM106" s="4"/>
      <c r="KN106" s="4"/>
      <c r="KO106" s="4"/>
      <c r="KP106" s="4"/>
      <c r="KQ106" s="4"/>
      <c r="KR106" s="4"/>
      <c r="KS106" s="4"/>
      <c r="KT106" s="4"/>
      <c r="KU106" s="4"/>
      <c r="KV106" s="4"/>
      <c r="KW106" s="4"/>
      <c r="KX106" s="4"/>
      <c r="KY106" s="4"/>
      <c r="KZ106" s="4"/>
      <c r="LA106" s="4"/>
      <c r="LB106" s="4"/>
      <c r="LC106" s="4"/>
      <c r="LD106" s="4"/>
      <c r="LE106" s="4"/>
      <c r="LF106" s="4"/>
      <c r="LG106" s="4"/>
      <c r="LH106" s="4"/>
      <c r="LI106" s="4"/>
      <c r="LJ106" s="4"/>
      <c r="LK106" s="4"/>
      <c r="LL106" s="4"/>
      <c r="LM106" s="4"/>
      <c r="LN106" s="4"/>
      <c r="LO106" s="4"/>
      <c r="LP106" s="4"/>
      <c r="LQ106" s="4"/>
      <c r="LR106" s="4"/>
      <c r="LS106" s="4"/>
      <c r="LT106" s="4"/>
      <c r="LU106" s="4"/>
      <c r="LV106" s="4"/>
      <c r="LW106" s="4"/>
      <c r="LX106" s="4"/>
      <c r="LY106" s="4"/>
      <c r="LZ106" s="4"/>
      <c r="MA106" s="4"/>
      <c r="MB106" s="4"/>
      <c r="MC106" s="4"/>
      <c r="MD106" s="4"/>
      <c r="ME106" s="4"/>
      <c r="MF106" s="4"/>
      <c r="MG106" s="4"/>
      <c r="MH106" s="4"/>
      <c r="MI106" s="4"/>
      <c r="MJ106" s="4"/>
      <c r="MK106" s="4"/>
      <c r="ML106" s="4"/>
      <c r="MM106" s="4"/>
      <c r="MN106" s="4"/>
      <c r="MO106" s="4"/>
    </row>
    <row r="107" spans="1:354">
      <c r="A107" s="4"/>
      <c r="B107" s="4"/>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c r="AQ107" s="4"/>
      <c r="AR107" s="4"/>
      <c r="AS107" s="4"/>
      <c r="AT107" s="4"/>
      <c r="AU107" s="4"/>
      <c r="AV107" s="4"/>
      <c r="AW107" s="4"/>
      <c r="AX107" s="4"/>
      <c r="AY107" s="4"/>
      <c r="AZ107" s="4"/>
      <c r="BA107" s="4"/>
      <c r="BB107" s="4"/>
      <c r="BC107" s="4"/>
      <c r="BD107" s="4"/>
      <c r="BE107" s="4"/>
      <c r="BF107" s="4"/>
      <c r="BG107" s="4"/>
      <c r="BH107" s="4"/>
      <c r="BI107" s="4"/>
      <c r="BJ107" s="4"/>
      <c r="BK107" s="4"/>
      <c r="BL107" s="4"/>
      <c r="BM107" s="4"/>
      <c r="BN107" s="4"/>
      <c r="BO107" s="4"/>
      <c r="BP107" s="4"/>
      <c r="BQ107" s="4"/>
      <c r="BR107" s="4"/>
      <c r="BS107" s="4"/>
      <c r="BT107" s="4"/>
      <c r="BU107" s="4"/>
      <c r="BV107" s="4"/>
      <c r="BW107" s="4"/>
      <c r="BX107" s="4"/>
      <c r="BY107" s="4"/>
      <c r="BZ107" s="4"/>
      <c r="CA107" s="4"/>
      <c r="CB107" s="4"/>
      <c r="CC107" s="4"/>
      <c r="CD107" s="4"/>
      <c r="CE107" s="4"/>
      <c r="CF107" s="4"/>
      <c r="CG107" s="4"/>
      <c r="CH107" s="4"/>
      <c r="CI107" s="4"/>
      <c r="CJ107" s="4"/>
      <c r="CK107" s="4"/>
      <c r="CL107" s="4"/>
      <c r="CM107" s="4"/>
      <c r="CN107" s="4"/>
      <c r="CO107" s="4"/>
      <c r="CP107" s="4"/>
      <c r="CQ107" s="4"/>
      <c r="CR107" s="4"/>
      <c r="CS107" s="4"/>
      <c r="CT107" s="4"/>
      <c r="CU107" s="4"/>
      <c r="CV107" s="4"/>
      <c r="CW107" s="4"/>
      <c r="CX107" s="4"/>
      <c r="CY107" s="4"/>
      <c r="CZ107" s="4"/>
      <c r="DA107" s="4"/>
      <c r="DB107" s="4"/>
      <c r="DC107" s="4"/>
      <c r="DD107" s="4"/>
      <c r="DE107" s="4"/>
      <c r="DF107" s="4"/>
      <c r="DG107" s="4"/>
      <c r="DH107" s="4"/>
      <c r="DI107" s="4"/>
      <c r="DJ107" s="4"/>
      <c r="DK107" s="4"/>
      <c r="DL107" s="4"/>
      <c r="DM107" s="4"/>
      <c r="DN107" s="4"/>
      <c r="DO107" s="4"/>
      <c r="DP107" s="4"/>
      <c r="DQ107" s="4"/>
      <c r="DR107" s="4"/>
      <c r="DS107" s="4"/>
      <c r="DT107" s="4"/>
      <c r="DU107" s="4"/>
      <c r="DV107" s="4"/>
      <c r="DW107" s="4"/>
      <c r="DX107" s="4"/>
      <c r="DY107" s="4"/>
      <c r="DZ107" s="4"/>
      <c r="EA107" s="4"/>
      <c r="EB107" s="4"/>
      <c r="EC107" s="4"/>
      <c r="ED107" s="4"/>
      <c r="EE107" s="4"/>
      <c r="EF107" s="4"/>
      <c r="EG107" s="4"/>
      <c r="EH107" s="4"/>
      <c r="EI107" s="4"/>
      <c r="EJ107" s="4"/>
      <c r="EK107" s="4"/>
      <c r="EL107" s="4"/>
      <c r="EM107" s="4"/>
      <c r="EN107" s="4"/>
      <c r="EO107" s="4"/>
      <c r="EP107" s="4"/>
      <c r="EQ107" s="4"/>
      <c r="ER107" s="4"/>
      <c r="ES107" s="4"/>
      <c r="ET107" s="4"/>
      <c r="EU107" s="4"/>
      <c r="EV107" s="4"/>
      <c r="EW107" s="4"/>
      <c r="EX107" s="4"/>
      <c r="EY107" s="4"/>
      <c r="EZ107" s="4"/>
      <c r="FA107" s="4"/>
      <c r="FB107" s="4"/>
      <c r="FC107" s="4"/>
      <c r="FD107" s="4"/>
      <c r="FE107" s="4"/>
      <c r="FF107" s="4"/>
      <c r="FG107" s="4"/>
      <c r="FH107" s="4"/>
      <c r="FI107" s="4"/>
      <c r="FJ107" s="4"/>
      <c r="FK107" s="4"/>
      <c r="FL107" s="4"/>
      <c r="FM107" s="4"/>
      <c r="FN107" s="4"/>
      <c r="FO107" s="4"/>
      <c r="FP107" s="4"/>
      <c r="FQ107" s="4"/>
      <c r="FR107" s="4"/>
      <c r="FS107" s="4"/>
      <c r="FT107" s="4"/>
      <c r="FU107" s="4"/>
      <c r="FV107" s="4"/>
      <c r="FW107" s="4"/>
      <c r="FX107" s="4"/>
      <c r="FY107" s="4"/>
      <c r="FZ107" s="4"/>
      <c r="GA107" s="4"/>
      <c r="GB107" s="4"/>
      <c r="GC107" s="4"/>
      <c r="GD107" s="4"/>
      <c r="GE107" s="4"/>
      <c r="GF107" s="4"/>
      <c r="GG107" s="4"/>
      <c r="GH107" s="4"/>
      <c r="GI107" s="4"/>
      <c r="GJ107" s="4"/>
      <c r="GK107" s="4"/>
      <c r="GL107" s="4"/>
      <c r="GM107" s="4"/>
      <c r="GN107" s="4"/>
      <c r="GO107" s="4"/>
      <c r="GP107" s="4"/>
      <c r="GQ107" s="4"/>
      <c r="GR107" s="4"/>
      <c r="GS107" s="4"/>
      <c r="GT107" s="4"/>
      <c r="GU107" s="4"/>
      <c r="GV107" s="4"/>
      <c r="GW107" s="4"/>
      <c r="GX107" s="4"/>
      <c r="GY107" s="4"/>
      <c r="GZ107" s="4"/>
      <c r="HA107" s="4"/>
      <c r="HB107" s="4"/>
      <c r="HC107" s="4"/>
      <c r="HD107" s="4"/>
      <c r="HE107" s="4"/>
      <c r="HF107" s="4"/>
      <c r="HG107" s="4"/>
      <c r="HH107" s="4"/>
      <c r="HI107" s="4"/>
      <c r="HJ107" s="4"/>
      <c r="HK107" s="4"/>
      <c r="HL107" s="4"/>
      <c r="HM107" s="4"/>
      <c r="HN107" s="4"/>
      <c r="HO107" s="4"/>
      <c r="HP107" s="4"/>
      <c r="HQ107" s="4"/>
      <c r="HR107" s="4"/>
      <c r="HS107" s="4"/>
      <c r="HT107" s="4"/>
      <c r="HU107" s="4"/>
      <c r="HV107" s="4"/>
      <c r="HW107" s="4"/>
      <c r="HX107" s="4"/>
      <c r="HY107" s="4"/>
      <c r="HZ107" s="4"/>
      <c r="IA107" s="4"/>
      <c r="IB107" s="4"/>
      <c r="IC107" s="4"/>
      <c r="ID107" s="4"/>
      <c r="IE107" s="4"/>
      <c r="IF107" s="4"/>
      <c r="IG107" s="4"/>
      <c r="IH107" s="4"/>
      <c r="II107" s="4"/>
      <c r="IJ107" s="4"/>
      <c r="IK107" s="4"/>
      <c r="IL107" s="4"/>
      <c r="IM107" s="4"/>
      <c r="IN107" s="4"/>
      <c r="IO107" s="4"/>
      <c r="IP107" s="4"/>
      <c r="IQ107" s="4"/>
      <c r="IR107" s="4"/>
      <c r="IS107" s="4"/>
      <c r="IT107" s="4"/>
      <c r="IU107" s="4"/>
      <c r="IV107" s="4"/>
      <c r="IW107" s="4"/>
      <c r="IX107" s="4"/>
      <c r="IY107" s="4"/>
      <c r="IZ107" s="4"/>
      <c r="JA107" s="4"/>
      <c r="JB107" s="4"/>
      <c r="JC107" s="4"/>
      <c r="JD107" s="4"/>
      <c r="JE107" s="4"/>
      <c r="JF107" s="4"/>
      <c r="JG107" s="4"/>
      <c r="JH107" s="4"/>
      <c r="JI107" s="4"/>
      <c r="JJ107" s="4"/>
      <c r="JK107" s="4"/>
      <c r="JL107" s="4"/>
      <c r="JM107" s="4"/>
      <c r="JN107" s="4"/>
      <c r="JO107" s="4"/>
      <c r="JP107" s="4"/>
      <c r="JQ107" s="4"/>
      <c r="JR107" s="4"/>
      <c r="JS107" s="4"/>
      <c r="JT107" s="4"/>
      <c r="JU107" s="4"/>
      <c r="JV107" s="4"/>
      <c r="JW107" s="4"/>
      <c r="JX107" s="4"/>
      <c r="JY107" s="4"/>
      <c r="JZ107" s="4"/>
      <c r="KA107" s="4"/>
      <c r="KB107" s="4"/>
      <c r="KC107" s="4"/>
      <c r="KD107" s="4"/>
      <c r="KE107" s="4"/>
      <c r="KF107" s="4"/>
      <c r="KG107" s="4"/>
      <c r="KH107" s="4"/>
      <c r="KI107" s="4"/>
      <c r="KJ107" s="4"/>
      <c r="KK107" s="4"/>
      <c r="KL107" s="4"/>
      <c r="KM107" s="4"/>
      <c r="KN107" s="4"/>
      <c r="KO107" s="4"/>
      <c r="KP107" s="4"/>
      <c r="KQ107" s="4"/>
      <c r="KR107" s="4"/>
      <c r="KS107" s="4"/>
      <c r="KT107" s="4"/>
      <c r="KU107" s="4"/>
      <c r="KV107" s="4"/>
      <c r="KW107" s="4"/>
      <c r="KX107" s="4"/>
      <c r="KY107" s="4"/>
      <c r="KZ107" s="4"/>
      <c r="LA107" s="4"/>
      <c r="LB107" s="4"/>
      <c r="LC107" s="4"/>
      <c r="LD107" s="4"/>
      <c r="LE107" s="4"/>
      <c r="LF107" s="4"/>
      <c r="LG107" s="4"/>
      <c r="LH107" s="4"/>
      <c r="LI107" s="4"/>
      <c r="LJ107" s="4"/>
      <c r="LK107" s="4"/>
      <c r="LL107" s="4"/>
      <c r="LM107" s="4"/>
      <c r="LN107" s="4"/>
      <c r="LO107" s="4"/>
      <c r="LP107" s="4"/>
      <c r="LQ107" s="4"/>
      <c r="LR107" s="4"/>
      <c r="LS107" s="4"/>
      <c r="LT107" s="4"/>
      <c r="LU107" s="4"/>
      <c r="LV107" s="4"/>
      <c r="LW107" s="4"/>
      <c r="LX107" s="4"/>
      <c r="LY107" s="4"/>
      <c r="LZ107" s="4"/>
      <c r="MA107" s="4"/>
      <c r="MB107" s="4"/>
      <c r="MC107" s="4"/>
      <c r="MD107" s="4"/>
      <c r="ME107" s="4"/>
      <c r="MF107" s="4"/>
      <c r="MG107" s="4"/>
      <c r="MH107" s="4"/>
      <c r="MI107" s="4"/>
      <c r="MJ107" s="4"/>
      <c r="MK107" s="4"/>
      <c r="ML107" s="4"/>
      <c r="MM107" s="4"/>
      <c r="MN107" s="4"/>
      <c r="MO107" s="4"/>
    </row>
    <row r="108" spans="1:354">
      <c r="A108" s="4"/>
      <c r="B108" s="4"/>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c r="AQ108" s="4"/>
      <c r="AR108" s="4"/>
      <c r="AS108" s="4"/>
      <c r="AT108" s="4"/>
      <c r="AU108" s="4"/>
      <c r="AV108" s="4"/>
      <c r="AW108" s="4"/>
      <c r="AX108" s="4"/>
      <c r="AY108" s="4"/>
      <c r="AZ108" s="4"/>
      <c r="BA108" s="4"/>
      <c r="BB108" s="4"/>
      <c r="BC108" s="4"/>
      <c r="BD108" s="4"/>
      <c r="BE108" s="4"/>
      <c r="BF108" s="4"/>
      <c r="BG108" s="4"/>
      <c r="BH108" s="4"/>
      <c r="BI108" s="4"/>
      <c r="BJ108" s="4"/>
      <c r="BK108" s="4"/>
      <c r="BL108" s="4"/>
      <c r="BM108" s="4"/>
      <c r="BN108" s="4"/>
      <c r="BO108" s="4"/>
      <c r="BP108" s="4"/>
      <c r="BQ108" s="4"/>
      <c r="BR108" s="4"/>
      <c r="BS108" s="4"/>
      <c r="BT108" s="4"/>
      <c r="BU108" s="4"/>
      <c r="BV108" s="4"/>
      <c r="BW108" s="4"/>
      <c r="BX108" s="4"/>
      <c r="BY108" s="4"/>
      <c r="BZ108" s="4"/>
      <c r="CA108" s="4"/>
      <c r="CB108" s="4"/>
      <c r="CC108" s="4"/>
      <c r="CD108" s="4"/>
      <c r="CE108" s="4"/>
      <c r="CF108" s="4"/>
      <c r="CG108" s="4"/>
      <c r="CH108" s="4"/>
      <c r="CI108" s="4"/>
      <c r="CJ108" s="4"/>
      <c r="CK108" s="4"/>
      <c r="CL108" s="4"/>
      <c r="CM108" s="4"/>
      <c r="CN108" s="4"/>
      <c r="CO108" s="4"/>
      <c r="CP108" s="4"/>
      <c r="CQ108" s="4"/>
      <c r="CR108" s="4"/>
      <c r="CS108" s="4"/>
      <c r="CT108" s="4"/>
      <c r="CU108" s="4"/>
      <c r="CV108" s="4"/>
      <c r="CW108" s="4"/>
      <c r="CX108" s="4"/>
      <c r="CY108" s="4"/>
      <c r="CZ108" s="4"/>
      <c r="DA108" s="4"/>
      <c r="DB108" s="4"/>
      <c r="DC108" s="4"/>
      <c r="DD108" s="4"/>
      <c r="DE108" s="4"/>
      <c r="DF108" s="4"/>
      <c r="DG108" s="4"/>
      <c r="DH108" s="4"/>
      <c r="DI108" s="4"/>
      <c r="DJ108" s="4"/>
      <c r="DK108" s="4"/>
      <c r="DL108" s="4"/>
      <c r="DM108" s="4"/>
      <c r="DN108" s="4"/>
      <c r="DO108" s="4"/>
      <c r="DP108" s="4"/>
      <c r="DQ108" s="4"/>
      <c r="DR108" s="4"/>
      <c r="DS108" s="4"/>
      <c r="DT108" s="4"/>
      <c r="DU108" s="4"/>
      <c r="DV108" s="4"/>
      <c r="DW108" s="4"/>
      <c r="DX108" s="4"/>
      <c r="DY108" s="4"/>
      <c r="DZ108" s="4"/>
      <c r="EA108" s="4"/>
      <c r="EB108" s="4"/>
      <c r="EC108" s="4"/>
      <c r="ED108" s="4"/>
      <c r="EE108" s="4"/>
      <c r="EF108" s="4"/>
      <c r="EG108" s="4"/>
      <c r="EH108" s="4"/>
      <c r="EI108" s="4"/>
      <c r="EJ108" s="4"/>
      <c r="EK108" s="4"/>
      <c r="EL108" s="4"/>
      <c r="EM108" s="4"/>
      <c r="EN108" s="4"/>
      <c r="EO108" s="4"/>
      <c r="EP108" s="4"/>
      <c r="EQ108" s="4"/>
      <c r="ER108" s="4"/>
      <c r="ES108" s="4"/>
      <c r="ET108" s="4"/>
      <c r="EU108" s="4"/>
      <c r="EV108" s="4"/>
      <c r="EW108" s="4"/>
      <c r="EX108" s="4"/>
      <c r="EY108" s="4"/>
      <c r="EZ108" s="4"/>
      <c r="FA108" s="4"/>
      <c r="FB108" s="4"/>
      <c r="FC108" s="4"/>
      <c r="FD108" s="4"/>
      <c r="FE108" s="4"/>
      <c r="FF108" s="4"/>
      <c r="FG108" s="4"/>
      <c r="FH108" s="4"/>
      <c r="FI108" s="4"/>
      <c r="FJ108" s="4"/>
      <c r="FK108" s="4"/>
      <c r="FL108" s="4"/>
      <c r="FM108" s="4"/>
      <c r="FN108" s="4"/>
      <c r="FO108" s="4"/>
      <c r="FP108" s="4"/>
      <c r="FQ108" s="4"/>
      <c r="FR108" s="4"/>
      <c r="FS108" s="4"/>
      <c r="FT108" s="4"/>
      <c r="FU108" s="4"/>
      <c r="FV108" s="4"/>
      <c r="FW108" s="4"/>
      <c r="FX108" s="4"/>
      <c r="FY108" s="4"/>
      <c r="FZ108" s="4"/>
      <c r="GA108" s="4"/>
      <c r="GB108" s="4"/>
      <c r="GC108" s="4"/>
      <c r="GD108" s="4"/>
      <c r="GE108" s="4"/>
      <c r="GF108" s="4"/>
      <c r="GG108" s="4"/>
      <c r="GH108" s="4"/>
      <c r="GI108" s="4"/>
      <c r="GJ108" s="4"/>
      <c r="GK108" s="4"/>
      <c r="GL108" s="4"/>
      <c r="GM108" s="4"/>
      <c r="GN108" s="4"/>
      <c r="GO108" s="4"/>
      <c r="GP108" s="4"/>
      <c r="GQ108" s="4"/>
      <c r="GR108" s="4"/>
      <c r="GS108" s="4"/>
      <c r="GT108" s="4"/>
      <c r="GU108" s="4"/>
      <c r="GV108" s="4"/>
      <c r="GW108" s="4"/>
      <c r="GX108" s="4"/>
      <c r="GY108" s="4"/>
      <c r="GZ108" s="4"/>
      <c r="HA108" s="4"/>
      <c r="HB108" s="4"/>
      <c r="HC108" s="4"/>
      <c r="HD108" s="4"/>
      <c r="HE108" s="4"/>
      <c r="HF108" s="4"/>
      <c r="HG108" s="4"/>
      <c r="HH108" s="4"/>
      <c r="HI108" s="4"/>
      <c r="HJ108" s="4"/>
      <c r="HK108" s="4"/>
      <c r="HL108" s="4"/>
      <c r="HM108" s="4"/>
      <c r="HN108" s="4"/>
      <c r="HO108" s="4"/>
      <c r="HP108" s="4"/>
      <c r="HQ108" s="4"/>
      <c r="HR108" s="4"/>
      <c r="HS108" s="4"/>
      <c r="HT108" s="4"/>
      <c r="HU108" s="4"/>
      <c r="HV108" s="4"/>
      <c r="HW108" s="4"/>
      <c r="HX108" s="4"/>
      <c r="HY108" s="4"/>
      <c r="HZ108" s="4"/>
      <c r="IA108" s="4"/>
      <c r="IB108" s="4"/>
      <c r="IC108" s="4"/>
      <c r="ID108" s="4"/>
      <c r="IE108" s="4"/>
      <c r="IF108" s="4"/>
      <c r="IG108" s="4"/>
      <c r="IH108" s="4"/>
      <c r="II108" s="4"/>
      <c r="IJ108" s="4"/>
      <c r="IK108" s="4"/>
      <c r="IL108" s="4"/>
      <c r="IM108" s="4"/>
      <c r="IN108" s="4"/>
      <c r="IO108" s="4"/>
      <c r="IP108" s="4"/>
      <c r="IQ108" s="4"/>
      <c r="IR108" s="4"/>
      <c r="IS108" s="4"/>
      <c r="IT108" s="4"/>
      <c r="IU108" s="4"/>
      <c r="IV108" s="4"/>
      <c r="IW108" s="4"/>
      <c r="IX108" s="4"/>
      <c r="IY108" s="4"/>
      <c r="IZ108" s="4"/>
      <c r="JA108" s="4"/>
      <c r="JB108" s="4"/>
      <c r="JC108" s="4"/>
      <c r="JD108" s="4"/>
      <c r="JE108" s="4"/>
      <c r="JF108" s="4"/>
      <c r="JG108" s="4"/>
      <c r="JH108" s="4"/>
      <c r="JI108" s="4"/>
      <c r="JJ108" s="4"/>
      <c r="JK108" s="4"/>
      <c r="JL108" s="4"/>
      <c r="JM108" s="4"/>
      <c r="JN108" s="4"/>
      <c r="JO108" s="4"/>
      <c r="JP108" s="4"/>
      <c r="JQ108" s="4"/>
      <c r="JR108" s="4"/>
      <c r="JS108" s="4"/>
      <c r="JT108" s="4"/>
      <c r="JU108" s="4"/>
      <c r="JV108" s="4"/>
      <c r="JW108" s="4"/>
      <c r="JX108" s="4"/>
      <c r="JY108" s="4"/>
      <c r="JZ108" s="4"/>
      <c r="KA108" s="4"/>
      <c r="KB108" s="4"/>
      <c r="KC108" s="4"/>
      <c r="KD108" s="4"/>
      <c r="KE108" s="4"/>
      <c r="KF108" s="4"/>
      <c r="KG108" s="4"/>
      <c r="KH108" s="4"/>
      <c r="KI108" s="4"/>
      <c r="KJ108" s="4"/>
      <c r="KK108" s="4"/>
      <c r="KL108" s="4"/>
      <c r="KM108" s="4"/>
      <c r="KN108" s="4"/>
      <c r="KO108" s="4"/>
      <c r="KP108" s="4"/>
      <c r="KQ108" s="4"/>
      <c r="KR108" s="4"/>
      <c r="KS108" s="4"/>
      <c r="KT108" s="4"/>
      <c r="KU108" s="4"/>
      <c r="KV108" s="4"/>
      <c r="KW108" s="4"/>
      <c r="KX108" s="4"/>
      <c r="KY108" s="4"/>
      <c r="KZ108" s="4"/>
      <c r="LA108" s="4"/>
      <c r="LB108" s="4"/>
      <c r="LC108" s="4"/>
      <c r="LD108" s="4"/>
      <c r="LE108" s="4"/>
      <c r="LF108" s="4"/>
      <c r="LG108" s="4"/>
      <c r="LH108" s="4"/>
      <c r="LI108" s="4"/>
      <c r="LJ108" s="4"/>
      <c r="LK108" s="4"/>
      <c r="LL108" s="4"/>
      <c r="LM108" s="4"/>
      <c r="LN108" s="4"/>
      <c r="LO108" s="4"/>
      <c r="LP108" s="4"/>
      <c r="LQ108" s="4"/>
      <c r="LR108" s="4"/>
      <c r="LS108" s="4"/>
      <c r="LT108" s="4"/>
      <c r="LU108" s="4"/>
      <c r="LV108" s="4"/>
      <c r="LW108" s="4"/>
      <c r="LX108" s="4"/>
      <c r="LY108" s="4"/>
      <c r="LZ108" s="4"/>
      <c r="MA108" s="4"/>
      <c r="MB108" s="4"/>
      <c r="MC108" s="4"/>
      <c r="MD108" s="4"/>
      <c r="ME108" s="4"/>
      <c r="MF108" s="4"/>
      <c r="MG108" s="4"/>
      <c r="MH108" s="4"/>
      <c r="MI108" s="4"/>
      <c r="MJ108" s="4"/>
      <c r="MK108" s="4"/>
      <c r="ML108" s="4"/>
      <c r="MM108" s="4"/>
      <c r="MN108" s="4"/>
      <c r="MO108" s="4"/>
    </row>
    <row r="109" spans="1:354">
      <c r="A109" s="4"/>
      <c r="B109" s="4"/>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c r="AQ109" s="4"/>
      <c r="AR109" s="4"/>
      <c r="AS109" s="4"/>
      <c r="AT109" s="4"/>
      <c r="AU109" s="4"/>
      <c r="AV109" s="4"/>
      <c r="AW109" s="4"/>
      <c r="AX109" s="4"/>
      <c r="AY109" s="4"/>
      <c r="AZ109" s="4"/>
      <c r="BA109" s="4"/>
      <c r="BB109" s="4"/>
      <c r="BC109" s="4"/>
      <c r="BD109" s="4"/>
      <c r="BE109" s="4"/>
      <c r="BF109" s="4"/>
      <c r="BG109" s="4"/>
      <c r="BH109" s="4"/>
      <c r="BI109" s="4"/>
      <c r="BJ109" s="4"/>
      <c r="BK109" s="4"/>
      <c r="BL109" s="4"/>
      <c r="BM109" s="4"/>
      <c r="BN109" s="4"/>
      <c r="BO109" s="4"/>
      <c r="BP109" s="4"/>
      <c r="BQ109" s="4"/>
      <c r="BR109" s="4"/>
      <c r="BS109" s="4"/>
      <c r="BT109" s="4"/>
      <c r="BU109" s="4"/>
      <c r="BV109" s="4"/>
      <c r="BW109" s="4"/>
      <c r="BX109" s="4"/>
      <c r="BY109" s="4"/>
      <c r="BZ109" s="4"/>
      <c r="CA109" s="4"/>
      <c r="CB109" s="4"/>
      <c r="CC109" s="4"/>
      <c r="CD109" s="4"/>
      <c r="CE109" s="4"/>
      <c r="CF109" s="4"/>
      <c r="CG109" s="4"/>
      <c r="CH109" s="4"/>
      <c r="CI109" s="4"/>
      <c r="CJ109" s="4"/>
      <c r="CK109" s="4"/>
      <c r="CL109" s="4"/>
      <c r="CM109" s="4"/>
      <c r="CN109" s="4"/>
      <c r="CO109" s="4"/>
      <c r="CP109" s="4"/>
      <c r="CQ109" s="4"/>
      <c r="CR109" s="4"/>
      <c r="CS109" s="4"/>
      <c r="CT109" s="4"/>
      <c r="CU109" s="4"/>
      <c r="CV109" s="4"/>
      <c r="CW109" s="4"/>
      <c r="CX109" s="4"/>
      <c r="CY109" s="4"/>
      <c r="CZ109" s="4"/>
      <c r="DA109" s="4"/>
      <c r="DB109" s="4"/>
      <c r="DC109" s="4"/>
      <c r="DD109" s="4"/>
      <c r="DE109" s="4"/>
      <c r="DF109" s="4"/>
      <c r="DG109" s="4"/>
      <c r="DH109" s="4"/>
      <c r="DI109" s="4"/>
      <c r="DJ109" s="4"/>
      <c r="DK109" s="4"/>
      <c r="DL109" s="4"/>
      <c r="DM109" s="4"/>
      <c r="DN109" s="4"/>
      <c r="DO109" s="4"/>
      <c r="DP109" s="4"/>
      <c r="DQ109" s="4"/>
      <c r="DR109" s="4"/>
      <c r="DS109" s="4"/>
      <c r="DT109" s="4"/>
      <c r="DU109" s="4"/>
      <c r="DV109" s="4"/>
      <c r="DW109" s="4"/>
      <c r="DX109" s="4"/>
      <c r="DY109" s="4"/>
      <c r="DZ109" s="4"/>
      <c r="EA109" s="4"/>
      <c r="EB109" s="4"/>
      <c r="EC109" s="4"/>
      <c r="ED109" s="4"/>
      <c r="EE109" s="4"/>
      <c r="EF109" s="4"/>
      <c r="EG109" s="4"/>
      <c r="EH109" s="4"/>
      <c r="EI109" s="4"/>
      <c r="EJ109" s="4"/>
      <c r="EK109" s="4"/>
      <c r="EL109" s="4"/>
      <c r="EM109" s="4"/>
      <c r="EN109" s="4"/>
      <c r="EO109" s="4"/>
      <c r="EP109" s="4"/>
      <c r="EQ109" s="4"/>
      <c r="ER109" s="4"/>
      <c r="ES109" s="4"/>
      <c r="ET109" s="4"/>
      <c r="EU109" s="4"/>
      <c r="EV109" s="4"/>
      <c r="EW109" s="4"/>
      <c r="EX109" s="4"/>
      <c r="EY109" s="4"/>
      <c r="EZ109" s="4"/>
      <c r="FA109" s="4"/>
      <c r="FB109" s="4"/>
      <c r="FC109" s="4"/>
      <c r="FD109" s="4"/>
      <c r="FE109" s="4"/>
      <c r="FF109" s="4"/>
      <c r="FG109" s="4"/>
      <c r="FH109" s="4"/>
      <c r="FI109" s="4"/>
      <c r="FJ109" s="4"/>
      <c r="FK109" s="4"/>
      <c r="FL109" s="4"/>
      <c r="FM109" s="4"/>
      <c r="FN109" s="4"/>
      <c r="FO109" s="4"/>
      <c r="FP109" s="4"/>
      <c r="FQ109" s="4"/>
      <c r="FR109" s="4"/>
      <c r="FS109" s="4"/>
      <c r="FT109" s="4"/>
      <c r="FU109" s="4"/>
      <c r="FV109" s="4"/>
      <c r="FW109" s="4"/>
      <c r="FX109" s="4"/>
      <c r="FY109" s="4"/>
      <c r="FZ109" s="4"/>
      <c r="GA109" s="4"/>
      <c r="GB109" s="4"/>
      <c r="GC109" s="4"/>
      <c r="GD109" s="4"/>
      <c r="GE109" s="4"/>
      <c r="GF109" s="4"/>
      <c r="GG109" s="4"/>
      <c r="GH109" s="4"/>
      <c r="GI109" s="4"/>
      <c r="GJ109" s="4"/>
      <c r="GK109" s="4"/>
      <c r="GL109" s="4"/>
      <c r="GM109" s="4"/>
      <c r="GN109" s="4"/>
      <c r="GO109" s="4"/>
      <c r="GP109" s="4"/>
      <c r="GQ109" s="4"/>
      <c r="GR109" s="4"/>
      <c r="GS109" s="4"/>
      <c r="GT109" s="4"/>
      <c r="GU109" s="4"/>
      <c r="GV109" s="4"/>
      <c r="GW109" s="4"/>
      <c r="GX109" s="4"/>
      <c r="GY109" s="4"/>
      <c r="GZ109" s="4"/>
      <c r="HA109" s="4"/>
      <c r="HB109" s="4"/>
      <c r="HC109" s="4"/>
      <c r="HD109" s="4"/>
      <c r="HE109" s="4"/>
      <c r="HF109" s="4"/>
      <c r="HG109" s="4"/>
      <c r="HH109" s="4"/>
      <c r="HI109" s="4"/>
      <c r="HJ109" s="4"/>
      <c r="HK109" s="4"/>
      <c r="HL109" s="4"/>
      <c r="HM109" s="4"/>
      <c r="HN109" s="4"/>
      <c r="HO109" s="4"/>
      <c r="HP109" s="4"/>
      <c r="HQ109" s="4"/>
      <c r="HR109" s="4"/>
      <c r="HS109" s="4"/>
      <c r="HT109" s="4"/>
      <c r="HU109" s="4"/>
      <c r="HV109" s="4"/>
      <c r="HW109" s="4"/>
      <c r="HX109" s="4"/>
      <c r="HY109" s="4"/>
      <c r="HZ109" s="4"/>
      <c r="IA109" s="4"/>
      <c r="IB109" s="4"/>
      <c r="IC109" s="4"/>
      <c r="ID109" s="4"/>
      <c r="IE109" s="4"/>
      <c r="IF109" s="4"/>
      <c r="IG109" s="4"/>
      <c r="IH109" s="4"/>
      <c r="II109" s="4"/>
      <c r="IJ109" s="4"/>
      <c r="IK109" s="4"/>
      <c r="IL109" s="4"/>
      <c r="IM109" s="4"/>
      <c r="IN109" s="4"/>
      <c r="IO109" s="4"/>
      <c r="IP109" s="4"/>
      <c r="IQ109" s="4"/>
      <c r="IR109" s="4"/>
      <c r="IS109" s="4"/>
      <c r="IT109" s="4"/>
      <c r="IU109" s="4"/>
      <c r="IV109" s="4"/>
      <c r="IW109" s="4"/>
      <c r="IX109" s="4"/>
      <c r="IY109" s="4"/>
      <c r="IZ109" s="4"/>
      <c r="JA109" s="4"/>
      <c r="JB109" s="4"/>
      <c r="JC109" s="4"/>
      <c r="JD109" s="4"/>
      <c r="JE109" s="4"/>
      <c r="JF109" s="4"/>
      <c r="JG109" s="4"/>
      <c r="JH109" s="4"/>
      <c r="JI109" s="4"/>
      <c r="JJ109" s="4"/>
      <c r="JK109" s="4"/>
      <c r="JL109" s="4"/>
      <c r="JM109" s="4"/>
      <c r="JN109" s="4"/>
      <c r="JO109" s="4"/>
      <c r="JP109" s="4"/>
      <c r="JQ109" s="4"/>
      <c r="JR109" s="4"/>
      <c r="JS109" s="4"/>
      <c r="JT109" s="4"/>
      <c r="JU109" s="4"/>
      <c r="JV109" s="4"/>
      <c r="JW109" s="4"/>
      <c r="JX109" s="4"/>
      <c r="JY109" s="4"/>
      <c r="JZ109" s="4"/>
      <c r="KA109" s="4"/>
      <c r="KB109" s="4"/>
      <c r="KC109" s="4"/>
      <c r="KD109" s="4"/>
      <c r="KE109" s="4"/>
      <c r="KF109" s="4"/>
      <c r="KG109" s="4"/>
      <c r="KH109" s="4"/>
      <c r="KI109" s="4"/>
      <c r="KJ109" s="4"/>
      <c r="KK109" s="4"/>
      <c r="KL109" s="4"/>
      <c r="KM109" s="4"/>
      <c r="KN109" s="4"/>
      <c r="KO109" s="4"/>
      <c r="KP109" s="4"/>
      <c r="KQ109" s="4"/>
      <c r="KR109" s="4"/>
      <c r="KS109" s="4"/>
      <c r="KT109" s="4"/>
      <c r="KU109" s="4"/>
      <c r="KV109" s="4"/>
      <c r="KW109" s="4"/>
      <c r="KX109" s="4"/>
      <c r="KY109" s="4"/>
      <c r="KZ109" s="4"/>
      <c r="LA109" s="4"/>
      <c r="LB109" s="4"/>
      <c r="LC109" s="4"/>
      <c r="LD109" s="4"/>
      <c r="LE109" s="4"/>
      <c r="LF109" s="4"/>
      <c r="LG109" s="4"/>
      <c r="LH109" s="4"/>
      <c r="LI109" s="4"/>
      <c r="LJ109" s="4"/>
      <c r="LK109" s="4"/>
      <c r="LL109" s="4"/>
      <c r="LM109" s="4"/>
      <c r="LN109" s="4"/>
      <c r="LO109" s="4"/>
      <c r="LP109" s="4"/>
      <c r="LQ109" s="4"/>
      <c r="LR109" s="4"/>
      <c r="LS109" s="4"/>
      <c r="LT109" s="4"/>
      <c r="LU109" s="4"/>
      <c r="LV109" s="4"/>
      <c r="LW109" s="4"/>
      <c r="LX109" s="4"/>
      <c r="LY109" s="4"/>
      <c r="LZ109" s="4"/>
      <c r="MA109" s="4"/>
      <c r="MB109" s="4"/>
      <c r="MC109" s="4"/>
      <c r="MD109" s="4"/>
      <c r="ME109" s="4"/>
      <c r="MF109" s="4"/>
      <c r="MG109" s="4"/>
      <c r="MH109" s="4"/>
      <c r="MI109" s="4"/>
      <c r="MJ109" s="4"/>
      <c r="MK109" s="4"/>
      <c r="ML109" s="4"/>
      <c r="MM109" s="4"/>
      <c r="MN109" s="4"/>
      <c r="MO109" s="4"/>
    </row>
    <row r="110" spans="1:354">
      <c r="A110" s="4"/>
      <c r="B110" s="4"/>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6"/>
      <c r="AP110" s="6"/>
      <c r="AQ110" s="6"/>
      <c r="AR110" s="6"/>
      <c r="AS110" s="6"/>
      <c r="AT110" s="6"/>
      <c r="AU110" s="6"/>
      <c r="AV110" s="4"/>
      <c r="AW110" s="7"/>
      <c r="AX110" s="9"/>
      <c r="AY110" s="9"/>
    </row>
    <row r="111" spans="1:354">
      <c r="A111" s="4"/>
      <c r="B111" s="4"/>
      <c r="C111" s="4"/>
      <c r="D111" s="4"/>
      <c r="E111" s="4"/>
      <c r="F111" s="4"/>
      <c r="G111" s="4"/>
      <c r="H111" s="4"/>
      <c r="I111" s="4"/>
      <c r="J111" s="4"/>
      <c r="K111" s="4"/>
      <c r="L111" s="4"/>
      <c r="M111" s="4"/>
      <c r="N111" s="4"/>
      <c r="O111" s="4"/>
      <c r="P111" s="4"/>
      <c r="Q111" s="4"/>
      <c r="R111" s="4"/>
      <c r="S111" s="4"/>
      <c r="T111" s="4"/>
      <c r="V111" s="4"/>
      <c r="W111" s="4"/>
      <c r="X111" s="4"/>
      <c r="Y111" s="4"/>
      <c r="Z111" s="4"/>
      <c r="AA111" s="4"/>
      <c r="AB111" s="4"/>
      <c r="AC111" s="4"/>
      <c r="AD111" s="4"/>
      <c r="AE111" s="4"/>
      <c r="AF111" s="4"/>
      <c r="AG111" s="4"/>
      <c r="AH111" s="4"/>
      <c r="AI111" s="4"/>
      <c r="AJ111" s="4"/>
      <c r="AK111" s="4"/>
      <c r="AL111" s="4"/>
      <c r="AM111" s="4"/>
      <c r="AN111" s="4"/>
      <c r="AO111" s="6"/>
      <c r="AP111" s="6"/>
      <c r="AQ111" s="6"/>
      <c r="AR111" s="6"/>
      <c r="AS111" s="6"/>
      <c r="AT111" s="6"/>
      <c r="AU111" s="6"/>
      <c r="AV111" s="4"/>
      <c r="AW111" s="7"/>
      <c r="AX111" s="9"/>
      <c r="AY111" s="9"/>
    </row>
    <row r="112" spans="1:354">
      <c r="A112" s="4"/>
      <c r="B112" s="4"/>
      <c r="C112" s="4"/>
      <c r="D112" s="4"/>
      <c r="E112" s="4"/>
      <c r="F112" s="4"/>
      <c r="G112" s="4"/>
      <c r="H112" s="4"/>
      <c r="I112" s="4"/>
      <c r="J112" s="4"/>
      <c r="K112" s="4"/>
      <c r="L112" s="4"/>
      <c r="M112" s="4"/>
      <c r="N112" s="4"/>
      <c r="O112" s="4"/>
      <c r="P112" s="4"/>
      <c r="Q112" s="4"/>
      <c r="R112" s="4"/>
      <c r="S112" s="4"/>
      <c r="T112" s="4"/>
      <c r="V112" s="4"/>
      <c r="W112" s="4"/>
      <c r="X112" s="4"/>
      <c r="Y112" s="4"/>
      <c r="Z112" s="4"/>
      <c r="AA112" s="4"/>
      <c r="AB112" s="4"/>
      <c r="AC112" s="4"/>
      <c r="AD112" s="4"/>
      <c r="AE112" s="4"/>
      <c r="AF112" s="4"/>
      <c r="AG112" s="4"/>
      <c r="AH112" s="4"/>
      <c r="AI112" s="4"/>
      <c r="AJ112" s="4"/>
      <c r="AK112" s="4"/>
      <c r="AL112" s="4"/>
      <c r="AM112" s="4"/>
      <c r="AN112" s="4"/>
      <c r="AO112" s="6"/>
      <c r="AP112" s="6"/>
      <c r="AQ112" s="6"/>
      <c r="AR112" s="6"/>
      <c r="AS112" s="6"/>
      <c r="AT112" s="6"/>
      <c r="AU112" s="6"/>
      <c r="AV112" s="4"/>
      <c r="AW112" s="7"/>
      <c r="AX112" s="9"/>
      <c r="AY112" s="9"/>
    </row>
    <row r="113" spans="1:51">
      <c r="A113" s="4"/>
      <c r="B113" s="4"/>
      <c r="C113" s="4"/>
      <c r="D113" s="4"/>
      <c r="E113" s="4"/>
      <c r="F113" s="4"/>
      <c r="G113" s="4"/>
      <c r="H113" s="4"/>
      <c r="I113" s="4"/>
      <c r="J113" s="4"/>
      <c r="K113" s="4"/>
      <c r="L113" s="4"/>
      <c r="M113" s="4"/>
      <c r="N113" s="4"/>
      <c r="O113" s="4"/>
      <c r="P113" s="4"/>
      <c r="Q113" s="4"/>
      <c r="R113" s="4"/>
      <c r="S113" s="4"/>
      <c r="T113" s="4"/>
      <c r="V113" s="4"/>
      <c r="W113" s="4"/>
      <c r="X113" s="4"/>
      <c r="Y113" s="4"/>
      <c r="Z113" s="4"/>
      <c r="AA113" s="4"/>
      <c r="AB113" s="4"/>
      <c r="AC113" s="4"/>
      <c r="AD113" s="4"/>
      <c r="AE113" s="4"/>
      <c r="AF113" s="4"/>
      <c r="AG113" s="4"/>
      <c r="AH113" s="4"/>
      <c r="AI113" s="4"/>
      <c r="AJ113" s="4"/>
      <c r="AK113" s="4"/>
      <c r="AL113" s="4"/>
      <c r="AM113" s="4"/>
      <c r="AN113" s="4"/>
      <c r="AO113" s="6"/>
      <c r="AP113" s="6"/>
      <c r="AQ113" s="6"/>
      <c r="AR113" s="6"/>
      <c r="AS113" s="6"/>
      <c r="AT113" s="6"/>
      <c r="AU113" s="6"/>
      <c r="AV113" s="4"/>
      <c r="AW113" s="7"/>
      <c r="AX113" s="9"/>
      <c r="AY113" s="9"/>
    </row>
    <row r="114" spans="1:51">
      <c r="A114" s="4"/>
      <c r="B114" s="4"/>
      <c r="C114" s="4"/>
      <c r="D114" s="4"/>
      <c r="E114" s="4"/>
      <c r="F114" s="4"/>
      <c r="G114" s="4"/>
      <c r="H114" s="4"/>
      <c r="I114" s="4"/>
      <c r="J114" s="4"/>
      <c r="K114" s="4"/>
      <c r="L114" s="4"/>
      <c r="M114" s="4"/>
      <c r="N114" s="4"/>
      <c r="O114" s="4"/>
      <c r="P114" s="4"/>
      <c r="Q114" s="4"/>
      <c r="R114" s="4"/>
      <c r="S114" s="4"/>
      <c r="T114" s="4"/>
      <c r="V114" s="4"/>
      <c r="W114" s="4"/>
      <c r="X114" s="4"/>
      <c r="Y114" s="4"/>
      <c r="Z114" s="4"/>
      <c r="AA114" s="4"/>
      <c r="AB114" s="4"/>
      <c r="AC114" s="4"/>
      <c r="AD114" s="4"/>
      <c r="AE114" s="4"/>
      <c r="AF114" s="4"/>
      <c r="AG114" s="4"/>
      <c r="AH114" s="4"/>
      <c r="AI114" s="4"/>
      <c r="AJ114" s="4"/>
      <c r="AK114" s="4"/>
      <c r="AL114" s="4"/>
      <c r="AM114" s="4"/>
      <c r="AN114" s="4"/>
      <c r="AO114" s="6"/>
      <c r="AP114" s="6"/>
      <c r="AQ114" s="6"/>
      <c r="AR114" s="6"/>
      <c r="AS114" s="6"/>
      <c r="AT114" s="6"/>
      <c r="AU114" s="6"/>
      <c r="AV114" s="4"/>
      <c r="AW114" s="7"/>
      <c r="AX114" s="9"/>
      <c r="AY114" s="9"/>
    </row>
    <row r="115" spans="1:51">
      <c r="A115" s="4"/>
      <c r="B115" s="4"/>
      <c r="C115" s="4"/>
      <c r="D115" s="4"/>
      <c r="E115" s="4"/>
      <c r="F115" s="4"/>
      <c r="G115" s="4"/>
      <c r="H115" s="4"/>
      <c r="I115" s="4"/>
      <c r="J115" s="4"/>
      <c r="K115" s="4"/>
      <c r="L115" s="4"/>
      <c r="M115" s="4"/>
      <c r="N115" s="4"/>
      <c r="O115" s="4"/>
      <c r="P115" s="4"/>
      <c r="Q115" s="4"/>
      <c r="R115" s="4"/>
      <c r="S115" s="4"/>
      <c r="T115" s="4"/>
      <c r="V115" s="4"/>
      <c r="W115" s="4"/>
      <c r="X115" s="4"/>
      <c r="Y115" s="4"/>
      <c r="Z115" s="4"/>
      <c r="AA115" s="4"/>
      <c r="AB115" s="4"/>
      <c r="AC115" s="4"/>
      <c r="AD115" s="4"/>
      <c r="AE115" s="4"/>
      <c r="AF115" s="4"/>
      <c r="AG115" s="4"/>
      <c r="AH115" s="4"/>
      <c r="AI115" s="4"/>
      <c r="AJ115" s="4"/>
      <c r="AK115" s="4"/>
      <c r="AL115" s="4"/>
      <c r="AM115" s="4"/>
      <c r="AN115" s="4"/>
      <c r="AO115" s="6"/>
      <c r="AP115" s="6"/>
      <c r="AQ115" s="6"/>
      <c r="AR115" s="6"/>
      <c r="AS115" s="6"/>
      <c r="AT115" s="6"/>
      <c r="AU115" s="6"/>
      <c r="AV115" s="4"/>
      <c r="AW115" s="7"/>
      <c r="AX115" s="9"/>
      <c r="AY115" s="9"/>
    </row>
    <row r="116" spans="1:51">
      <c r="A116" s="4"/>
      <c r="B116" s="4"/>
      <c r="C116" s="4"/>
      <c r="D116" s="4"/>
      <c r="E116" s="4"/>
      <c r="F116" s="4"/>
      <c r="G116" s="4"/>
      <c r="H116" s="4"/>
      <c r="I116" s="4"/>
      <c r="J116" s="4"/>
      <c r="K116" s="4"/>
      <c r="L116" s="4"/>
      <c r="M116" s="4"/>
      <c r="N116" s="4"/>
      <c r="O116" s="4"/>
      <c r="P116" s="4"/>
      <c r="Q116" s="4"/>
      <c r="R116" s="4"/>
      <c r="S116" s="4"/>
      <c r="T116" s="4"/>
      <c r="V116" s="4"/>
      <c r="W116" s="4"/>
      <c r="X116" s="4"/>
      <c r="Y116" s="4"/>
      <c r="Z116" s="4"/>
      <c r="AA116" s="4"/>
      <c r="AB116" s="4"/>
      <c r="AC116" s="4"/>
      <c r="AD116" s="4"/>
      <c r="AE116" s="4"/>
      <c r="AF116" s="4"/>
      <c r="AG116" s="4"/>
      <c r="AH116" s="4"/>
      <c r="AI116" s="4"/>
      <c r="AJ116" s="4"/>
      <c r="AK116" s="4"/>
      <c r="AL116" s="4"/>
      <c r="AM116" s="4"/>
      <c r="AN116" s="4"/>
      <c r="AO116" s="6"/>
      <c r="AP116" s="6"/>
      <c r="AQ116" s="6"/>
      <c r="AR116" s="6"/>
      <c r="AS116" s="6"/>
      <c r="AT116" s="6"/>
      <c r="AU116" s="6"/>
      <c r="AV116" s="4"/>
      <c r="AW116" s="7"/>
      <c r="AX116" s="9"/>
      <c r="AY116" s="9"/>
    </row>
    <row r="117" spans="1:51">
      <c r="A117" s="4"/>
      <c r="B117" s="4"/>
      <c r="C117" s="4"/>
      <c r="D117" s="4"/>
      <c r="E117" s="4"/>
      <c r="F117" s="4"/>
      <c r="G117" s="4"/>
      <c r="H117" s="4"/>
      <c r="I117" s="4"/>
      <c r="J117" s="4"/>
      <c r="K117" s="4"/>
      <c r="L117" s="4"/>
      <c r="M117" s="4"/>
      <c r="N117" s="4"/>
      <c r="O117" s="4"/>
      <c r="P117" s="4"/>
      <c r="Q117" s="4"/>
      <c r="R117" s="4"/>
      <c r="S117" s="4"/>
      <c r="T117" s="4"/>
      <c r="V117" s="4"/>
      <c r="W117" s="4"/>
      <c r="X117" s="4"/>
      <c r="Y117" s="4"/>
      <c r="Z117" s="4"/>
      <c r="AA117" s="4"/>
      <c r="AB117" s="4"/>
      <c r="AC117" s="4"/>
      <c r="AD117" s="4"/>
      <c r="AE117" s="4"/>
      <c r="AF117" s="4"/>
      <c r="AG117" s="4"/>
      <c r="AH117" s="4"/>
      <c r="AI117" s="4"/>
      <c r="AJ117" s="4"/>
      <c r="AK117" s="4"/>
      <c r="AL117" s="4"/>
      <c r="AM117" s="4"/>
      <c r="AN117" s="4"/>
      <c r="AO117" s="6"/>
      <c r="AP117" s="6"/>
      <c r="AQ117" s="6"/>
      <c r="AR117" s="6"/>
      <c r="AS117" s="6"/>
      <c r="AT117" s="6"/>
      <c r="AU117" s="6"/>
      <c r="AV117" s="4"/>
      <c r="AW117" s="7"/>
      <c r="AX117" s="9"/>
      <c r="AY117" s="9"/>
    </row>
    <row r="118" spans="1:51">
      <c r="A118" s="4"/>
      <c r="B118" s="4"/>
      <c r="C118" s="4"/>
      <c r="D118" s="4"/>
      <c r="E118" s="4"/>
      <c r="F118" s="4"/>
      <c r="G118" s="4"/>
      <c r="H118" s="4"/>
      <c r="I118" s="4"/>
      <c r="J118" s="4"/>
      <c r="K118" s="4"/>
      <c r="L118" s="4"/>
      <c r="M118" s="4"/>
      <c r="N118" s="4"/>
      <c r="O118" s="4"/>
      <c r="P118" s="4"/>
      <c r="Q118" s="4"/>
      <c r="R118" s="4"/>
      <c r="S118" s="4"/>
      <c r="T118" s="4"/>
      <c r="V118" s="4"/>
      <c r="W118" s="4"/>
      <c r="X118" s="4"/>
      <c r="Y118" s="4"/>
      <c r="Z118" s="4"/>
      <c r="AA118" s="4"/>
      <c r="AB118" s="4"/>
      <c r="AC118" s="4"/>
      <c r="AD118" s="4"/>
      <c r="AE118" s="4"/>
      <c r="AF118" s="4"/>
      <c r="AG118" s="4"/>
      <c r="AH118" s="4"/>
      <c r="AI118" s="4"/>
      <c r="AJ118" s="4"/>
      <c r="AK118" s="4"/>
      <c r="AL118" s="4"/>
      <c r="AM118" s="4"/>
      <c r="AN118" s="4"/>
      <c r="AO118" s="6"/>
      <c r="AP118" s="6"/>
      <c r="AQ118" s="6"/>
      <c r="AR118" s="6"/>
      <c r="AS118" s="6"/>
      <c r="AT118" s="6"/>
      <c r="AU118" s="6"/>
      <c r="AV118" s="4"/>
      <c r="AW118" s="7"/>
      <c r="AX118" s="9"/>
      <c r="AY118" s="9"/>
    </row>
    <row r="119" spans="1:51">
      <c r="A119" s="4"/>
      <c r="B119" s="4"/>
      <c r="C119" s="4"/>
      <c r="D119" s="4"/>
      <c r="E119" s="4"/>
      <c r="F119" s="4"/>
      <c r="G119" s="4"/>
      <c r="H119" s="4"/>
      <c r="I119" s="4"/>
      <c r="J119" s="4"/>
      <c r="K119" s="4"/>
      <c r="L119" s="4"/>
      <c r="M119" s="4"/>
      <c r="N119" s="4"/>
      <c r="O119" s="4"/>
      <c r="P119" s="4"/>
      <c r="Q119" s="4"/>
      <c r="R119" s="4"/>
      <c r="S119" s="4"/>
      <c r="T119" s="4"/>
      <c r="V119" s="4"/>
      <c r="W119" s="4"/>
      <c r="X119" s="4"/>
      <c r="Y119" s="4"/>
      <c r="Z119" s="4"/>
      <c r="AA119" s="4"/>
      <c r="AB119" s="4"/>
      <c r="AC119" s="4"/>
      <c r="AD119" s="4"/>
      <c r="AE119" s="4"/>
      <c r="AF119" s="4"/>
      <c r="AG119" s="4"/>
      <c r="AH119" s="4"/>
      <c r="AI119" s="4"/>
      <c r="AJ119" s="4"/>
      <c r="AK119" s="4"/>
      <c r="AL119" s="4"/>
      <c r="AM119" s="4"/>
      <c r="AN119" s="4"/>
      <c r="AO119" s="6"/>
      <c r="AP119" s="6"/>
      <c r="AQ119" s="6"/>
      <c r="AR119" s="6"/>
      <c r="AS119" s="6"/>
      <c r="AT119" s="6"/>
      <c r="AU119" s="6"/>
      <c r="AV119" s="4"/>
      <c r="AW119" s="7"/>
      <c r="AX119" s="9"/>
      <c r="AY119" s="9"/>
    </row>
    <row r="120" spans="1:51">
      <c r="A120" s="4"/>
      <c r="B120" s="4"/>
      <c r="C120" s="4"/>
      <c r="D120" s="4"/>
      <c r="E120" s="4"/>
      <c r="F120" s="4"/>
      <c r="G120" s="4"/>
      <c r="H120" s="4"/>
      <c r="I120" s="4"/>
      <c r="J120" s="4"/>
      <c r="K120" s="4"/>
      <c r="L120" s="4"/>
      <c r="M120" s="4"/>
      <c r="N120" s="4"/>
      <c r="O120" s="4"/>
      <c r="P120" s="4"/>
      <c r="Q120" s="4"/>
      <c r="R120" s="4"/>
      <c r="S120" s="4"/>
      <c r="T120" s="4"/>
      <c r="V120" s="4"/>
      <c r="W120" s="4"/>
      <c r="X120" s="4"/>
      <c r="Y120" s="4"/>
      <c r="Z120" s="4"/>
      <c r="AA120" s="4"/>
      <c r="AB120" s="4"/>
      <c r="AC120" s="4"/>
      <c r="AD120" s="4"/>
      <c r="AE120" s="4"/>
      <c r="AF120" s="4"/>
      <c r="AG120" s="4"/>
      <c r="AH120" s="4"/>
      <c r="AI120" s="4"/>
      <c r="AJ120" s="4"/>
      <c r="AK120" s="4"/>
      <c r="AL120" s="4"/>
      <c r="AM120" s="4"/>
      <c r="AN120" s="4"/>
      <c r="AO120" s="6"/>
      <c r="AP120" s="6"/>
      <c r="AQ120" s="6"/>
      <c r="AR120" s="6"/>
      <c r="AS120" s="6"/>
      <c r="AT120" s="6"/>
      <c r="AU120" s="6"/>
      <c r="AV120" s="4"/>
      <c r="AW120" s="7"/>
      <c r="AX120" s="9"/>
      <c r="AY120" s="9"/>
    </row>
    <row r="121" spans="1:51">
      <c r="A121" s="4"/>
      <c r="B121" s="4"/>
      <c r="C121" s="4"/>
      <c r="D121" s="4"/>
      <c r="E121" s="4"/>
      <c r="F121" s="4"/>
      <c r="G121" s="4"/>
      <c r="H121" s="4"/>
      <c r="I121" s="4"/>
      <c r="J121" s="4"/>
      <c r="K121" s="4"/>
      <c r="L121" s="4"/>
      <c r="M121" s="4"/>
      <c r="N121" s="4"/>
      <c r="O121" s="4"/>
      <c r="P121" s="4"/>
      <c r="Q121" s="4"/>
      <c r="R121" s="4"/>
      <c r="S121" s="4"/>
      <c r="T121" s="4"/>
      <c r="V121" s="4"/>
      <c r="W121" s="4"/>
      <c r="X121" s="4"/>
      <c r="Y121" s="4"/>
      <c r="Z121" s="4"/>
      <c r="AA121" s="4"/>
      <c r="AB121" s="4"/>
      <c r="AC121" s="4"/>
      <c r="AD121" s="4"/>
      <c r="AE121" s="4"/>
      <c r="AF121" s="4"/>
      <c r="AG121" s="4"/>
      <c r="AH121" s="4"/>
      <c r="AI121" s="4"/>
      <c r="AJ121" s="4"/>
      <c r="AK121" s="4"/>
      <c r="AL121" s="4"/>
      <c r="AM121" s="4"/>
      <c r="AN121" s="4"/>
      <c r="AO121" s="6"/>
      <c r="AP121" s="6"/>
      <c r="AQ121" s="6"/>
      <c r="AR121" s="6"/>
      <c r="AS121" s="6"/>
      <c r="AT121" s="6"/>
      <c r="AU121" s="6"/>
      <c r="AV121" s="4"/>
      <c r="AW121" s="7"/>
      <c r="AX121" s="9"/>
      <c r="AY121" s="9"/>
    </row>
    <row r="122" spans="1:51">
      <c r="A122" s="4"/>
      <c r="B122" s="4"/>
      <c r="C122" s="4"/>
      <c r="D122" s="4"/>
      <c r="E122" s="4"/>
      <c r="F122" s="4"/>
      <c r="G122" s="4"/>
      <c r="H122" s="4"/>
      <c r="I122" s="4"/>
      <c r="J122" s="4"/>
      <c r="K122" s="4"/>
      <c r="L122" s="4"/>
      <c r="M122" s="4"/>
      <c r="N122" s="4"/>
      <c r="O122" s="4"/>
      <c r="P122" s="4"/>
      <c r="Q122" s="4"/>
      <c r="R122" s="4"/>
      <c r="S122" s="4"/>
      <c r="T122" s="4"/>
      <c r="V122" s="4"/>
      <c r="W122" s="4"/>
      <c r="X122" s="4"/>
      <c r="Y122" s="4"/>
      <c r="Z122" s="4"/>
      <c r="AA122" s="4"/>
      <c r="AB122" s="4"/>
      <c r="AC122" s="4"/>
      <c r="AD122" s="4"/>
      <c r="AE122" s="4"/>
      <c r="AF122" s="4"/>
      <c r="AG122" s="4"/>
      <c r="AH122" s="4"/>
      <c r="AI122" s="4"/>
      <c r="AJ122" s="4"/>
      <c r="AK122" s="4"/>
      <c r="AL122" s="4"/>
      <c r="AM122" s="4"/>
      <c r="AN122" s="4"/>
      <c r="AO122" s="6"/>
      <c r="AP122" s="6"/>
      <c r="AQ122" s="6"/>
      <c r="AR122" s="6"/>
      <c r="AS122" s="6"/>
      <c r="AT122" s="6"/>
      <c r="AU122" s="6"/>
      <c r="AV122" s="4"/>
      <c r="AW122" s="7"/>
      <c r="AX122" s="9"/>
      <c r="AY122" s="9"/>
    </row>
    <row r="123" spans="1:51">
      <c r="A123" s="4"/>
      <c r="B123" s="4"/>
      <c r="C123" s="4"/>
      <c r="D123" s="4"/>
      <c r="E123" s="4"/>
      <c r="F123" s="4"/>
      <c r="G123" s="4"/>
      <c r="H123" s="4"/>
      <c r="I123" s="4"/>
      <c r="J123" s="4"/>
      <c r="K123" s="4"/>
      <c r="L123" s="4"/>
      <c r="M123" s="4"/>
      <c r="N123" s="4"/>
      <c r="O123" s="4"/>
      <c r="P123" s="4"/>
      <c r="Q123" s="4"/>
      <c r="R123" s="4"/>
      <c r="S123" s="4"/>
      <c r="T123" s="4"/>
      <c r="V123" s="4"/>
      <c r="W123" s="4"/>
      <c r="X123" s="4"/>
      <c r="Y123" s="4"/>
      <c r="Z123" s="4"/>
      <c r="AA123" s="4"/>
      <c r="AB123" s="4"/>
      <c r="AC123" s="4"/>
      <c r="AD123" s="4"/>
      <c r="AE123" s="4"/>
      <c r="AF123" s="4"/>
      <c r="AG123" s="4"/>
      <c r="AH123" s="4"/>
      <c r="AI123" s="4"/>
      <c r="AJ123" s="4"/>
      <c r="AK123" s="4"/>
      <c r="AL123" s="4"/>
      <c r="AM123" s="4"/>
      <c r="AN123" s="4"/>
      <c r="AO123" s="6"/>
      <c r="AP123" s="6"/>
      <c r="AQ123" s="6"/>
      <c r="AR123" s="6"/>
      <c r="AS123" s="6"/>
      <c r="AT123" s="6"/>
      <c r="AU123" s="6"/>
      <c r="AV123" s="4"/>
      <c r="AW123" s="7"/>
      <c r="AX123" s="9"/>
      <c r="AY123" s="9"/>
    </row>
    <row r="124" spans="1:51">
      <c r="A124" s="4"/>
      <c r="B124" s="4"/>
      <c r="C124" s="4"/>
      <c r="D124" s="4"/>
      <c r="E124" s="4"/>
      <c r="F124" s="4"/>
      <c r="G124" s="4"/>
      <c r="H124" s="4"/>
      <c r="I124" s="4"/>
      <c r="J124" s="4"/>
      <c r="K124" s="4"/>
      <c r="L124" s="4"/>
      <c r="M124" s="4"/>
      <c r="N124" s="4"/>
      <c r="O124" s="4"/>
      <c r="P124" s="4"/>
      <c r="Q124" s="4"/>
      <c r="R124" s="4"/>
      <c r="S124" s="4"/>
      <c r="T124" s="4"/>
      <c r="V124" s="4"/>
      <c r="W124" s="4"/>
      <c r="X124" s="4"/>
      <c r="Y124" s="4"/>
      <c r="Z124" s="4"/>
      <c r="AA124" s="4"/>
      <c r="AB124" s="4"/>
      <c r="AC124" s="4"/>
      <c r="AD124" s="4"/>
      <c r="AE124" s="4"/>
      <c r="AF124" s="4"/>
      <c r="AG124" s="4"/>
      <c r="AH124" s="4"/>
      <c r="AI124" s="4"/>
      <c r="AJ124" s="4"/>
      <c r="AK124" s="4"/>
      <c r="AL124" s="4"/>
      <c r="AM124" s="4"/>
      <c r="AN124" s="4"/>
      <c r="AO124" s="6"/>
      <c r="AP124" s="6"/>
      <c r="AQ124" s="6"/>
      <c r="AR124" s="6"/>
      <c r="AS124" s="6"/>
      <c r="AT124" s="6"/>
      <c r="AU124" s="6"/>
      <c r="AV124" s="4"/>
      <c r="AW124" s="7"/>
      <c r="AX124" s="9"/>
      <c r="AY124" s="9"/>
    </row>
    <row r="125" spans="1:51">
      <c r="A125" s="4"/>
      <c r="B125" s="4"/>
      <c r="C125" s="4"/>
      <c r="D125" s="4"/>
      <c r="E125" s="4"/>
      <c r="F125" s="4"/>
      <c r="G125" s="4"/>
      <c r="H125" s="4"/>
      <c r="I125" s="4"/>
      <c r="J125" s="4"/>
      <c r="K125" s="4"/>
      <c r="L125" s="4"/>
      <c r="M125" s="4"/>
      <c r="N125" s="4"/>
      <c r="O125" s="4"/>
      <c r="P125" s="4"/>
      <c r="Q125" s="4"/>
      <c r="R125" s="4"/>
      <c r="S125" s="4"/>
      <c r="T125" s="4"/>
      <c r="V125" s="4"/>
      <c r="W125" s="4"/>
      <c r="X125" s="4"/>
      <c r="Y125" s="4"/>
      <c r="Z125" s="4"/>
      <c r="AA125" s="4"/>
      <c r="AB125" s="4"/>
      <c r="AC125" s="4"/>
      <c r="AD125" s="4"/>
      <c r="AE125" s="4"/>
      <c r="AF125" s="4"/>
      <c r="AG125" s="4"/>
      <c r="AH125" s="4"/>
      <c r="AI125" s="4"/>
      <c r="AJ125" s="4"/>
      <c r="AK125" s="4"/>
      <c r="AL125" s="4"/>
      <c r="AM125" s="4"/>
      <c r="AN125" s="4"/>
      <c r="AO125" s="6"/>
      <c r="AP125" s="6"/>
      <c r="AQ125" s="6"/>
      <c r="AR125" s="6"/>
      <c r="AS125" s="6"/>
      <c r="AT125" s="6"/>
      <c r="AU125" s="6"/>
      <c r="AV125" s="4"/>
      <c r="AW125" s="7"/>
      <c r="AX125" s="9"/>
      <c r="AY125" s="9"/>
    </row>
    <row r="126" spans="1:51">
      <c r="A126" s="4"/>
      <c r="B126" s="4"/>
      <c r="C126" s="4"/>
      <c r="D126" s="4"/>
      <c r="E126" s="4"/>
      <c r="F126" s="4"/>
      <c r="G126" s="4"/>
      <c r="H126" s="4"/>
      <c r="I126" s="4"/>
      <c r="J126" s="4"/>
      <c r="K126" s="4"/>
      <c r="L126" s="4"/>
      <c r="M126" s="4"/>
      <c r="N126" s="4"/>
      <c r="O126" s="4"/>
      <c r="P126" s="4"/>
      <c r="Q126" s="4"/>
      <c r="R126" s="4"/>
      <c r="S126" s="4"/>
      <c r="T126" s="4"/>
      <c r="V126" s="4"/>
      <c r="W126" s="4"/>
      <c r="X126" s="4"/>
      <c r="Y126" s="4"/>
      <c r="Z126" s="4"/>
      <c r="AA126" s="4"/>
      <c r="AB126" s="4"/>
      <c r="AC126" s="4"/>
      <c r="AD126" s="4"/>
      <c r="AE126" s="4"/>
      <c r="AF126" s="4"/>
      <c r="AG126" s="4"/>
      <c r="AH126" s="4"/>
      <c r="AI126" s="4"/>
      <c r="AJ126" s="4"/>
      <c r="AK126" s="4"/>
      <c r="AL126" s="4"/>
      <c r="AM126" s="4"/>
      <c r="AN126" s="4"/>
      <c r="AO126" s="6"/>
      <c r="AP126" s="6"/>
      <c r="AQ126" s="6"/>
      <c r="AR126" s="6"/>
      <c r="AS126" s="6"/>
      <c r="AT126" s="6"/>
      <c r="AU126" s="6"/>
      <c r="AV126" s="4"/>
      <c r="AW126" s="7"/>
      <c r="AX126" s="9"/>
      <c r="AY126" s="9"/>
    </row>
    <row r="127" spans="1:51">
      <c r="B127" s="4"/>
      <c r="C127" s="4"/>
      <c r="D127" s="4"/>
      <c r="E127" s="4"/>
      <c r="F127" s="4"/>
      <c r="G127" s="4"/>
      <c r="H127" s="4"/>
      <c r="I127" s="4"/>
      <c r="J127" s="4"/>
      <c r="K127" s="4"/>
      <c r="L127" s="4"/>
      <c r="M127" s="4"/>
      <c r="N127" s="4"/>
      <c r="O127" s="4"/>
      <c r="P127" s="4"/>
      <c r="Q127" s="4"/>
      <c r="R127" s="4"/>
      <c r="S127" s="4"/>
      <c r="T127" s="4"/>
      <c r="V127" s="4"/>
      <c r="W127" s="4"/>
      <c r="X127" s="4"/>
      <c r="Y127" s="4"/>
      <c r="Z127" s="4"/>
      <c r="AA127" s="4"/>
      <c r="AB127" s="4"/>
      <c r="AC127" s="4"/>
      <c r="AD127" s="4"/>
      <c r="AE127" s="4"/>
      <c r="AF127" s="4"/>
      <c r="AG127" s="4"/>
      <c r="AH127" s="4"/>
      <c r="AI127" s="4"/>
      <c r="AJ127" s="4"/>
      <c r="AK127" s="4"/>
      <c r="AL127" s="4"/>
      <c r="AM127" s="4"/>
      <c r="AN127" s="4"/>
    </row>
    <row r="128" spans="1:51">
      <c r="B128" s="4"/>
      <c r="C128" s="4"/>
      <c r="D128" s="4"/>
      <c r="E128" s="4"/>
      <c r="F128" s="4"/>
      <c r="G128" s="4"/>
      <c r="H128" s="4"/>
      <c r="I128" s="4"/>
      <c r="J128" s="4"/>
      <c r="K128" s="4"/>
      <c r="L128" s="4"/>
      <c r="M128" s="4"/>
      <c r="N128" s="4"/>
      <c r="O128" s="4"/>
      <c r="P128" s="4"/>
      <c r="Q128" s="4"/>
      <c r="R128" s="4"/>
      <c r="S128" s="4"/>
      <c r="T128" s="4"/>
      <c r="V128" s="4"/>
      <c r="W128" s="4"/>
      <c r="X128" s="4"/>
      <c r="Y128" s="4"/>
      <c r="Z128" s="4"/>
      <c r="AA128" s="4"/>
      <c r="AB128" s="4"/>
      <c r="AC128" s="4"/>
      <c r="AD128" s="4"/>
      <c r="AE128" s="4"/>
      <c r="AF128" s="4"/>
      <c r="AG128" s="4"/>
      <c r="AH128" s="4"/>
      <c r="AI128" s="4"/>
      <c r="AJ128" s="4"/>
      <c r="AK128" s="4"/>
      <c r="AL128" s="4"/>
      <c r="AM128" s="4"/>
      <c r="AN128" s="4"/>
    </row>
    <row r="129" spans="2:40">
      <c r="B129" s="4"/>
      <c r="C129" s="4"/>
      <c r="D129" s="4"/>
      <c r="E129" s="4"/>
      <c r="F129" s="4"/>
      <c r="G129" s="4"/>
      <c r="H129" s="4"/>
      <c r="I129" s="4"/>
      <c r="J129" s="4"/>
      <c r="K129" s="4"/>
      <c r="L129" s="4"/>
      <c r="M129" s="4"/>
      <c r="N129" s="4"/>
      <c r="O129" s="4"/>
      <c r="P129" s="4"/>
      <c r="Q129" s="4"/>
      <c r="R129" s="4"/>
      <c r="S129" s="4"/>
      <c r="T129" s="4"/>
      <c r="V129" s="4"/>
      <c r="W129" s="4"/>
      <c r="X129" s="4"/>
      <c r="Y129" s="4"/>
      <c r="Z129" s="4"/>
      <c r="AA129" s="4"/>
      <c r="AB129" s="4"/>
      <c r="AC129" s="4"/>
      <c r="AD129" s="4"/>
      <c r="AE129" s="4"/>
      <c r="AF129" s="4"/>
      <c r="AG129" s="4"/>
      <c r="AH129" s="4"/>
      <c r="AI129" s="4"/>
      <c r="AJ129" s="4"/>
      <c r="AK129" s="4"/>
      <c r="AL129" s="4"/>
      <c r="AM129" s="4"/>
      <c r="AN129" s="4"/>
    </row>
    <row r="130" spans="2:40">
      <c r="B130" s="4"/>
      <c r="C130" s="4"/>
      <c r="D130" s="4"/>
      <c r="E130" s="4"/>
      <c r="F130" s="4"/>
      <c r="G130" s="4"/>
      <c r="H130" s="4"/>
      <c r="I130" s="4"/>
      <c r="J130" s="4"/>
      <c r="K130" s="4"/>
      <c r="L130" s="4"/>
      <c r="M130" s="4"/>
      <c r="N130" s="4"/>
      <c r="O130" s="4"/>
      <c r="P130" s="4"/>
      <c r="Q130" s="4"/>
      <c r="R130" s="4"/>
      <c r="S130" s="4"/>
      <c r="T130" s="4"/>
      <c r="V130" s="4"/>
      <c r="W130" s="4"/>
      <c r="X130" s="4"/>
      <c r="Y130" s="4"/>
      <c r="Z130" s="4"/>
      <c r="AA130" s="4"/>
      <c r="AB130" s="4"/>
      <c r="AC130" s="4"/>
      <c r="AD130" s="4"/>
      <c r="AE130" s="4"/>
      <c r="AF130" s="4"/>
      <c r="AG130" s="4"/>
      <c r="AH130" s="4"/>
      <c r="AI130" s="4"/>
      <c r="AJ130" s="4"/>
      <c r="AK130" s="4"/>
      <c r="AL130" s="4"/>
      <c r="AM130" s="4"/>
      <c r="AN130" s="4"/>
    </row>
    <row r="131" spans="2:40">
      <c r="B131" s="4"/>
      <c r="C131" s="4"/>
      <c r="D131" s="4"/>
      <c r="E131" s="4"/>
      <c r="F131" s="4"/>
      <c r="G131" s="4"/>
      <c r="H131" s="4"/>
      <c r="I131" s="4"/>
      <c r="J131" s="4"/>
      <c r="K131" s="4"/>
      <c r="L131" s="4"/>
      <c r="M131" s="4"/>
      <c r="N131" s="4"/>
      <c r="O131" s="4"/>
      <c r="P131" s="4"/>
      <c r="Q131" s="4"/>
      <c r="R131" s="4"/>
      <c r="S131" s="4"/>
      <c r="T131" s="4"/>
      <c r="V131" s="4"/>
      <c r="W131" s="4"/>
      <c r="X131" s="4"/>
      <c r="Y131" s="4"/>
      <c r="Z131" s="4"/>
      <c r="AA131" s="4"/>
      <c r="AB131" s="4"/>
      <c r="AC131" s="4"/>
      <c r="AD131" s="4"/>
      <c r="AE131" s="4"/>
      <c r="AF131" s="4"/>
      <c r="AG131" s="4"/>
      <c r="AH131" s="4"/>
      <c r="AI131" s="4"/>
      <c r="AJ131" s="4"/>
      <c r="AK131" s="4"/>
      <c r="AL131" s="4"/>
      <c r="AM131" s="4"/>
      <c r="AN131" s="4"/>
    </row>
    <row r="132" spans="2:40">
      <c r="B132" s="4"/>
      <c r="C132" s="4"/>
      <c r="D132" s="4"/>
      <c r="E132" s="4"/>
      <c r="F132" s="4"/>
      <c r="G132" s="4"/>
      <c r="H132" s="4"/>
      <c r="I132" s="4"/>
      <c r="J132" s="4"/>
      <c r="K132" s="4"/>
      <c r="L132" s="4"/>
      <c r="M132" s="4"/>
      <c r="N132" s="4"/>
      <c r="O132" s="4"/>
      <c r="P132" s="4"/>
      <c r="Q132" s="4"/>
      <c r="R132" s="4"/>
      <c r="S132" s="4"/>
      <c r="T132" s="4"/>
      <c r="V132" s="4"/>
      <c r="W132" s="4"/>
      <c r="X132" s="4"/>
      <c r="Y132" s="4"/>
      <c r="Z132" s="4"/>
      <c r="AA132" s="4"/>
      <c r="AB132" s="4"/>
      <c r="AC132" s="4"/>
      <c r="AD132" s="4"/>
      <c r="AE132" s="4"/>
      <c r="AF132" s="4"/>
      <c r="AG132" s="4"/>
      <c r="AH132" s="4"/>
      <c r="AI132" s="4"/>
      <c r="AJ132" s="4"/>
      <c r="AK132" s="4"/>
      <c r="AL132" s="4"/>
      <c r="AM132" s="4"/>
      <c r="AN132" s="4"/>
    </row>
    <row r="133" spans="2:40">
      <c r="B133" s="4"/>
      <c r="C133" s="4"/>
      <c r="D133" s="4"/>
      <c r="E133" s="4"/>
      <c r="F133" s="4"/>
      <c r="G133" s="4"/>
      <c r="H133" s="4"/>
      <c r="I133" s="4"/>
      <c r="J133" s="4"/>
      <c r="K133" s="4"/>
      <c r="L133" s="4"/>
      <c r="M133" s="4"/>
      <c r="N133" s="4"/>
      <c r="O133" s="4"/>
      <c r="P133" s="4"/>
      <c r="Q133" s="4"/>
      <c r="R133" s="4"/>
      <c r="S133" s="4"/>
      <c r="T133" s="4"/>
      <c r="V133" s="4"/>
      <c r="W133" s="4"/>
      <c r="X133" s="4"/>
      <c r="Y133" s="4"/>
      <c r="Z133" s="4"/>
      <c r="AA133" s="4"/>
      <c r="AB133" s="4"/>
      <c r="AC133" s="4"/>
      <c r="AD133" s="4"/>
      <c r="AE133" s="4"/>
      <c r="AF133" s="4"/>
      <c r="AG133" s="4"/>
      <c r="AH133" s="4"/>
      <c r="AI133" s="4"/>
      <c r="AJ133" s="4"/>
      <c r="AK133" s="4"/>
      <c r="AL133" s="4"/>
      <c r="AM133" s="4"/>
      <c r="AN133" s="4"/>
    </row>
    <row r="134" spans="2:40">
      <c r="B134" s="4"/>
      <c r="C134" s="4"/>
      <c r="D134" s="4"/>
      <c r="E134" s="4"/>
      <c r="F134" s="4"/>
      <c r="G134" s="4"/>
      <c r="H134" s="4"/>
      <c r="I134" s="4"/>
      <c r="J134" s="4"/>
      <c r="K134" s="4"/>
      <c r="L134" s="4"/>
      <c r="M134" s="4"/>
      <c r="N134" s="4"/>
      <c r="O134" s="4"/>
      <c r="P134" s="4"/>
      <c r="Q134" s="4"/>
      <c r="R134" s="4"/>
      <c r="S134" s="4"/>
      <c r="T134" s="4"/>
      <c r="V134" s="4"/>
      <c r="W134" s="4"/>
      <c r="X134" s="4"/>
      <c r="Y134" s="4"/>
      <c r="Z134" s="4"/>
      <c r="AA134" s="4"/>
      <c r="AB134" s="4"/>
      <c r="AC134" s="4"/>
      <c r="AD134" s="4"/>
      <c r="AE134" s="4"/>
      <c r="AF134" s="4"/>
      <c r="AG134" s="4"/>
      <c r="AH134" s="4"/>
      <c r="AI134" s="4"/>
      <c r="AJ134" s="4"/>
      <c r="AK134" s="4"/>
      <c r="AL134" s="4"/>
      <c r="AM134" s="4"/>
      <c r="AN134" s="4"/>
    </row>
    <row r="135" spans="2:40">
      <c r="B135" s="4"/>
      <c r="C135" s="4"/>
      <c r="D135" s="4"/>
      <c r="E135" s="4"/>
      <c r="F135" s="4"/>
      <c r="G135" s="4"/>
      <c r="H135" s="4"/>
      <c r="I135" s="4"/>
      <c r="J135" s="4"/>
      <c r="K135" s="4"/>
      <c r="L135" s="4"/>
      <c r="M135" s="4"/>
      <c r="N135" s="4"/>
      <c r="O135" s="4"/>
      <c r="P135" s="4"/>
      <c r="Q135" s="4"/>
      <c r="R135" s="4"/>
      <c r="S135" s="4"/>
      <c r="T135" s="4"/>
      <c r="V135" s="4"/>
      <c r="W135" s="4"/>
      <c r="X135" s="4"/>
      <c r="Y135" s="4"/>
      <c r="Z135" s="4"/>
      <c r="AA135" s="4"/>
      <c r="AB135" s="4"/>
      <c r="AC135" s="4"/>
      <c r="AD135" s="4"/>
      <c r="AE135" s="4"/>
      <c r="AF135" s="4"/>
      <c r="AG135" s="4"/>
      <c r="AH135" s="4"/>
      <c r="AI135" s="4"/>
      <c r="AJ135" s="4"/>
      <c r="AK135" s="4"/>
      <c r="AL135" s="4"/>
      <c r="AM135" s="4"/>
      <c r="AN135" s="4"/>
    </row>
    <row r="136" spans="2:40">
      <c r="B136" s="4"/>
      <c r="C136" s="4"/>
      <c r="D136" s="4"/>
      <c r="E136" s="4"/>
      <c r="F136" s="4"/>
      <c r="G136" s="4"/>
      <c r="H136" s="4"/>
      <c r="I136" s="4"/>
      <c r="J136" s="4"/>
      <c r="K136" s="4"/>
      <c r="L136" s="4"/>
      <c r="M136" s="4"/>
      <c r="N136" s="4"/>
      <c r="O136" s="4"/>
      <c r="P136" s="4"/>
      <c r="Q136" s="4"/>
      <c r="R136" s="4"/>
      <c r="S136" s="4"/>
      <c r="T136" s="4"/>
      <c r="V136" s="4"/>
      <c r="W136" s="4"/>
      <c r="X136" s="4"/>
      <c r="Y136" s="4"/>
      <c r="Z136" s="4"/>
      <c r="AA136" s="4"/>
      <c r="AB136" s="4"/>
      <c r="AC136" s="4"/>
      <c r="AD136" s="4"/>
      <c r="AE136" s="4"/>
      <c r="AF136" s="4"/>
      <c r="AG136" s="4"/>
      <c r="AH136" s="4"/>
      <c r="AI136" s="4"/>
      <c r="AJ136" s="4"/>
      <c r="AK136" s="4"/>
      <c r="AL136" s="4"/>
      <c r="AM136" s="4"/>
      <c r="AN136" s="4"/>
    </row>
    <row r="137" spans="2:40">
      <c r="B137" s="4"/>
      <c r="C137" s="4"/>
      <c r="D137" s="4"/>
      <c r="E137" s="4"/>
      <c r="F137" s="4"/>
      <c r="G137" s="4"/>
      <c r="H137" s="4"/>
      <c r="I137" s="4"/>
      <c r="J137" s="4"/>
      <c r="K137" s="4"/>
      <c r="L137" s="4"/>
      <c r="M137" s="4"/>
      <c r="N137" s="4"/>
      <c r="O137" s="4"/>
      <c r="P137" s="4"/>
      <c r="Q137" s="4"/>
      <c r="R137" s="4"/>
      <c r="S137" s="4"/>
      <c r="T137" s="4"/>
      <c r="V137" s="4"/>
      <c r="W137" s="4"/>
      <c r="X137" s="4"/>
      <c r="Y137" s="4"/>
      <c r="Z137" s="4"/>
      <c r="AA137" s="4"/>
      <c r="AB137" s="4"/>
      <c r="AC137" s="4"/>
      <c r="AD137" s="4"/>
      <c r="AE137" s="4"/>
      <c r="AF137" s="4"/>
      <c r="AG137" s="4"/>
      <c r="AH137" s="4"/>
      <c r="AI137" s="4"/>
      <c r="AJ137" s="4"/>
      <c r="AK137" s="4"/>
      <c r="AL137" s="4"/>
      <c r="AM137" s="4"/>
      <c r="AN137" s="4"/>
    </row>
    <row r="138" spans="2:40">
      <c r="B138" s="4"/>
      <c r="C138" s="4"/>
      <c r="D138" s="4"/>
      <c r="E138" s="4"/>
      <c r="F138" s="4"/>
      <c r="G138" s="4"/>
      <c r="H138" s="4"/>
      <c r="I138" s="4"/>
      <c r="J138" s="4"/>
      <c r="K138" s="4"/>
      <c r="L138" s="4"/>
      <c r="M138" s="4"/>
      <c r="N138" s="4"/>
      <c r="O138" s="4"/>
      <c r="P138" s="4"/>
      <c r="Q138" s="4"/>
      <c r="R138" s="4"/>
      <c r="S138" s="4"/>
      <c r="T138" s="4"/>
    </row>
    <row r="139" spans="2:40">
      <c r="B139" s="4"/>
      <c r="C139" s="4"/>
      <c r="D139" s="4"/>
      <c r="E139" s="4"/>
      <c r="F139" s="4"/>
      <c r="G139" s="4"/>
      <c r="H139" s="4"/>
      <c r="I139" s="4"/>
      <c r="J139" s="4"/>
      <c r="K139" s="4"/>
      <c r="L139" s="4"/>
      <c r="M139" s="4"/>
      <c r="N139" s="4"/>
      <c r="O139" s="4"/>
      <c r="P139" s="4"/>
      <c r="Q139" s="4"/>
      <c r="R139" s="4"/>
      <c r="S139" s="4"/>
      <c r="T139" s="4"/>
    </row>
    <row r="140" spans="2:40">
      <c r="B140" s="4"/>
      <c r="C140" s="4"/>
      <c r="D140" s="4"/>
      <c r="E140" s="4"/>
      <c r="F140" s="4"/>
      <c r="G140" s="4"/>
      <c r="H140" s="4"/>
      <c r="I140" s="4"/>
      <c r="J140" s="4"/>
      <c r="K140" s="4"/>
      <c r="L140" s="4"/>
      <c r="M140" s="4"/>
      <c r="N140" s="4"/>
      <c r="O140" s="4"/>
      <c r="P140" s="4"/>
      <c r="Q140" s="4"/>
      <c r="R140" s="4"/>
      <c r="S140" s="4"/>
      <c r="T140" s="4"/>
    </row>
    <row r="141" spans="2:40">
      <c r="B141" s="4"/>
      <c r="C141" s="4"/>
      <c r="D141" s="4"/>
      <c r="E141" s="4"/>
      <c r="F141" s="4"/>
      <c r="G141" s="4"/>
      <c r="H141" s="4"/>
      <c r="I141" s="4"/>
      <c r="J141" s="4"/>
      <c r="K141" s="4"/>
      <c r="L141" s="4"/>
      <c r="M141" s="4"/>
      <c r="N141" s="4"/>
      <c r="O141" s="4"/>
      <c r="P141" s="4"/>
      <c r="Q141" s="4"/>
      <c r="R141" s="4"/>
      <c r="S141" s="4"/>
      <c r="T141" s="4"/>
    </row>
    <row r="142" spans="2:40">
      <c r="B142" s="4"/>
      <c r="C142" s="4"/>
      <c r="D142" s="4"/>
      <c r="E142" s="4"/>
      <c r="F142" s="4"/>
      <c r="G142" s="4"/>
      <c r="H142" s="4"/>
      <c r="I142" s="4"/>
      <c r="J142" s="4"/>
      <c r="K142" s="4"/>
      <c r="L142" s="4"/>
      <c r="M142" s="4"/>
      <c r="N142" s="4"/>
      <c r="O142" s="4"/>
      <c r="P142" s="4"/>
      <c r="Q142" s="4"/>
      <c r="R142" s="4"/>
      <c r="S142" s="4"/>
      <c r="T142" s="4"/>
    </row>
    <row r="143" spans="2:40">
      <c r="B143" s="4"/>
      <c r="C143" s="4"/>
      <c r="D143" s="4"/>
      <c r="E143" s="4"/>
      <c r="F143" s="4"/>
      <c r="G143" s="4"/>
      <c r="H143" s="4"/>
      <c r="I143" s="4"/>
      <c r="J143" s="4"/>
      <c r="K143" s="4"/>
      <c r="L143" s="4"/>
      <c r="M143" s="4"/>
      <c r="N143" s="4"/>
      <c r="O143" s="4"/>
      <c r="P143" s="4"/>
      <c r="Q143" s="4"/>
      <c r="R143" s="4"/>
      <c r="S143" s="4"/>
      <c r="T143" s="4"/>
    </row>
    <row r="144" spans="2:40">
      <c r="B144" s="4"/>
      <c r="C144" s="4"/>
      <c r="D144" s="4"/>
      <c r="E144" s="4"/>
      <c r="F144" s="4"/>
      <c r="G144" s="4"/>
      <c r="H144" s="4"/>
      <c r="I144" s="4"/>
      <c r="J144" s="4"/>
      <c r="K144" s="4"/>
      <c r="L144" s="4"/>
      <c r="M144" s="4"/>
      <c r="N144" s="4"/>
      <c r="O144" s="4"/>
      <c r="P144" s="4"/>
      <c r="Q144" s="4"/>
      <c r="R144" s="4"/>
      <c r="S144" s="4"/>
      <c r="T144" s="4"/>
    </row>
    <row r="145" spans="2:20">
      <c r="B145" s="4"/>
      <c r="C145" s="4"/>
      <c r="D145" s="4"/>
      <c r="E145" s="4"/>
      <c r="F145" s="4"/>
      <c r="G145" s="4"/>
      <c r="H145" s="4"/>
      <c r="I145" s="4"/>
      <c r="J145" s="4"/>
      <c r="K145" s="4"/>
      <c r="L145" s="4"/>
      <c r="M145" s="4"/>
      <c r="N145" s="4"/>
      <c r="O145" s="4"/>
      <c r="P145" s="4"/>
      <c r="Q145" s="4"/>
      <c r="R145" s="4"/>
      <c r="S145" s="4"/>
      <c r="T145" s="4"/>
    </row>
    <row r="146" spans="2:20">
      <c r="B146" s="4"/>
      <c r="C146" s="4"/>
      <c r="D146" s="4"/>
      <c r="E146" s="4"/>
      <c r="F146" s="4"/>
      <c r="G146" s="4"/>
      <c r="H146" s="4"/>
      <c r="I146" s="4"/>
      <c r="J146" s="4"/>
      <c r="K146" s="4"/>
      <c r="L146" s="4"/>
      <c r="M146" s="4"/>
      <c r="N146" s="4"/>
      <c r="O146" s="4"/>
      <c r="P146" s="4"/>
      <c r="Q146" s="4"/>
      <c r="R146" s="4"/>
      <c r="S146" s="4"/>
      <c r="T146" s="4"/>
    </row>
    <row r="147" spans="2:20">
      <c r="B147" s="4"/>
      <c r="C147" s="4"/>
      <c r="D147" s="4"/>
      <c r="E147" s="4"/>
      <c r="F147" s="4"/>
      <c r="G147" s="4"/>
      <c r="H147" s="4"/>
      <c r="I147" s="4"/>
      <c r="J147" s="4"/>
      <c r="K147" s="4"/>
      <c r="L147" s="4"/>
      <c r="M147" s="4"/>
      <c r="N147" s="4"/>
      <c r="O147" s="4"/>
      <c r="P147" s="4"/>
      <c r="Q147" s="4"/>
      <c r="R147" s="4"/>
      <c r="S147" s="4"/>
      <c r="T147" s="4"/>
    </row>
    <row r="148" spans="2:20">
      <c r="B148" s="4"/>
      <c r="C148" s="4"/>
      <c r="D148" s="4"/>
      <c r="E148" s="4"/>
      <c r="F148" s="4"/>
      <c r="G148" s="4"/>
      <c r="H148" s="4"/>
      <c r="I148" s="4"/>
      <c r="J148" s="4"/>
      <c r="K148" s="4"/>
      <c r="L148" s="4"/>
      <c r="M148" s="4"/>
      <c r="N148" s="4"/>
      <c r="O148" s="4"/>
      <c r="P148" s="4"/>
      <c r="Q148" s="4"/>
      <c r="R148" s="4"/>
      <c r="S148" s="4"/>
      <c r="T148" s="4"/>
    </row>
    <row r="149" spans="2:20">
      <c r="B149" s="4"/>
      <c r="C149" s="4"/>
      <c r="D149" s="4"/>
      <c r="E149" s="4"/>
      <c r="F149" s="4"/>
      <c r="G149" s="4"/>
      <c r="H149" s="4"/>
      <c r="I149" s="4"/>
      <c r="J149" s="4"/>
      <c r="K149" s="4"/>
      <c r="L149" s="4"/>
      <c r="M149" s="4"/>
      <c r="N149" s="4"/>
      <c r="O149" s="4"/>
      <c r="P149" s="4"/>
      <c r="Q149" s="4"/>
      <c r="R149" s="4"/>
      <c r="S149" s="4"/>
      <c r="T149" s="4"/>
    </row>
    <row r="150" spans="2:20">
      <c r="B150" s="4"/>
      <c r="C150" s="4"/>
      <c r="D150" s="4"/>
      <c r="E150" s="4"/>
      <c r="F150" s="4"/>
      <c r="G150" s="4"/>
      <c r="H150" s="4"/>
      <c r="I150" s="4"/>
      <c r="J150" s="4"/>
      <c r="K150" s="4"/>
      <c r="L150" s="4"/>
      <c r="M150" s="4"/>
      <c r="N150" s="4"/>
      <c r="O150" s="4"/>
      <c r="P150" s="4"/>
      <c r="Q150" s="4"/>
      <c r="R150" s="4"/>
      <c r="S150" s="4"/>
      <c r="T150" s="4"/>
    </row>
    <row r="151" spans="2:20">
      <c r="B151" s="4"/>
      <c r="C151" s="4"/>
      <c r="D151" s="4"/>
      <c r="E151" s="4"/>
      <c r="F151" s="4"/>
      <c r="G151" s="4"/>
      <c r="H151" s="4"/>
      <c r="I151" s="4"/>
      <c r="J151" s="4"/>
      <c r="K151" s="4"/>
      <c r="L151" s="4"/>
      <c r="M151" s="4"/>
      <c r="N151" s="4"/>
      <c r="O151" s="4"/>
      <c r="P151" s="4"/>
      <c r="Q151" s="4"/>
      <c r="R151" s="4"/>
      <c r="S151" s="4"/>
      <c r="T151" s="4"/>
    </row>
    <row r="152" spans="2:20">
      <c r="B152" s="4"/>
      <c r="C152" s="4"/>
      <c r="D152" s="4"/>
      <c r="E152" s="4"/>
      <c r="F152" s="4"/>
      <c r="G152" s="4"/>
      <c r="H152" s="4"/>
      <c r="I152" s="4"/>
      <c r="J152" s="4"/>
      <c r="K152" s="4"/>
      <c r="L152" s="4"/>
      <c r="M152" s="4"/>
      <c r="N152" s="4"/>
      <c r="O152" s="4"/>
      <c r="P152" s="4"/>
      <c r="Q152" s="4"/>
      <c r="R152" s="4"/>
      <c r="S152" s="4"/>
      <c r="T152" s="4"/>
    </row>
    <row r="153" spans="2:20">
      <c r="B153" s="4"/>
      <c r="C153" s="4"/>
      <c r="D153" s="4"/>
      <c r="E153" s="4"/>
      <c r="F153" s="4"/>
      <c r="G153" s="4"/>
      <c r="H153" s="4"/>
      <c r="I153" s="4"/>
      <c r="J153" s="4"/>
      <c r="K153" s="4"/>
      <c r="L153" s="4"/>
      <c r="M153" s="4"/>
      <c r="N153" s="4"/>
      <c r="O153" s="4"/>
      <c r="P153" s="4"/>
      <c r="Q153" s="4"/>
      <c r="R153" s="4"/>
      <c r="S153" s="4"/>
      <c r="T153" s="4"/>
    </row>
    <row r="1000" spans="1:31" ht="15" customHeight="1">
      <c r="A1000" s="4"/>
      <c r="B1000" s="4"/>
      <c r="C1000" s="4"/>
      <c r="D1000" s="4"/>
      <c r="E1000" s="4"/>
      <c r="F1000" s="4"/>
      <c r="G1000" s="4"/>
      <c r="H1000" s="4"/>
      <c r="I1000" s="4"/>
      <c r="J1000" s="4"/>
      <c r="K1000" s="4"/>
      <c r="L1000" s="4"/>
      <c r="M1000" s="4"/>
      <c r="N1000" s="4"/>
      <c r="O1000" s="4"/>
      <c r="P1000" s="4"/>
      <c r="Q1000" s="4"/>
      <c r="R1000" s="4"/>
      <c r="S1000" s="4"/>
      <c r="T1000" s="4"/>
      <c r="U1000" s="4"/>
      <c r="V1000" s="4"/>
      <c r="W1000" s="4"/>
      <c r="X1000" s="4"/>
      <c r="Y1000" s="4"/>
      <c r="Z1000" s="4"/>
      <c r="AA1000" s="4"/>
      <c r="AB1000" s="4"/>
      <c r="AC1000" s="4"/>
      <c r="AD1000" s="4"/>
      <c r="AE1000" s="4"/>
    </row>
    <row r="1001" spans="1:31">
      <c r="A1001" s="4"/>
      <c r="B1001" s="4"/>
      <c r="C1001" s="4"/>
      <c r="D1001" s="4"/>
      <c r="E1001" s="4"/>
      <c r="F1001" s="4"/>
      <c r="G1001" s="4"/>
      <c r="H1001" s="4"/>
      <c r="I1001" s="4"/>
      <c r="J1001" s="4"/>
      <c r="K1001" s="4"/>
      <c r="L1001" s="4"/>
      <c r="M1001" s="4"/>
      <c r="N1001" s="4"/>
      <c r="O1001" s="4"/>
      <c r="P1001" s="4"/>
      <c r="Q1001" s="4"/>
      <c r="R1001" s="4"/>
      <c r="S1001" s="4"/>
      <c r="T1001" s="4"/>
      <c r="U1001" s="4"/>
      <c r="V1001" s="4"/>
      <c r="W1001" s="4"/>
      <c r="X1001" s="4"/>
      <c r="Y1001" s="4"/>
      <c r="Z1001" s="4"/>
      <c r="AA1001" s="4"/>
      <c r="AB1001" s="4"/>
      <c r="AC1001" s="4"/>
      <c r="AD1001" s="4"/>
      <c r="AE1001" s="4"/>
    </row>
    <row r="1002" spans="1:31">
      <c r="A1002" s="4"/>
      <c r="B1002" s="4"/>
      <c r="C1002" s="4"/>
      <c r="D1002" s="4"/>
      <c r="E1002" s="4"/>
      <c r="F1002" s="4"/>
      <c r="G1002" s="4"/>
      <c r="H1002" s="4"/>
      <c r="I1002" s="4"/>
      <c r="J1002" s="4"/>
      <c r="K1002" s="4"/>
      <c r="L1002" s="4"/>
      <c r="M1002" s="4"/>
      <c r="N1002" s="4"/>
      <c r="O1002" s="4"/>
      <c r="P1002" s="4"/>
      <c r="Q1002" s="4"/>
      <c r="R1002" s="4"/>
      <c r="S1002" s="4"/>
      <c r="T1002" s="4"/>
      <c r="U1002" s="4"/>
      <c r="V1002" s="4"/>
      <c r="W1002" s="4"/>
      <c r="X1002" s="4"/>
      <c r="Y1002" s="4"/>
      <c r="Z1002" s="4"/>
      <c r="AA1002" s="4"/>
      <c r="AB1002" s="4"/>
      <c r="AC1002" s="4"/>
      <c r="AD1002" s="4"/>
      <c r="AE1002" s="4"/>
    </row>
    <row r="1003" spans="1:31">
      <c r="A1003" s="4"/>
      <c r="B1003" s="4"/>
      <c r="C1003" s="4"/>
      <c r="D1003" s="4"/>
      <c r="E1003" s="4"/>
      <c r="F1003" s="4"/>
      <c r="G1003" s="4"/>
      <c r="H1003" s="4"/>
      <c r="I1003" s="4"/>
      <c r="J1003" s="4"/>
      <c r="K1003" s="4"/>
      <c r="L1003" s="4"/>
      <c r="M1003" s="4"/>
      <c r="N1003" s="4"/>
      <c r="O1003" s="4"/>
      <c r="P1003" s="4"/>
      <c r="Q1003" s="4"/>
      <c r="R1003" s="4"/>
      <c r="S1003" s="4"/>
      <c r="T1003" s="4"/>
      <c r="U1003" s="4"/>
      <c r="V1003" s="4"/>
      <c r="W1003" s="4"/>
      <c r="X1003" s="4"/>
      <c r="Y1003" s="4"/>
      <c r="Z1003" s="4"/>
      <c r="AA1003" s="4"/>
      <c r="AB1003" s="4"/>
      <c r="AC1003" s="4"/>
      <c r="AD1003" s="4"/>
      <c r="AE1003" s="4"/>
    </row>
  </sheetData>
  <mergeCells count="7">
    <mergeCell ref="A1:J1"/>
    <mergeCell ref="G2:H2"/>
    <mergeCell ref="G3:H3"/>
    <mergeCell ref="F5:H5"/>
    <mergeCell ref="F6:H6"/>
    <mergeCell ref="C6:D6"/>
    <mergeCell ref="C5:D5"/>
  </mergeCells>
  <dataValidations count="2">
    <dataValidation type="list" allowBlank="1" showInputMessage="1" showErrorMessage="1" sqref="E3" xr:uid="{00000000-0002-0000-0100-000000000000}">
      <formula1>"Upstream, Downstream, International, Corporate, Corporate-Wind"</formula1>
    </dataValidation>
    <dataValidation type="list" allowBlank="1" showInputMessage="1" showErrorMessage="1" sqref="F3" xr:uid="{00000000-0002-0000-0100-000001000000}">
      <formula1>"Add, Update, Block/Unblock"</formula1>
    </dataValidation>
  </dataValidations>
  <pageMargins left="0.7" right="0.7" top="0.75" bottom="0.75" header="0.3" footer="0.3"/>
  <pageSetup orientation="portrait" r:id="rId1"/>
  <ignoredErrors>
    <ignoredError sqref="A1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9" r:id="rId4" name="Button 11">
              <controlPr defaultSize="0" print="0" autoFill="0" autoPict="0" macro="[0]!ClearMDCRFormCostCenters">
                <anchor moveWithCells="1" sizeWithCells="1">
                  <from>
                    <xdr:col>1</xdr:col>
                    <xdr:colOff>1035050</xdr:colOff>
                    <xdr:row>0</xdr:row>
                    <xdr:rowOff>139700</xdr:rowOff>
                  </from>
                  <to>
                    <xdr:col>3</xdr:col>
                    <xdr:colOff>266700</xdr:colOff>
                    <xdr:row>0</xdr:row>
                    <xdr:rowOff>603250</xdr:rowOff>
                  </to>
                </anchor>
              </controlPr>
            </control>
          </mc:Choice>
        </mc:AlternateContent>
        <mc:AlternateContent xmlns:mc="http://schemas.openxmlformats.org/markup-compatibility/2006">
          <mc:Choice Requires="x14">
            <control shapeId="2072" r:id="rId5" name="Button 24">
              <controlPr defaultSize="0" print="0" autoFill="0" autoPict="0" macro="[0]!MDCRFORM">
                <anchor moveWithCells="1" sizeWithCells="1">
                  <from>
                    <xdr:col>6</xdr:col>
                    <xdr:colOff>1022350</xdr:colOff>
                    <xdr:row>3</xdr:row>
                    <xdr:rowOff>0</xdr:rowOff>
                  </from>
                  <to>
                    <xdr:col>7</xdr:col>
                    <xdr:colOff>1708150</xdr:colOff>
                    <xdr:row>3</xdr:row>
                    <xdr:rowOff>0</xdr:rowOff>
                  </to>
                </anchor>
              </controlPr>
            </control>
          </mc:Choice>
        </mc:AlternateContent>
        <mc:AlternateContent xmlns:mc="http://schemas.openxmlformats.org/markup-compatibility/2006">
          <mc:Choice Requires="x14">
            <control shapeId="2075" r:id="rId6" name="Button 27">
              <controlPr defaultSize="0" print="0" autoFill="0" autoPict="0" macro="[0]!MDCRFORMCostCenter">
                <anchor moveWithCells="1" sizeWithCells="1">
                  <from>
                    <xdr:col>6</xdr:col>
                    <xdr:colOff>1530350</xdr:colOff>
                    <xdr:row>0</xdr:row>
                    <xdr:rowOff>101600</xdr:rowOff>
                  </from>
                  <to>
                    <xdr:col>7</xdr:col>
                    <xdr:colOff>1600200</xdr:colOff>
                    <xdr:row>0</xdr:row>
                    <xdr:rowOff>685800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 error="," promptTitle="," xr:uid="{00000000-0002-0000-0100-000002000000}">
          <x14:formula1>
            <xm:f>'Company Code'!$J$2:$J$20</xm:f>
          </x14:formula1>
          <xm:sqref>E6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rgb="FFFF0000"/>
  </sheetPr>
  <dimension ref="A1:XFD72"/>
  <sheetViews>
    <sheetView zoomScaleNormal="100" workbookViewId="0">
      <selection activeCell="G11" sqref="G11"/>
    </sheetView>
  </sheetViews>
  <sheetFormatPr defaultColWidth="0" defaultRowHeight="11.45"/>
  <cols>
    <col min="1" max="1" width="8" style="446" customWidth="1"/>
    <col min="2" max="2" width="29.5703125" style="422" customWidth="1"/>
    <col min="3" max="3" width="20.42578125" style="422" customWidth="1"/>
    <col min="4" max="5" width="12.42578125" style="422" customWidth="1"/>
    <col min="6" max="6" width="11.140625" style="422" customWidth="1"/>
    <col min="7" max="7" width="12" style="422" customWidth="1"/>
    <col min="8" max="8" width="41.5703125" style="423" customWidth="1"/>
    <col min="9" max="9" width="0" style="381" hidden="1" customWidth="1"/>
    <col min="10" max="16384" width="0" style="382" hidden="1"/>
  </cols>
  <sheetData>
    <row r="1" spans="1:16384" s="378" customFormat="1" ht="24.95" customHeight="1">
      <c r="A1" s="375"/>
      <c r="B1" s="376"/>
      <c r="C1" s="651" t="s">
        <v>16</v>
      </c>
      <c r="D1" s="652"/>
      <c r="E1" s="652"/>
      <c r="F1" s="652"/>
      <c r="G1" s="652"/>
      <c r="H1" s="653"/>
      <c r="I1" s="377"/>
    </row>
    <row r="2" spans="1:16384" ht="24.95" customHeight="1">
      <c r="A2" s="379"/>
      <c r="B2" s="380"/>
      <c r="C2" s="654"/>
      <c r="D2" s="655"/>
      <c r="E2" s="655"/>
      <c r="F2" s="655"/>
      <c r="G2" s="655"/>
      <c r="H2" s="656"/>
    </row>
    <row r="3" spans="1:16384" ht="24.95" customHeight="1" thickBot="1">
      <c r="A3" s="379"/>
      <c r="B3" s="380"/>
      <c r="C3" s="657"/>
      <c r="D3" s="658"/>
      <c r="E3" s="658"/>
      <c r="F3" s="658"/>
      <c r="G3" s="658"/>
      <c r="H3" s="659"/>
    </row>
    <row r="4" spans="1:16384" s="387" customFormat="1" ht="18.75" customHeight="1" thickBot="1">
      <c r="A4" s="383" t="s">
        <v>17</v>
      </c>
      <c r="B4" s="384"/>
      <c r="C4" s="385"/>
      <c r="D4" s="660" t="s">
        <v>18</v>
      </c>
      <c r="E4" s="660"/>
      <c r="F4" s="660"/>
      <c r="G4" s="660"/>
      <c r="H4" s="661"/>
      <c r="I4" s="386"/>
    </row>
    <row r="5" spans="1:16384" s="387" customFormat="1" ht="34.5" customHeight="1">
      <c r="A5" s="662" t="s">
        <v>19</v>
      </c>
      <c r="B5" s="662"/>
      <c r="C5" s="662"/>
      <c r="D5" s="662"/>
      <c r="E5" s="662"/>
      <c r="F5" s="662"/>
      <c r="G5" s="662"/>
      <c r="H5" s="662"/>
      <c r="I5" s="386"/>
    </row>
    <row r="6" spans="1:16384" s="389" customFormat="1" ht="41.25" customHeight="1">
      <c r="A6" s="663" t="s">
        <v>20</v>
      </c>
      <c r="B6" s="664"/>
      <c r="C6" s="664"/>
      <c r="D6" s="664"/>
      <c r="E6" s="664"/>
      <c r="F6" s="664"/>
      <c r="G6" s="664"/>
      <c r="H6" s="664"/>
      <c r="I6" s="388"/>
    </row>
    <row r="7" spans="1:16384" ht="18" customHeight="1">
      <c r="A7" s="665"/>
      <c r="B7" s="665"/>
      <c r="C7" s="665"/>
      <c r="D7" s="667" t="s">
        <v>21</v>
      </c>
      <c r="E7" s="668"/>
      <c r="F7" s="668"/>
      <c r="G7" s="669"/>
      <c r="H7" s="665"/>
    </row>
    <row r="8" spans="1:16384">
      <c r="A8" s="666"/>
      <c r="B8" s="666"/>
      <c r="C8" s="666"/>
      <c r="D8" s="465"/>
      <c r="E8" s="465"/>
      <c r="F8" s="465"/>
      <c r="G8" s="465"/>
      <c r="H8" s="666"/>
    </row>
    <row r="9" spans="1:16384" ht="18.75" customHeight="1">
      <c r="A9" s="670" t="s">
        <v>22</v>
      </c>
      <c r="B9" s="670" t="s">
        <v>23</v>
      </c>
      <c r="C9" s="670" t="s">
        <v>24</v>
      </c>
      <c r="D9" s="672" t="s">
        <v>25</v>
      </c>
      <c r="E9" s="673"/>
      <c r="F9" s="673"/>
      <c r="G9" s="674"/>
      <c r="H9" s="670" t="s">
        <v>26</v>
      </c>
    </row>
    <row r="10" spans="1:16384">
      <c r="A10" s="671"/>
      <c r="B10" s="671"/>
      <c r="C10" s="671"/>
      <c r="D10" s="465"/>
      <c r="E10" s="465"/>
      <c r="F10" s="465"/>
      <c r="G10" s="465"/>
      <c r="H10" s="671"/>
    </row>
    <row r="11" spans="1:16384" ht="35.25" customHeight="1">
      <c r="A11" s="645" t="s">
        <v>27</v>
      </c>
      <c r="B11" s="646"/>
      <c r="C11" s="390" t="s">
        <v>28</v>
      </c>
      <c r="D11" s="391"/>
      <c r="E11" s="391"/>
      <c r="F11" s="391"/>
      <c r="G11" s="391"/>
      <c r="H11" s="392"/>
      <c r="I11" s="393"/>
      <c r="J11" s="394"/>
      <c r="K11" s="394"/>
      <c r="L11" s="394"/>
      <c r="M11" s="394"/>
      <c r="N11" s="394"/>
      <c r="O11" s="394"/>
      <c r="P11" s="395"/>
      <c r="Q11" s="394"/>
      <c r="R11" s="394"/>
      <c r="S11" s="394"/>
      <c r="T11" s="394"/>
      <c r="U11" s="394"/>
      <c r="V11" s="394"/>
      <c r="W11" s="394"/>
      <c r="X11" s="395"/>
      <c r="Y11" s="394"/>
      <c r="Z11" s="394"/>
      <c r="AA11" s="394"/>
      <c r="AB11" s="394"/>
      <c r="AC11" s="394"/>
      <c r="AD11" s="394"/>
      <c r="AE11" s="394"/>
      <c r="AF11" s="395"/>
      <c r="AG11" s="394"/>
      <c r="AH11" s="394"/>
      <c r="AI11" s="394"/>
      <c r="AJ11" s="394"/>
      <c r="AK11" s="394"/>
      <c r="AL11" s="394"/>
      <c r="AM11" s="394"/>
      <c r="AN11" s="395"/>
      <c r="AO11" s="394"/>
      <c r="AP11" s="394"/>
      <c r="AQ11" s="394"/>
      <c r="AR11" s="394"/>
      <c r="AS11" s="394"/>
      <c r="AT11" s="394"/>
      <c r="AU11" s="394"/>
      <c r="AV11" s="395"/>
      <c r="AW11" s="394"/>
      <c r="AX11" s="394"/>
      <c r="AY11" s="394"/>
      <c r="AZ11" s="394"/>
      <c r="BA11" s="394"/>
      <c r="BB11" s="394"/>
      <c r="BC11" s="394"/>
      <c r="BD11" s="395"/>
      <c r="BE11" s="394"/>
      <c r="BF11" s="394"/>
      <c r="BG11" s="394"/>
      <c r="BH11" s="394"/>
      <c r="BI11" s="394"/>
      <c r="BJ11" s="394"/>
      <c r="BK11" s="394"/>
      <c r="BL11" s="395"/>
      <c r="BM11" s="394"/>
      <c r="BN11" s="394"/>
      <c r="BO11" s="394"/>
      <c r="BP11" s="394"/>
      <c r="BQ11" s="394"/>
      <c r="BR11" s="394"/>
      <c r="BS11" s="394"/>
      <c r="BT11" s="395"/>
      <c r="BU11" s="394"/>
      <c r="BV11" s="394"/>
      <c r="BW11" s="394"/>
      <c r="BX11" s="394"/>
      <c r="BY11" s="394"/>
      <c r="BZ11" s="394"/>
      <c r="CA11" s="394"/>
      <c r="CB11" s="395"/>
      <c r="CC11" s="394"/>
      <c r="CD11" s="394"/>
      <c r="CE11" s="394"/>
      <c r="CF11" s="394"/>
      <c r="CG11" s="394"/>
      <c r="CH11" s="394"/>
      <c r="CI11" s="394"/>
      <c r="CJ11" s="395"/>
      <c r="CK11" s="394"/>
      <c r="CL11" s="394"/>
      <c r="CM11" s="394"/>
      <c r="CN11" s="394"/>
      <c r="CO11" s="394"/>
      <c r="CP11" s="394"/>
      <c r="CQ11" s="394"/>
      <c r="CR11" s="395"/>
      <c r="CS11" s="394"/>
      <c r="CT11" s="394"/>
      <c r="CU11" s="394"/>
      <c r="CV11" s="394"/>
      <c r="CW11" s="394"/>
      <c r="CX11" s="394"/>
      <c r="CY11" s="394"/>
      <c r="CZ11" s="395"/>
      <c r="DA11" s="394"/>
      <c r="DB11" s="394"/>
      <c r="DC11" s="394"/>
      <c r="DD11" s="394"/>
      <c r="DE11" s="394"/>
      <c r="DF11" s="394"/>
      <c r="DG11" s="394"/>
      <c r="DH11" s="395"/>
      <c r="DI11" s="394"/>
      <c r="DJ11" s="394"/>
      <c r="DK11" s="394"/>
      <c r="DL11" s="394"/>
      <c r="DM11" s="394"/>
      <c r="DN11" s="394"/>
      <c r="DO11" s="394"/>
      <c r="DP11" s="395"/>
      <c r="DQ11" s="394"/>
      <c r="DR11" s="394"/>
      <c r="DS11" s="394"/>
      <c r="DT11" s="394"/>
      <c r="DU11" s="394"/>
      <c r="DV11" s="394"/>
      <c r="DW11" s="394"/>
      <c r="DX11" s="395"/>
      <c r="DY11" s="394"/>
      <c r="DZ11" s="394"/>
      <c r="EA11" s="394"/>
      <c r="EB11" s="394"/>
      <c r="EC11" s="394"/>
      <c r="ED11" s="394"/>
      <c r="EE11" s="394"/>
      <c r="EF11" s="395"/>
      <c r="EG11" s="394"/>
      <c r="EH11" s="394"/>
      <c r="EI11" s="394"/>
      <c r="EJ11" s="394"/>
      <c r="EK11" s="394"/>
      <c r="EL11" s="394"/>
      <c r="EM11" s="394"/>
      <c r="EN11" s="395"/>
      <c r="EO11" s="394"/>
      <c r="EP11" s="394"/>
      <c r="EQ11" s="394"/>
      <c r="ER11" s="394"/>
      <c r="ES11" s="394"/>
      <c r="ET11" s="394"/>
      <c r="EU11" s="394"/>
      <c r="EV11" s="395"/>
      <c r="EW11" s="394"/>
      <c r="EX11" s="394"/>
      <c r="EY11" s="394"/>
      <c r="EZ11" s="394"/>
      <c r="FA11" s="394"/>
      <c r="FB11" s="394"/>
      <c r="FC11" s="394"/>
      <c r="FD11" s="395"/>
      <c r="FE11" s="394"/>
      <c r="FF11" s="394"/>
      <c r="FG11" s="394"/>
      <c r="FH11" s="394"/>
      <c r="FI11" s="394"/>
      <c r="FJ11" s="394"/>
      <c r="FK11" s="394"/>
      <c r="FL11" s="395"/>
      <c r="FM11" s="394"/>
      <c r="FN11" s="394"/>
      <c r="FO11" s="394"/>
      <c r="FP11" s="394"/>
      <c r="FQ11" s="394"/>
      <c r="FR11" s="394"/>
      <c r="FS11" s="394"/>
      <c r="FT11" s="395"/>
      <c r="FU11" s="394"/>
      <c r="FV11" s="394"/>
      <c r="FW11" s="394"/>
      <c r="FX11" s="394"/>
      <c r="FY11" s="394"/>
      <c r="FZ11" s="394"/>
      <c r="GA11" s="394"/>
      <c r="GB11" s="395"/>
      <c r="GC11" s="394"/>
      <c r="GD11" s="394"/>
      <c r="GE11" s="394"/>
      <c r="GF11" s="394"/>
      <c r="GG11" s="394"/>
      <c r="GH11" s="394"/>
      <c r="GI11" s="394"/>
      <c r="GJ11" s="395"/>
      <c r="GK11" s="394"/>
      <c r="GL11" s="394"/>
      <c r="GM11" s="394"/>
      <c r="GN11" s="394"/>
      <c r="GO11" s="394"/>
      <c r="GP11" s="394"/>
      <c r="GQ11" s="394"/>
      <c r="GR11" s="395"/>
      <c r="GS11" s="394"/>
      <c r="GT11" s="394"/>
      <c r="GU11" s="394"/>
      <c r="GV11" s="394"/>
      <c r="GW11" s="394"/>
      <c r="GX11" s="394"/>
      <c r="GY11" s="394"/>
      <c r="GZ11" s="395"/>
      <c r="HA11" s="394"/>
      <c r="HB11" s="394"/>
      <c r="HC11" s="394"/>
      <c r="HD11" s="394"/>
      <c r="HE11" s="394"/>
      <c r="HF11" s="394"/>
      <c r="HG11" s="394"/>
      <c r="HH11" s="395"/>
      <c r="HI11" s="394"/>
      <c r="HJ11" s="394"/>
      <c r="HK11" s="394"/>
      <c r="HL11" s="394"/>
      <c r="HM11" s="394"/>
      <c r="HN11" s="394"/>
      <c r="HO11" s="394"/>
      <c r="HP11" s="395"/>
      <c r="HQ11" s="394"/>
      <c r="HR11" s="394"/>
      <c r="HS11" s="394"/>
      <c r="HT11" s="394"/>
      <c r="HU11" s="394"/>
      <c r="HV11" s="394"/>
      <c r="HW11" s="394"/>
      <c r="HX11" s="395"/>
      <c r="HY11" s="394"/>
      <c r="HZ11" s="394"/>
      <c r="IA11" s="394"/>
      <c r="IB11" s="394"/>
      <c r="IC11" s="394"/>
      <c r="ID11" s="394"/>
      <c r="IE11" s="394"/>
      <c r="IF11" s="395"/>
      <c r="IG11" s="394"/>
      <c r="IH11" s="394"/>
      <c r="II11" s="394"/>
      <c r="IJ11" s="394"/>
      <c r="IK11" s="394"/>
      <c r="IL11" s="394"/>
      <c r="IM11" s="394"/>
      <c r="IN11" s="395"/>
      <c r="IO11" s="394"/>
      <c r="IP11" s="394"/>
      <c r="IQ11" s="394"/>
      <c r="IR11" s="394"/>
      <c r="IS11" s="394"/>
      <c r="IT11" s="394"/>
      <c r="IU11" s="394"/>
      <c r="IV11" s="395"/>
      <c r="IW11" s="394"/>
      <c r="IX11" s="394"/>
      <c r="IY11" s="394"/>
      <c r="IZ11" s="394"/>
      <c r="JA11" s="394"/>
      <c r="JB11" s="394"/>
      <c r="JC11" s="394"/>
      <c r="JD11" s="395"/>
      <c r="JE11" s="394"/>
      <c r="JF11" s="394"/>
      <c r="JG11" s="394"/>
      <c r="JH11" s="394"/>
      <c r="JI11" s="394"/>
      <c r="JJ11" s="394"/>
      <c r="JK11" s="394"/>
      <c r="JL11" s="395"/>
      <c r="JM11" s="394"/>
      <c r="JN11" s="394"/>
      <c r="JO11" s="394"/>
      <c r="JP11" s="394"/>
      <c r="JQ11" s="394"/>
      <c r="JR11" s="394"/>
      <c r="JS11" s="394"/>
      <c r="JT11" s="395"/>
      <c r="JU11" s="394"/>
      <c r="JV11" s="394"/>
      <c r="JW11" s="394"/>
      <c r="JX11" s="394"/>
      <c r="JY11" s="394"/>
      <c r="JZ11" s="394"/>
      <c r="KA11" s="394"/>
      <c r="KB11" s="395"/>
      <c r="KC11" s="394"/>
      <c r="KD11" s="394"/>
      <c r="KE11" s="394"/>
      <c r="KF11" s="394"/>
      <c r="KG11" s="394"/>
      <c r="KH11" s="394"/>
      <c r="KI11" s="394"/>
      <c r="KJ11" s="395"/>
      <c r="KK11" s="394"/>
      <c r="KL11" s="394"/>
      <c r="KM11" s="394"/>
      <c r="KN11" s="394"/>
      <c r="KO11" s="394"/>
      <c r="KP11" s="394"/>
      <c r="KQ11" s="394"/>
      <c r="KR11" s="395"/>
      <c r="KS11" s="394"/>
      <c r="KT11" s="394"/>
      <c r="KU11" s="394"/>
      <c r="KV11" s="394"/>
      <c r="KW11" s="394"/>
      <c r="KX11" s="394"/>
      <c r="KY11" s="394"/>
      <c r="KZ11" s="395"/>
      <c r="LA11" s="394"/>
      <c r="LB11" s="394"/>
      <c r="LC11" s="394"/>
      <c r="LD11" s="394"/>
      <c r="LE11" s="394"/>
      <c r="LF11" s="394"/>
      <c r="LG11" s="394"/>
      <c r="LH11" s="395"/>
      <c r="LI11" s="394"/>
      <c r="LJ11" s="394"/>
      <c r="LK11" s="394"/>
      <c r="LL11" s="394"/>
      <c r="LM11" s="394"/>
      <c r="LN11" s="394"/>
      <c r="LO11" s="394"/>
      <c r="LP11" s="395"/>
      <c r="LQ11" s="394"/>
      <c r="LR11" s="394"/>
      <c r="LS11" s="394"/>
      <c r="LT11" s="394"/>
      <c r="LU11" s="394"/>
      <c r="LV11" s="394"/>
      <c r="LW11" s="394"/>
      <c r="LX11" s="395"/>
      <c r="LY11" s="394"/>
      <c r="LZ11" s="394"/>
      <c r="MA11" s="394"/>
      <c r="MB11" s="394"/>
      <c r="MC11" s="394"/>
      <c r="MD11" s="394"/>
      <c r="ME11" s="394"/>
      <c r="MF11" s="395"/>
      <c r="MG11" s="394"/>
      <c r="MH11" s="394"/>
      <c r="MI11" s="394"/>
      <c r="MJ11" s="394"/>
      <c r="MK11" s="394"/>
      <c r="ML11" s="394"/>
      <c r="MM11" s="394"/>
      <c r="MN11" s="395"/>
      <c r="MO11" s="394"/>
      <c r="MP11" s="394"/>
      <c r="MQ11" s="394"/>
      <c r="MR11" s="394"/>
      <c r="MS11" s="394"/>
      <c r="MT11" s="394"/>
      <c r="MU11" s="394"/>
      <c r="MV11" s="395"/>
      <c r="MW11" s="394"/>
      <c r="MX11" s="394"/>
      <c r="MY11" s="394"/>
      <c r="MZ11" s="394"/>
      <c r="NA11" s="394"/>
      <c r="NB11" s="394"/>
      <c r="NC11" s="394"/>
      <c r="ND11" s="395"/>
      <c r="NE11" s="394"/>
      <c r="NF11" s="394"/>
      <c r="NG11" s="394"/>
      <c r="NH11" s="394"/>
      <c r="NI11" s="394"/>
      <c r="NJ11" s="394"/>
      <c r="NK11" s="394"/>
      <c r="NL11" s="395"/>
      <c r="NM11" s="394"/>
      <c r="NN11" s="394"/>
      <c r="NO11" s="394"/>
      <c r="NP11" s="394"/>
      <c r="NQ11" s="394"/>
      <c r="NR11" s="394"/>
      <c r="NS11" s="394"/>
      <c r="NT11" s="395"/>
      <c r="NU11" s="394"/>
      <c r="NV11" s="394"/>
      <c r="NW11" s="394"/>
      <c r="NX11" s="394"/>
      <c r="NY11" s="394"/>
      <c r="NZ11" s="394"/>
      <c r="OA11" s="394"/>
      <c r="OB11" s="395"/>
      <c r="OC11" s="394"/>
      <c r="OD11" s="394"/>
      <c r="OE11" s="394"/>
      <c r="OF11" s="394"/>
      <c r="OG11" s="394"/>
      <c r="OH11" s="394"/>
      <c r="OI11" s="394"/>
      <c r="OJ11" s="395"/>
      <c r="OK11" s="394"/>
      <c r="OL11" s="394"/>
      <c r="OM11" s="394"/>
      <c r="ON11" s="394"/>
      <c r="OO11" s="394"/>
      <c r="OP11" s="394"/>
      <c r="OQ11" s="394"/>
      <c r="OR11" s="395"/>
      <c r="OS11" s="394"/>
      <c r="OT11" s="394"/>
      <c r="OU11" s="394"/>
      <c r="OV11" s="394"/>
      <c r="OW11" s="394"/>
      <c r="OX11" s="394"/>
      <c r="OY11" s="394"/>
      <c r="OZ11" s="395"/>
      <c r="PA11" s="394"/>
      <c r="PB11" s="394"/>
      <c r="PC11" s="394"/>
      <c r="PD11" s="394"/>
      <c r="PE11" s="394"/>
      <c r="PF11" s="394"/>
      <c r="PG11" s="394"/>
      <c r="PH11" s="395"/>
      <c r="PI11" s="394"/>
      <c r="PJ11" s="394"/>
      <c r="PK11" s="394"/>
      <c r="PL11" s="394"/>
      <c r="PM11" s="394"/>
      <c r="PN11" s="394"/>
      <c r="PO11" s="394"/>
      <c r="PP11" s="395"/>
      <c r="PQ11" s="394"/>
      <c r="PR11" s="394"/>
      <c r="PS11" s="394"/>
      <c r="PT11" s="394"/>
      <c r="PU11" s="394"/>
      <c r="PV11" s="394"/>
      <c r="PW11" s="394"/>
      <c r="PX11" s="395"/>
      <c r="PY11" s="394"/>
      <c r="PZ11" s="394"/>
      <c r="QA11" s="394"/>
      <c r="QB11" s="394"/>
      <c r="QC11" s="394"/>
      <c r="QD11" s="394"/>
      <c r="QE11" s="394"/>
      <c r="QF11" s="395"/>
      <c r="QG11" s="394"/>
      <c r="QH11" s="394"/>
      <c r="QI11" s="394"/>
      <c r="QJ11" s="394"/>
      <c r="QK11" s="394"/>
      <c r="QL11" s="394"/>
      <c r="QM11" s="394"/>
      <c r="QN11" s="395"/>
      <c r="QO11" s="394"/>
      <c r="QP11" s="394"/>
      <c r="QQ11" s="394"/>
      <c r="QR11" s="394"/>
      <c r="QS11" s="394"/>
      <c r="QT11" s="394"/>
      <c r="QU11" s="394"/>
      <c r="QV11" s="395"/>
      <c r="QW11" s="394"/>
      <c r="QX11" s="394"/>
      <c r="QY11" s="394"/>
      <c r="QZ11" s="394"/>
      <c r="RA11" s="394"/>
      <c r="RB11" s="394"/>
      <c r="RC11" s="394"/>
      <c r="RD11" s="395"/>
      <c r="RE11" s="394"/>
      <c r="RF11" s="394"/>
      <c r="RG11" s="394"/>
      <c r="RH11" s="394"/>
      <c r="RI11" s="394"/>
      <c r="RJ11" s="394"/>
      <c r="RK11" s="394"/>
      <c r="RL11" s="395"/>
      <c r="RM11" s="394"/>
      <c r="RN11" s="394"/>
      <c r="RO11" s="394"/>
      <c r="RP11" s="394"/>
      <c r="RQ11" s="394"/>
      <c r="RR11" s="394"/>
      <c r="RS11" s="394"/>
      <c r="RT11" s="395"/>
      <c r="RU11" s="394"/>
      <c r="RV11" s="394"/>
      <c r="RW11" s="394"/>
      <c r="RX11" s="394"/>
      <c r="RY11" s="394"/>
      <c r="RZ11" s="394"/>
      <c r="SA11" s="394"/>
      <c r="SB11" s="395"/>
      <c r="SC11" s="394"/>
      <c r="SD11" s="394"/>
      <c r="SE11" s="394"/>
      <c r="SF11" s="394"/>
      <c r="SG11" s="394"/>
      <c r="SH11" s="394"/>
      <c r="SI11" s="394"/>
      <c r="SJ11" s="395"/>
      <c r="SK11" s="394"/>
      <c r="SL11" s="394"/>
      <c r="SM11" s="394"/>
      <c r="SN11" s="394"/>
      <c r="SO11" s="394"/>
      <c r="SP11" s="394"/>
      <c r="SQ11" s="394"/>
      <c r="SR11" s="395"/>
      <c r="SS11" s="394"/>
      <c r="ST11" s="394"/>
      <c r="SU11" s="394"/>
      <c r="SV11" s="394"/>
      <c r="SW11" s="394"/>
      <c r="SX11" s="394"/>
      <c r="SY11" s="394"/>
      <c r="SZ11" s="395"/>
      <c r="TA11" s="394"/>
      <c r="TB11" s="394"/>
      <c r="TC11" s="394"/>
      <c r="TD11" s="394"/>
      <c r="TE11" s="394"/>
      <c r="TF11" s="394"/>
      <c r="TG11" s="394"/>
      <c r="TH11" s="395"/>
      <c r="TI11" s="394"/>
      <c r="TJ11" s="394"/>
      <c r="TK11" s="394"/>
      <c r="TL11" s="394"/>
      <c r="TM11" s="394"/>
      <c r="TN11" s="394"/>
      <c r="TO11" s="394"/>
      <c r="TP11" s="395"/>
      <c r="TQ11" s="394"/>
      <c r="TR11" s="394"/>
      <c r="TS11" s="394"/>
      <c r="TT11" s="394"/>
      <c r="TU11" s="394"/>
      <c r="TV11" s="394"/>
      <c r="TW11" s="394"/>
      <c r="TX11" s="395"/>
      <c r="TY11" s="394"/>
      <c r="TZ11" s="394"/>
      <c r="UA11" s="394"/>
      <c r="UB11" s="394"/>
      <c r="UC11" s="394"/>
      <c r="UD11" s="394"/>
      <c r="UE11" s="394"/>
      <c r="UF11" s="395"/>
      <c r="UG11" s="394"/>
      <c r="UH11" s="394"/>
      <c r="UI11" s="394"/>
      <c r="UJ11" s="394"/>
      <c r="UK11" s="394"/>
      <c r="UL11" s="394"/>
      <c r="UM11" s="394"/>
      <c r="UN11" s="395"/>
      <c r="UO11" s="394"/>
      <c r="UP11" s="394"/>
      <c r="UQ11" s="394"/>
      <c r="UR11" s="394"/>
      <c r="US11" s="394"/>
      <c r="UT11" s="394"/>
      <c r="UU11" s="394"/>
      <c r="UV11" s="395"/>
      <c r="UW11" s="394"/>
      <c r="UX11" s="394"/>
      <c r="UY11" s="394"/>
      <c r="UZ11" s="394"/>
      <c r="VA11" s="394"/>
      <c r="VB11" s="394"/>
      <c r="VC11" s="394"/>
      <c r="VD11" s="395"/>
      <c r="VE11" s="394"/>
      <c r="VF11" s="394"/>
      <c r="VG11" s="394"/>
      <c r="VH11" s="394"/>
      <c r="VI11" s="394"/>
      <c r="VJ11" s="394"/>
      <c r="VK11" s="394"/>
      <c r="VL11" s="395"/>
      <c r="VM11" s="394"/>
      <c r="VN11" s="394"/>
      <c r="VO11" s="394"/>
      <c r="VP11" s="394"/>
      <c r="VQ11" s="394"/>
      <c r="VR11" s="394"/>
      <c r="VS11" s="394"/>
      <c r="VT11" s="395"/>
      <c r="VU11" s="394"/>
      <c r="VV11" s="394"/>
      <c r="VW11" s="394"/>
      <c r="VX11" s="394"/>
      <c r="VY11" s="394"/>
      <c r="VZ11" s="394"/>
      <c r="WA11" s="394"/>
      <c r="WB11" s="395"/>
      <c r="WC11" s="394"/>
      <c r="WD11" s="394"/>
      <c r="WE11" s="394"/>
      <c r="WF11" s="394"/>
      <c r="WG11" s="394"/>
      <c r="WH11" s="394"/>
      <c r="WI11" s="394"/>
      <c r="WJ11" s="395"/>
      <c r="WK11" s="394"/>
      <c r="WL11" s="394"/>
      <c r="WM11" s="394"/>
      <c r="WN11" s="394"/>
      <c r="WO11" s="394"/>
      <c r="WP11" s="394"/>
      <c r="WQ11" s="394"/>
      <c r="WR11" s="395"/>
      <c r="WS11" s="394"/>
      <c r="WT11" s="394"/>
      <c r="WU11" s="394"/>
      <c r="WV11" s="394"/>
      <c r="WW11" s="394"/>
      <c r="WX11" s="394"/>
      <c r="WY11" s="394"/>
      <c r="WZ11" s="395"/>
      <c r="XA11" s="394"/>
      <c r="XB11" s="394"/>
      <c r="XC11" s="394"/>
      <c r="XD11" s="394"/>
      <c r="XE11" s="394"/>
      <c r="XF11" s="394"/>
      <c r="XG11" s="394"/>
      <c r="XH11" s="395"/>
      <c r="XI11" s="394"/>
      <c r="XJ11" s="394"/>
      <c r="XK11" s="394"/>
      <c r="XL11" s="394"/>
      <c r="XM11" s="394"/>
      <c r="XN11" s="394"/>
      <c r="XO11" s="394"/>
      <c r="XP11" s="395"/>
      <c r="XQ11" s="394"/>
      <c r="XR11" s="394"/>
      <c r="XS11" s="394"/>
      <c r="XT11" s="394"/>
      <c r="XU11" s="394"/>
      <c r="XV11" s="394"/>
      <c r="XW11" s="394"/>
      <c r="XX11" s="395"/>
      <c r="XY11" s="394"/>
      <c r="XZ11" s="394"/>
      <c r="YA11" s="394"/>
      <c r="YB11" s="394"/>
      <c r="YC11" s="394"/>
      <c r="YD11" s="394"/>
      <c r="YE11" s="394"/>
      <c r="YF11" s="395"/>
      <c r="YG11" s="394"/>
      <c r="YH11" s="394"/>
      <c r="YI11" s="394"/>
      <c r="YJ11" s="394"/>
      <c r="YK11" s="394"/>
      <c r="YL11" s="394"/>
      <c r="YM11" s="394"/>
      <c r="YN11" s="395"/>
      <c r="YO11" s="394"/>
      <c r="YP11" s="394"/>
      <c r="YQ11" s="394"/>
      <c r="YR11" s="394"/>
      <c r="YS11" s="394"/>
      <c r="YT11" s="394"/>
      <c r="YU11" s="394"/>
      <c r="YV11" s="395"/>
      <c r="YW11" s="394"/>
      <c r="YX11" s="394"/>
      <c r="YY11" s="394"/>
      <c r="YZ11" s="394"/>
      <c r="ZA11" s="394"/>
      <c r="ZB11" s="394"/>
      <c r="ZC11" s="394"/>
      <c r="ZD11" s="395"/>
      <c r="ZE11" s="394"/>
      <c r="ZF11" s="394"/>
      <c r="ZG11" s="394"/>
      <c r="ZH11" s="394"/>
      <c r="ZI11" s="394"/>
      <c r="ZJ11" s="394"/>
      <c r="ZK11" s="394"/>
      <c r="ZL11" s="395"/>
      <c r="ZM11" s="394"/>
      <c r="ZN11" s="394"/>
      <c r="ZO11" s="394"/>
      <c r="ZP11" s="394"/>
      <c r="ZQ11" s="394"/>
      <c r="ZR11" s="394"/>
      <c r="ZS11" s="394"/>
      <c r="ZT11" s="395"/>
      <c r="ZU11" s="394"/>
      <c r="ZV11" s="394"/>
      <c r="ZW11" s="394"/>
      <c r="ZX11" s="394"/>
      <c r="ZY11" s="394"/>
      <c r="ZZ11" s="394"/>
      <c r="AAA11" s="394"/>
      <c r="AAB11" s="395"/>
      <c r="AAC11" s="394"/>
      <c r="AAD11" s="394"/>
      <c r="AAE11" s="394"/>
      <c r="AAF11" s="394"/>
      <c r="AAG11" s="394"/>
      <c r="AAH11" s="394"/>
      <c r="AAI11" s="394"/>
      <c r="AAJ11" s="395"/>
      <c r="AAK11" s="394"/>
      <c r="AAL11" s="394"/>
      <c r="AAM11" s="394"/>
      <c r="AAN11" s="394"/>
      <c r="AAO11" s="394"/>
      <c r="AAP11" s="394"/>
      <c r="AAQ11" s="394"/>
      <c r="AAR11" s="395"/>
      <c r="AAS11" s="394"/>
      <c r="AAT11" s="394"/>
      <c r="AAU11" s="394"/>
      <c r="AAV11" s="394"/>
      <c r="AAW11" s="394"/>
      <c r="AAX11" s="394"/>
      <c r="AAY11" s="394"/>
      <c r="AAZ11" s="395"/>
      <c r="ABA11" s="394"/>
      <c r="ABB11" s="394"/>
      <c r="ABC11" s="394"/>
      <c r="ABD11" s="394"/>
      <c r="ABE11" s="394"/>
      <c r="ABF11" s="394"/>
      <c r="ABG11" s="394"/>
      <c r="ABH11" s="395"/>
      <c r="ABI11" s="394"/>
      <c r="ABJ11" s="394"/>
      <c r="ABK11" s="394"/>
      <c r="ABL11" s="394"/>
      <c r="ABM11" s="394"/>
      <c r="ABN11" s="394"/>
      <c r="ABO11" s="394"/>
      <c r="ABP11" s="395"/>
      <c r="ABQ11" s="394"/>
      <c r="ABR11" s="394"/>
      <c r="ABS11" s="394"/>
      <c r="ABT11" s="394"/>
      <c r="ABU11" s="394"/>
      <c r="ABV11" s="394"/>
      <c r="ABW11" s="394"/>
      <c r="ABX11" s="395"/>
      <c r="ABY11" s="394"/>
      <c r="ABZ11" s="394"/>
      <c r="ACA11" s="394"/>
      <c r="ACB11" s="394"/>
      <c r="ACC11" s="394"/>
      <c r="ACD11" s="394"/>
      <c r="ACE11" s="394"/>
      <c r="ACF11" s="395"/>
      <c r="ACG11" s="394"/>
      <c r="ACH11" s="394"/>
      <c r="ACI11" s="394"/>
      <c r="ACJ11" s="394"/>
      <c r="ACK11" s="394"/>
      <c r="ACL11" s="394"/>
      <c r="ACM11" s="394"/>
      <c r="ACN11" s="395"/>
      <c r="ACO11" s="394"/>
      <c r="ACP11" s="394"/>
      <c r="ACQ11" s="394"/>
      <c r="ACR11" s="394"/>
      <c r="ACS11" s="394"/>
      <c r="ACT11" s="394"/>
      <c r="ACU11" s="394"/>
      <c r="ACV11" s="395"/>
      <c r="ACW11" s="394"/>
      <c r="ACX11" s="394"/>
      <c r="ACY11" s="394"/>
      <c r="ACZ11" s="394"/>
      <c r="ADA11" s="394"/>
      <c r="ADB11" s="394"/>
      <c r="ADC11" s="394"/>
      <c r="ADD11" s="395"/>
      <c r="ADE11" s="394"/>
      <c r="ADF11" s="394"/>
      <c r="ADG11" s="394"/>
      <c r="ADH11" s="394"/>
      <c r="ADI11" s="394"/>
      <c r="ADJ11" s="394"/>
      <c r="ADK11" s="394"/>
      <c r="ADL11" s="395"/>
      <c r="ADM11" s="394"/>
      <c r="ADN11" s="394"/>
      <c r="ADO11" s="394"/>
      <c r="ADP11" s="394"/>
      <c r="ADQ11" s="394"/>
      <c r="ADR11" s="394"/>
      <c r="ADS11" s="394"/>
      <c r="ADT11" s="395"/>
      <c r="ADU11" s="394"/>
      <c r="ADV11" s="394"/>
      <c r="ADW11" s="394"/>
      <c r="ADX11" s="394"/>
      <c r="ADY11" s="394"/>
      <c r="ADZ11" s="394"/>
      <c r="AEA11" s="394"/>
      <c r="AEB11" s="395"/>
      <c r="AEC11" s="394"/>
      <c r="AED11" s="394"/>
      <c r="AEE11" s="394"/>
      <c r="AEF11" s="394"/>
      <c r="AEG11" s="394"/>
      <c r="AEH11" s="394"/>
      <c r="AEI11" s="394"/>
      <c r="AEJ11" s="395"/>
      <c r="AEK11" s="394"/>
      <c r="AEL11" s="394"/>
      <c r="AEM11" s="394"/>
      <c r="AEN11" s="394"/>
      <c r="AEO11" s="394"/>
      <c r="AEP11" s="394"/>
      <c r="AEQ11" s="394"/>
      <c r="AER11" s="395"/>
      <c r="AES11" s="394"/>
      <c r="AET11" s="394"/>
      <c r="AEU11" s="394"/>
      <c r="AEV11" s="394"/>
      <c r="AEW11" s="394"/>
      <c r="AEX11" s="394"/>
      <c r="AEY11" s="394"/>
      <c r="AEZ11" s="395"/>
      <c r="AFA11" s="394"/>
      <c r="AFB11" s="394"/>
      <c r="AFC11" s="394"/>
      <c r="AFD11" s="394"/>
      <c r="AFE11" s="394"/>
      <c r="AFF11" s="394"/>
      <c r="AFG11" s="394"/>
      <c r="AFH11" s="395"/>
      <c r="AFI11" s="394"/>
      <c r="AFJ11" s="394"/>
      <c r="AFK11" s="394"/>
      <c r="AFL11" s="394"/>
      <c r="AFM11" s="394"/>
      <c r="AFN11" s="394"/>
      <c r="AFO11" s="394"/>
      <c r="AFP11" s="395"/>
      <c r="AFQ11" s="394"/>
      <c r="AFR11" s="394"/>
      <c r="AFS11" s="394"/>
      <c r="AFT11" s="394"/>
      <c r="AFU11" s="394"/>
      <c r="AFV11" s="394"/>
      <c r="AFW11" s="394"/>
      <c r="AFX11" s="395"/>
      <c r="AFY11" s="394"/>
      <c r="AFZ11" s="394"/>
      <c r="AGA11" s="394"/>
      <c r="AGB11" s="394"/>
      <c r="AGC11" s="394"/>
      <c r="AGD11" s="394"/>
      <c r="AGE11" s="394"/>
      <c r="AGF11" s="395"/>
      <c r="AGG11" s="394"/>
      <c r="AGH11" s="394"/>
      <c r="AGI11" s="394"/>
      <c r="AGJ11" s="394"/>
      <c r="AGK11" s="394"/>
      <c r="AGL11" s="394"/>
      <c r="AGM11" s="394"/>
      <c r="AGN11" s="395"/>
      <c r="AGO11" s="394"/>
      <c r="AGP11" s="394"/>
      <c r="AGQ11" s="394"/>
      <c r="AGR11" s="394"/>
      <c r="AGS11" s="394"/>
      <c r="AGT11" s="394"/>
      <c r="AGU11" s="394"/>
      <c r="AGV11" s="395"/>
      <c r="AGW11" s="394"/>
      <c r="AGX11" s="394"/>
      <c r="AGY11" s="394"/>
      <c r="AGZ11" s="394"/>
      <c r="AHA11" s="394"/>
      <c r="AHB11" s="394"/>
      <c r="AHC11" s="394"/>
      <c r="AHD11" s="395"/>
      <c r="AHE11" s="394"/>
      <c r="AHF11" s="394"/>
      <c r="AHG11" s="394"/>
      <c r="AHH11" s="394"/>
      <c r="AHI11" s="394"/>
      <c r="AHJ11" s="394"/>
      <c r="AHK11" s="394"/>
      <c r="AHL11" s="395"/>
      <c r="AHM11" s="394"/>
      <c r="AHN11" s="394"/>
      <c r="AHO11" s="394"/>
      <c r="AHP11" s="394"/>
      <c r="AHQ11" s="394"/>
      <c r="AHR11" s="394"/>
      <c r="AHS11" s="394"/>
      <c r="AHT11" s="395"/>
      <c r="AHU11" s="394"/>
      <c r="AHV11" s="394"/>
      <c r="AHW11" s="394"/>
      <c r="AHX11" s="394"/>
      <c r="AHY11" s="394"/>
      <c r="AHZ11" s="394"/>
      <c r="AIA11" s="394"/>
      <c r="AIB11" s="395"/>
      <c r="AIC11" s="394"/>
      <c r="AID11" s="394"/>
      <c r="AIE11" s="394"/>
      <c r="AIF11" s="394"/>
      <c r="AIG11" s="394"/>
      <c r="AIH11" s="394"/>
      <c r="AII11" s="394"/>
      <c r="AIJ11" s="395"/>
      <c r="AIK11" s="394"/>
      <c r="AIL11" s="394"/>
      <c r="AIM11" s="394"/>
      <c r="AIN11" s="394"/>
      <c r="AIO11" s="394"/>
      <c r="AIP11" s="394"/>
      <c r="AIQ11" s="394"/>
      <c r="AIR11" s="395"/>
      <c r="AIS11" s="394"/>
      <c r="AIT11" s="394"/>
      <c r="AIU11" s="394"/>
      <c r="AIV11" s="394"/>
      <c r="AIW11" s="394"/>
      <c r="AIX11" s="394"/>
      <c r="AIY11" s="394"/>
      <c r="AIZ11" s="395"/>
      <c r="AJA11" s="394"/>
      <c r="AJB11" s="394"/>
      <c r="AJC11" s="394"/>
      <c r="AJD11" s="394"/>
      <c r="AJE11" s="394"/>
      <c r="AJF11" s="394"/>
      <c r="AJG11" s="394"/>
      <c r="AJH11" s="395"/>
      <c r="AJI11" s="394"/>
      <c r="AJJ11" s="394"/>
      <c r="AJK11" s="394"/>
      <c r="AJL11" s="394"/>
      <c r="AJM11" s="394"/>
      <c r="AJN11" s="394"/>
      <c r="AJO11" s="394"/>
      <c r="AJP11" s="395"/>
      <c r="AJQ11" s="394"/>
      <c r="AJR11" s="394"/>
      <c r="AJS11" s="394"/>
      <c r="AJT11" s="394"/>
      <c r="AJU11" s="394"/>
      <c r="AJV11" s="394"/>
      <c r="AJW11" s="394"/>
      <c r="AJX11" s="395"/>
      <c r="AJY11" s="394"/>
      <c r="AJZ11" s="394"/>
      <c r="AKA11" s="394"/>
      <c r="AKB11" s="394"/>
      <c r="AKC11" s="394"/>
      <c r="AKD11" s="394"/>
      <c r="AKE11" s="394"/>
      <c r="AKF11" s="395"/>
      <c r="AKG11" s="394"/>
      <c r="AKH11" s="394"/>
      <c r="AKI11" s="394"/>
      <c r="AKJ11" s="394"/>
      <c r="AKK11" s="394"/>
      <c r="AKL11" s="394"/>
      <c r="AKM11" s="394"/>
      <c r="AKN11" s="395"/>
      <c r="AKO11" s="394"/>
      <c r="AKP11" s="394"/>
      <c r="AKQ11" s="394"/>
      <c r="AKR11" s="394"/>
      <c r="AKS11" s="394"/>
      <c r="AKT11" s="394"/>
      <c r="AKU11" s="394"/>
      <c r="AKV11" s="395"/>
      <c r="AKW11" s="394"/>
      <c r="AKX11" s="394"/>
      <c r="AKY11" s="394"/>
      <c r="AKZ11" s="394"/>
      <c r="ALA11" s="394"/>
      <c r="ALB11" s="394"/>
      <c r="ALC11" s="394"/>
      <c r="ALD11" s="395"/>
      <c r="ALE11" s="394"/>
      <c r="ALF11" s="394"/>
      <c r="ALG11" s="394"/>
      <c r="ALH11" s="394"/>
      <c r="ALI11" s="394"/>
      <c r="ALJ11" s="394"/>
      <c r="ALK11" s="394"/>
      <c r="ALL11" s="395"/>
      <c r="ALM11" s="394"/>
      <c r="ALN11" s="394"/>
      <c r="ALO11" s="394"/>
      <c r="ALP11" s="394"/>
      <c r="ALQ11" s="394"/>
      <c r="ALR11" s="394"/>
      <c r="ALS11" s="394"/>
      <c r="ALT11" s="395"/>
      <c r="ALU11" s="394"/>
      <c r="ALV11" s="394"/>
      <c r="ALW11" s="394"/>
      <c r="ALX11" s="394"/>
      <c r="ALY11" s="394"/>
      <c r="ALZ11" s="394"/>
      <c r="AMA11" s="394"/>
      <c r="AMB11" s="395"/>
      <c r="AMC11" s="394"/>
      <c r="AMD11" s="394"/>
      <c r="AME11" s="394"/>
      <c r="AMF11" s="394"/>
      <c r="AMG11" s="394"/>
      <c r="AMH11" s="394"/>
      <c r="AMI11" s="394"/>
      <c r="AMJ11" s="395"/>
      <c r="AMK11" s="394"/>
      <c r="AML11" s="394"/>
      <c r="AMM11" s="394"/>
      <c r="AMN11" s="394"/>
      <c r="AMO11" s="394"/>
      <c r="AMP11" s="394"/>
      <c r="AMQ11" s="394"/>
      <c r="AMR11" s="395"/>
      <c r="AMS11" s="394"/>
      <c r="AMT11" s="394"/>
      <c r="AMU11" s="394"/>
      <c r="AMV11" s="394"/>
      <c r="AMW11" s="394"/>
      <c r="AMX11" s="394"/>
      <c r="AMY11" s="394"/>
      <c r="AMZ11" s="395"/>
      <c r="ANA11" s="394"/>
      <c r="ANB11" s="394"/>
      <c r="ANC11" s="394"/>
      <c r="AND11" s="394"/>
      <c r="ANE11" s="394"/>
      <c r="ANF11" s="394"/>
      <c r="ANG11" s="394"/>
      <c r="ANH11" s="395"/>
      <c r="ANI11" s="394"/>
      <c r="ANJ11" s="394"/>
      <c r="ANK11" s="394"/>
      <c r="ANL11" s="394"/>
      <c r="ANM11" s="394"/>
      <c r="ANN11" s="394"/>
      <c r="ANO11" s="394"/>
      <c r="ANP11" s="395"/>
      <c r="ANQ11" s="394"/>
      <c r="ANR11" s="394"/>
      <c r="ANS11" s="394"/>
      <c r="ANT11" s="394"/>
      <c r="ANU11" s="394"/>
      <c r="ANV11" s="394"/>
      <c r="ANW11" s="394"/>
      <c r="ANX11" s="395"/>
      <c r="ANY11" s="394"/>
      <c r="ANZ11" s="394"/>
      <c r="AOA11" s="394"/>
      <c r="AOB11" s="394"/>
      <c r="AOC11" s="394"/>
      <c r="AOD11" s="394"/>
      <c r="AOE11" s="394"/>
      <c r="AOF11" s="395"/>
      <c r="AOG11" s="394"/>
      <c r="AOH11" s="394"/>
      <c r="AOI11" s="394"/>
      <c r="AOJ11" s="394"/>
      <c r="AOK11" s="394"/>
      <c r="AOL11" s="394"/>
      <c r="AOM11" s="394"/>
      <c r="AON11" s="395"/>
      <c r="AOO11" s="394"/>
      <c r="AOP11" s="394"/>
      <c r="AOQ11" s="394"/>
      <c r="AOR11" s="394"/>
      <c r="AOS11" s="394"/>
      <c r="AOT11" s="394"/>
      <c r="AOU11" s="394"/>
      <c r="AOV11" s="395"/>
      <c r="AOW11" s="394"/>
      <c r="AOX11" s="394"/>
      <c r="AOY11" s="394"/>
      <c r="AOZ11" s="394"/>
      <c r="APA11" s="394"/>
      <c r="APB11" s="394"/>
      <c r="APC11" s="394"/>
      <c r="APD11" s="395"/>
      <c r="APE11" s="394"/>
      <c r="APF11" s="394"/>
      <c r="APG11" s="394"/>
      <c r="APH11" s="394"/>
      <c r="API11" s="394"/>
      <c r="APJ11" s="394"/>
      <c r="APK11" s="394"/>
      <c r="APL11" s="395"/>
      <c r="APM11" s="394"/>
      <c r="APN11" s="394"/>
      <c r="APO11" s="394"/>
      <c r="APP11" s="394"/>
      <c r="APQ11" s="394"/>
      <c r="APR11" s="394"/>
      <c r="APS11" s="394"/>
      <c r="APT11" s="395"/>
      <c r="APU11" s="394"/>
      <c r="APV11" s="394"/>
      <c r="APW11" s="394"/>
      <c r="APX11" s="394"/>
      <c r="APY11" s="394"/>
      <c r="APZ11" s="394"/>
      <c r="AQA11" s="394"/>
      <c r="AQB11" s="395"/>
      <c r="AQC11" s="394"/>
      <c r="AQD11" s="394"/>
      <c r="AQE11" s="394"/>
      <c r="AQF11" s="394"/>
      <c r="AQG11" s="394"/>
      <c r="AQH11" s="394"/>
      <c r="AQI11" s="394"/>
      <c r="AQJ11" s="395"/>
      <c r="AQK11" s="394"/>
      <c r="AQL11" s="394"/>
      <c r="AQM11" s="394"/>
      <c r="AQN11" s="394"/>
      <c r="AQO11" s="394"/>
      <c r="AQP11" s="394"/>
      <c r="AQQ11" s="394"/>
      <c r="AQR11" s="395"/>
      <c r="AQS11" s="394"/>
      <c r="AQT11" s="394"/>
      <c r="AQU11" s="394"/>
      <c r="AQV11" s="394"/>
      <c r="AQW11" s="394"/>
      <c r="AQX11" s="394"/>
      <c r="AQY11" s="394"/>
      <c r="AQZ11" s="395"/>
      <c r="ARA11" s="394"/>
      <c r="ARB11" s="394"/>
      <c r="ARC11" s="394"/>
      <c r="ARD11" s="394"/>
      <c r="ARE11" s="394"/>
      <c r="ARF11" s="394"/>
      <c r="ARG11" s="394"/>
      <c r="ARH11" s="395"/>
      <c r="ARI11" s="394"/>
      <c r="ARJ11" s="394"/>
      <c r="ARK11" s="394"/>
      <c r="ARL11" s="394"/>
      <c r="ARM11" s="394"/>
      <c r="ARN11" s="394"/>
      <c r="ARO11" s="394"/>
      <c r="ARP11" s="395"/>
      <c r="ARQ11" s="394"/>
      <c r="ARR11" s="394"/>
      <c r="ARS11" s="394"/>
      <c r="ART11" s="394"/>
      <c r="ARU11" s="394"/>
      <c r="ARV11" s="394"/>
      <c r="ARW11" s="394"/>
      <c r="ARX11" s="395"/>
      <c r="ARY11" s="394"/>
      <c r="ARZ11" s="394"/>
      <c r="ASA11" s="394"/>
      <c r="ASB11" s="394"/>
      <c r="ASC11" s="394"/>
      <c r="ASD11" s="394"/>
      <c r="ASE11" s="394"/>
      <c r="ASF11" s="395"/>
      <c r="ASG11" s="394"/>
      <c r="ASH11" s="394"/>
      <c r="ASI11" s="394"/>
      <c r="ASJ11" s="394"/>
      <c r="ASK11" s="394"/>
      <c r="ASL11" s="394"/>
      <c r="ASM11" s="394"/>
      <c r="ASN11" s="395"/>
      <c r="ASO11" s="394"/>
      <c r="ASP11" s="394"/>
      <c r="ASQ11" s="394"/>
      <c r="ASR11" s="394"/>
      <c r="ASS11" s="394"/>
      <c r="AST11" s="394"/>
      <c r="ASU11" s="394"/>
      <c r="ASV11" s="395"/>
      <c r="ASW11" s="394"/>
      <c r="ASX11" s="394"/>
      <c r="ASY11" s="394"/>
      <c r="ASZ11" s="394"/>
      <c r="ATA11" s="394"/>
      <c r="ATB11" s="394"/>
      <c r="ATC11" s="394"/>
      <c r="ATD11" s="395"/>
      <c r="ATE11" s="394"/>
      <c r="ATF11" s="394"/>
      <c r="ATG11" s="394"/>
      <c r="ATH11" s="394"/>
      <c r="ATI11" s="394"/>
      <c r="ATJ11" s="394"/>
      <c r="ATK11" s="394"/>
      <c r="ATL11" s="395"/>
      <c r="ATM11" s="394"/>
      <c r="ATN11" s="394"/>
      <c r="ATO11" s="394"/>
      <c r="ATP11" s="394"/>
      <c r="ATQ11" s="394"/>
      <c r="ATR11" s="394"/>
      <c r="ATS11" s="394"/>
      <c r="ATT11" s="395"/>
      <c r="ATU11" s="394"/>
      <c r="ATV11" s="394"/>
      <c r="ATW11" s="394"/>
      <c r="ATX11" s="394"/>
      <c r="ATY11" s="394"/>
      <c r="ATZ11" s="394"/>
      <c r="AUA11" s="394"/>
      <c r="AUB11" s="395"/>
      <c r="AUC11" s="394"/>
      <c r="AUD11" s="394"/>
      <c r="AUE11" s="394"/>
      <c r="AUF11" s="394"/>
      <c r="AUG11" s="394"/>
      <c r="AUH11" s="394"/>
      <c r="AUI11" s="394"/>
      <c r="AUJ11" s="395"/>
      <c r="AUK11" s="394"/>
      <c r="AUL11" s="394"/>
      <c r="AUM11" s="394"/>
      <c r="AUN11" s="394"/>
      <c r="AUO11" s="394"/>
      <c r="AUP11" s="394"/>
      <c r="AUQ11" s="394"/>
      <c r="AUR11" s="395"/>
      <c r="AUS11" s="394"/>
      <c r="AUT11" s="394"/>
      <c r="AUU11" s="394"/>
      <c r="AUV11" s="394"/>
      <c r="AUW11" s="394"/>
      <c r="AUX11" s="394"/>
      <c r="AUY11" s="394"/>
      <c r="AUZ11" s="395"/>
      <c r="AVA11" s="394"/>
      <c r="AVB11" s="394"/>
      <c r="AVC11" s="394"/>
      <c r="AVD11" s="394"/>
      <c r="AVE11" s="394"/>
      <c r="AVF11" s="394"/>
      <c r="AVG11" s="394"/>
      <c r="AVH11" s="395"/>
      <c r="AVI11" s="394"/>
      <c r="AVJ11" s="394"/>
      <c r="AVK11" s="394"/>
      <c r="AVL11" s="394"/>
      <c r="AVM11" s="394"/>
      <c r="AVN11" s="394"/>
      <c r="AVO11" s="394"/>
      <c r="AVP11" s="395"/>
      <c r="AVQ11" s="394"/>
      <c r="AVR11" s="394"/>
      <c r="AVS11" s="394"/>
      <c r="AVT11" s="394"/>
      <c r="AVU11" s="394"/>
      <c r="AVV11" s="394"/>
      <c r="AVW11" s="394"/>
      <c r="AVX11" s="395"/>
      <c r="AVY11" s="394"/>
      <c r="AVZ11" s="394"/>
      <c r="AWA11" s="394"/>
      <c r="AWB11" s="394"/>
      <c r="AWC11" s="394"/>
      <c r="AWD11" s="394"/>
      <c r="AWE11" s="394"/>
      <c r="AWF11" s="395"/>
      <c r="AWG11" s="394"/>
      <c r="AWH11" s="394"/>
      <c r="AWI11" s="394"/>
      <c r="AWJ11" s="394"/>
      <c r="AWK11" s="394"/>
      <c r="AWL11" s="394"/>
      <c r="AWM11" s="394"/>
      <c r="AWN11" s="395"/>
      <c r="AWO11" s="394"/>
      <c r="AWP11" s="394"/>
      <c r="AWQ11" s="394"/>
      <c r="AWR11" s="394"/>
      <c r="AWS11" s="394"/>
      <c r="AWT11" s="394"/>
      <c r="AWU11" s="394"/>
      <c r="AWV11" s="395"/>
      <c r="AWW11" s="394"/>
      <c r="AWX11" s="394"/>
      <c r="AWY11" s="394"/>
      <c r="AWZ11" s="394"/>
      <c r="AXA11" s="394"/>
      <c r="AXB11" s="394"/>
      <c r="AXC11" s="394"/>
      <c r="AXD11" s="395"/>
      <c r="AXE11" s="394"/>
      <c r="AXF11" s="394"/>
      <c r="AXG11" s="394"/>
      <c r="AXH11" s="394"/>
      <c r="AXI11" s="394"/>
      <c r="AXJ11" s="394"/>
      <c r="AXK11" s="394"/>
      <c r="AXL11" s="395"/>
      <c r="AXM11" s="394"/>
      <c r="AXN11" s="394"/>
      <c r="AXO11" s="394"/>
      <c r="AXP11" s="394"/>
      <c r="AXQ11" s="394"/>
      <c r="AXR11" s="394"/>
      <c r="AXS11" s="394"/>
      <c r="AXT11" s="395"/>
      <c r="AXU11" s="394"/>
      <c r="AXV11" s="394"/>
      <c r="AXW11" s="394"/>
      <c r="AXX11" s="394"/>
      <c r="AXY11" s="394"/>
      <c r="AXZ11" s="394"/>
      <c r="AYA11" s="394"/>
      <c r="AYB11" s="395"/>
      <c r="AYC11" s="394"/>
      <c r="AYD11" s="394"/>
      <c r="AYE11" s="394"/>
      <c r="AYF11" s="394"/>
      <c r="AYG11" s="394"/>
      <c r="AYH11" s="394"/>
      <c r="AYI11" s="394"/>
      <c r="AYJ11" s="395"/>
      <c r="AYK11" s="394"/>
      <c r="AYL11" s="394"/>
      <c r="AYM11" s="394"/>
      <c r="AYN11" s="394"/>
      <c r="AYO11" s="394"/>
      <c r="AYP11" s="394"/>
      <c r="AYQ11" s="394"/>
      <c r="AYR11" s="395"/>
      <c r="AYS11" s="394"/>
      <c r="AYT11" s="394"/>
      <c r="AYU11" s="394"/>
      <c r="AYV11" s="394"/>
      <c r="AYW11" s="394"/>
      <c r="AYX11" s="394"/>
      <c r="AYY11" s="394"/>
      <c r="AYZ11" s="395"/>
      <c r="AZA11" s="394"/>
      <c r="AZB11" s="394"/>
      <c r="AZC11" s="394"/>
      <c r="AZD11" s="394"/>
      <c r="AZE11" s="394"/>
      <c r="AZF11" s="394"/>
      <c r="AZG11" s="394"/>
      <c r="AZH11" s="395"/>
      <c r="AZI11" s="394"/>
      <c r="AZJ11" s="394"/>
      <c r="AZK11" s="394"/>
      <c r="AZL11" s="394"/>
      <c r="AZM11" s="394"/>
      <c r="AZN11" s="394"/>
      <c r="AZO11" s="394"/>
      <c r="AZP11" s="395"/>
      <c r="AZQ11" s="394"/>
      <c r="AZR11" s="394"/>
      <c r="AZS11" s="394"/>
      <c r="AZT11" s="394"/>
      <c r="AZU11" s="394"/>
      <c r="AZV11" s="394"/>
      <c r="AZW11" s="394"/>
      <c r="AZX11" s="395"/>
      <c r="AZY11" s="394"/>
      <c r="AZZ11" s="394"/>
      <c r="BAA11" s="394"/>
      <c r="BAB11" s="394"/>
      <c r="BAC11" s="394"/>
      <c r="BAD11" s="394"/>
      <c r="BAE11" s="394"/>
      <c r="BAF11" s="395"/>
      <c r="BAG11" s="394"/>
      <c r="BAH11" s="394"/>
      <c r="BAI11" s="394"/>
      <c r="BAJ11" s="394"/>
      <c r="BAK11" s="394"/>
      <c r="BAL11" s="394"/>
      <c r="BAM11" s="394"/>
      <c r="BAN11" s="395"/>
      <c r="BAO11" s="394"/>
      <c r="BAP11" s="394"/>
      <c r="BAQ11" s="394"/>
      <c r="BAR11" s="394"/>
      <c r="BAS11" s="394"/>
      <c r="BAT11" s="394"/>
      <c r="BAU11" s="394"/>
      <c r="BAV11" s="395"/>
      <c r="BAW11" s="394"/>
      <c r="BAX11" s="394"/>
      <c r="BAY11" s="394"/>
      <c r="BAZ11" s="394"/>
      <c r="BBA11" s="394"/>
      <c r="BBB11" s="394"/>
      <c r="BBC11" s="394"/>
      <c r="BBD11" s="395"/>
      <c r="BBE11" s="394"/>
      <c r="BBF11" s="394"/>
      <c r="BBG11" s="394"/>
      <c r="BBH11" s="394"/>
      <c r="BBI11" s="394"/>
      <c r="BBJ11" s="394"/>
      <c r="BBK11" s="394"/>
      <c r="BBL11" s="395"/>
      <c r="BBM11" s="394"/>
      <c r="BBN11" s="394"/>
      <c r="BBO11" s="394"/>
      <c r="BBP11" s="394"/>
      <c r="BBQ11" s="394"/>
      <c r="BBR11" s="394"/>
      <c r="BBS11" s="394"/>
      <c r="BBT11" s="395"/>
      <c r="BBU11" s="394"/>
      <c r="BBV11" s="394"/>
      <c r="BBW11" s="394"/>
      <c r="BBX11" s="394"/>
      <c r="BBY11" s="394"/>
      <c r="BBZ11" s="394"/>
      <c r="BCA11" s="394"/>
      <c r="BCB11" s="395"/>
      <c r="BCC11" s="394"/>
      <c r="BCD11" s="394"/>
      <c r="BCE11" s="394"/>
      <c r="BCF11" s="394"/>
      <c r="BCG11" s="394"/>
      <c r="BCH11" s="394"/>
      <c r="BCI11" s="394"/>
      <c r="BCJ11" s="395"/>
      <c r="BCK11" s="394"/>
      <c r="BCL11" s="394"/>
      <c r="BCM11" s="394"/>
      <c r="BCN11" s="394"/>
      <c r="BCO11" s="394"/>
      <c r="BCP11" s="394"/>
      <c r="BCQ11" s="394"/>
      <c r="BCR11" s="395"/>
      <c r="BCS11" s="394"/>
      <c r="BCT11" s="394"/>
      <c r="BCU11" s="394"/>
      <c r="BCV11" s="394"/>
      <c r="BCW11" s="394"/>
      <c r="BCX11" s="394"/>
      <c r="BCY11" s="394"/>
      <c r="BCZ11" s="395"/>
      <c r="BDA11" s="394"/>
      <c r="BDB11" s="394"/>
      <c r="BDC11" s="394"/>
      <c r="BDD11" s="394"/>
      <c r="BDE11" s="394"/>
      <c r="BDF11" s="394"/>
      <c r="BDG11" s="394"/>
      <c r="BDH11" s="395"/>
      <c r="BDI11" s="394"/>
      <c r="BDJ11" s="394"/>
      <c r="BDK11" s="394"/>
      <c r="BDL11" s="394"/>
      <c r="BDM11" s="394"/>
      <c r="BDN11" s="394"/>
      <c r="BDO11" s="394"/>
      <c r="BDP11" s="395"/>
      <c r="BDQ11" s="394"/>
      <c r="BDR11" s="394"/>
      <c r="BDS11" s="394"/>
      <c r="BDT11" s="394"/>
      <c r="BDU11" s="394"/>
      <c r="BDV11" s="394"/>
      <c r="BDW11" s="394"/>
      <c r="BDX11" s="395"/>
      <c r="BDY11" s="394"/>
      <c r="BDZ11" s="394"/>
      <c r="BEA11" s="394"/>
      <c r="BEB11" s="394"/>
      <c r="BEC11" s="394"/>
      <c r="BED11" s="394"/>
      <c r="BEE11" s="394"/>
      <c r="BEF11" s="395"/>
      <c r="BEG11" s="394"/>
      <c r="BEH11" s="394"/>
      <c r="BEI11" s="394"/>
      <c r="BEJ11" s="394"/>
      <c r="BEK11" s="394"/>
      <c r="BEL11" s="394"/>
      <c r="BEM11" s="394"/>
      <c r="BEN11" s="395"/>
      <c r="BEO11" s="394"/>
      <c r="BEP11" s="394"/>
      <c r="BEQ11" s="394"/>
      <c r="BER11" s="394"/>
      <c r="BES11" s="394"/>
      <c r="BET11" s="394"/>
      <c r="BEU11" s="394"/>
      <c r="BEV11" s="395"/>
      <c r="BEW11" s="394"/>
      <c r="BEX11" s="394"/>
      <c r="BEY11" s="394"/>
      <c r="BEZ11" s="394"/>
      <c r="BFA11" s="394"/>
      <c r="BFB11" s="394"/>
      <c r="BFC11" s="394"/>
      <c r="BFD11" s="395"/>
      <c r="BFE11" s="394"/>
      <c r="BFF11" s="394"/>
      <c r="BFG11" s="394"/>
      <c r="BFH11" s="394"/>
      <c r="BFI11" s="394"/>
      <c r="BFJ11" s="394"/>
      <c r="BFK11" s="394"/>
      <c r="BFL11" s="395"/>
      <c r="BFM11" s="394"/>
      <c r="BFN11" s="394"/>
      <c r="BFO11" s="394"/>
      <c r="BFP11" s="394"/>
      <c r="BFQ11" s="394"/>
      <c r="BFR11" s="394"/>
      <c r="BFS11" s="394"/>
      <c r="BFT11" s="395"/>
      <c r="BFU11" s="394"/>
      <c r="BFV11" s="394"/>
      <c r="BFW11" s="394"/>
      <c r="BFX11" s="394"/>
      <c r="BFY11" s="394"/>
      <c r="BFZ11" s="394"/>
      <c r="BGA11" s="394"/>
      <c r="BGB11" s="395"/>
      <c r="BGC11" s="394"/>
      <c r="BGD11" s="394"/>
      <c r="BGE11" s="394"/>
      <c r="BGF11" s="394"/>
      <c r="BGG11" s="394"/>
      <c r="BGH11" s="394"/>
      <c r="BGI11" s="394"/>
      <c r="BGJ11" s="395"/>
      <c r="BGK11" s="394"/>
      <c r="BGL11" s="394"/>
      <c r="BGM11" s="394"/>
      <c r="BGN11" s="394"/>
      <c r="BGO11" s="394"/>
      <c r="BGP11" s="394"/>
      <c r="BGQ11" s="394"/>
      <c r="BGR11" s="395"/>
      <c r="BGS11" s="394"/>
      <c r="BGT11" s="394"/>
      <c r="BGU11" s="394"/>
      <c r="BGV11" s="394"/>
      <c r="BGW11" s="394"/>
      <c r="BGX11" s="394"/>
      <c r="BGY11" s="394"/>
      <c r="BGZ11" s="395"/>
      <c r="BHA11" s="394"/>
      <c r="BHB11" s="394"/>
      <c r="BHC11" s="394"/>
      <c r="BHD11" s="394"/>
      <c r="BHE11" s="394"/>
      <c r="BHF11" s="394"/>
      <c r="BHG11" s="394"/>
      <c r="BHH11" s="395"/>
      <c r="BHI11" s="394"/>
      <c r="BHJ11" s="394"/>
      <c r="BHK11" s="394"/>
      <c r="BHL11" s="394"/>
      <c r="BHM11" s="394"/>
      <c r="BHN11" s="394"/>
      <c r="BHO11" s="394"/>
      <c r="BHP11" s="395"/>
      <c r="BHQ11" s="394"/>
      <c r="BHR11" s="394"/>
      <c r="BHS11" s="394"/>
      <c r="BHT11" s="394"/>
      <c r="BHU11" s="394"/>
      <c r="BHV11" s="394"/>
      <c r="BHW11" s="394"/>
      <c r="BHX11" s="395"/>
      <c r="BHY11" s="394"/>
      <c r="BHZ11" s="394"/>
      <c r="BIA11" s="394"/>
      <c r="BIB11" s="394"/>
      <c r="BIC11" s="394"/>
      <c r="BID11" s="394"/>
      <c r="BIE11" s="394"/>
      <c r="BIF11" s="395"/>
      <c r="BIG11" s="394"/>
      <c r="BIH11" s="394"/>
      <c r="BII11" s="394"/>
      <c r="BIJ11" s="394"/>
      <c r="BIK11" s="394"/>
      <c r="BIL11" s="394"/>
      <c r="BIM11" s="394"/>
      <c r="BIN11" s="395"/>
      <c r="BIO11" s="394"/>
      <c r="BIP11" s="394"/>
      <c r="BIQ11" s="394"/>
      <c r="BIR11" s="394"/>
      <c r="BIS11" s="394"/>
      <c r="BIT11" s="394"/>
      <c r="BIU11" s="394"/>
      <c r="BIV11" s="395"/>
      <c r="BIW11" s="394"/>
      <c r="BIX11" s="394"/>
      <c r="BIY11" s="394"/>
      <c r="BIZ11" s="394"/>
      <c r="BJA11" s="394"/>
      <c r="BJB11" s="394"/>
      <c r="BJC11" s="394"/>
      <c r="BJD11" s="395"/>
      <c r="BJE11" s="394"/>
      <c r="BJF11" s="394"/>
      <c r="BJG11" s="394"/>
      <c r="BJH11" s="394"/>
      <c r="BJI11" s="394"/>
      <c r="BJJ11" s="394"/>
      <c r="BJK11" s="394"/>
      <c r="BJL11" s="395"/>
      <c r="BJM11" s="394"/>
      <c r="BJN11" s="394"/>
      <c r="BJO11" s="394"/>
      <c r="BJP11" s="394"/>
      <c r="BJQ11" s="394"/>
      <c r="BJR11" s="394"/>
      <c r="BJS11" s="394"/>
      <c r="BJT11" s="395"/>
      <c r="BJU11" s="394"/>
      <c r="BJV11" s="394"/>
      <c r="BJW11" s="394"/>
      <c r="BJX11" s="394"/>
      <c r="BJY11" s="394"/>
      <c r="BJZ11" s="394"/>
      <c r="BKA11" s="394"/>
      <c r="BKB11" s="395"/>
      <c r="BKC11" s="394"/>
      <c r="BKD11" s="394"/>
      <c r="BKE11" s="394"/>
      <c r="BKF11" s="394"/>
      <c r="BKG11" s="394"/>
      <c r="BKH11" s="394"/>
      <c r="BKI11" s="394"/>
      <c r="BKJ11" s="395"/>
      <c r="BKK11" s="394"/>
      <c r="BKL11" s="394"/>
      <c r="BKM11" s="394"/>
      <c r="BKN11" s="394"/>
      <c r="BKO11" s="394"/>
      <c r="BKP11" s="394"/>
      <c r="BKQ11" s="394"/>
      <c r="BKR11" s="395"/>
      <c r="BKS11" s="394"/>
      <c r="BKT11" s="394"/>
      <c r="BKU11" s="394"/>
      <c r="BKV11" s="394"/>
      <c r="BKW11" s="394"/>
      <c r="BKX11" s="394"/>
      <c r="BKY11" s="394"/>
      <c r="BKZ11" s="395"/>
      <c r="BLA11" s="394"/>
      <c r="BLB11" s="394"/>
      <c r="BLC11" s="394"/>
      <c r="BLD11" s="394"/>
      <c r="BLE11" s="394"/>
      <c r="BLF11" s="394"/>
      <c r="BLG11" s="394"/>
      <c r="BLH11" s="395"/>
      <c r="BLI11" s="394"/>
      <c r="BLJ11" s="394"/>
      <c r="BLK11" s="394"/>
      <c r="BLL11" s="394"/>
      <c r="BLM11" s="394"/>
      <c r="BLN11" s="394"/>
      <c r="BLO11" s="394"/>
      <c r="BLP11" s="395"/>
      <c r="BLQ11" s="394"/>
      <c r="BLR11" s="394"/>
      <c r="BLS11" s="394"/>
      <c r="BLT11" s="394"/>
      <c r="BLU11" s="394"/>
      <c r="BLV11" s="394"/>
      <c r="BLW11" s="394"/>
      <c r="BLX11" s="395"/>
      <c r="BLY11" s="394"/>
      <c r="BLZ11" s="394"/>
      <c r="BMA11" s="394"/>
      <c r="BMB11" s="394"/>
      <c r="BMC11" s="394"/>
      <c r="BMD11" s="394"/>
      <c r="BME11" s="394"/>
      <c r="BMF11" s="395"/>
      <c r="BMG11" s="394"/>
      <c r="BMH11" s="394"/>
      <c r="BMI11" s="394"/>
      <c r="BMJ11" s="394"/>
      <c r="BMK11" s="394"/>
      <c r="BML11" s="394"/>
      <c r="BMM11" s="394"/>
      <c r="BMN11" s="395"/>
      <c r="BMO11" s="394"/>
      <c r="BMP11" s="394"/>
      <c r="BMQ11" s="394"/>
      <c r="BMR11" s="394"/>
      <c r="BMS11" s="394"/>
      <c r="BMT11" s="394"/>
      <c r="BMU11" s="394"/>
      <c r="BMV11" s="395"/>
      <c r="BMW11" s="394"/>
      <c r="BMX11" s="394"/>
      <c r="BMY11" s="394"/>
      <c r="BMZ11" s="394"/>
      <c r="BNA11" s="394"/>
      <c r="BNB11" s="394"/>
      <c r="BNC11" s="394"/>
      <c r="BND11" s="395"/>
      <c r="BNE11" s="394"/>
      <c r="BNF11" s="394"/>
      <c r="BNG11" s="394"/>
      <c r="BNH11" s="394"/>
      <c r="BNI11" s="394"/>
      <c r="BNJ11" s="394"/>
      <c r="BNK11" s="394"/>
      <c r="BNL11" s="395"/>
      <c r="BNM11" s="394"/>
      <c r="BNN11" s="394"/>
      <c r="BNO11" s="394"/>
      <c r="BNP11" s="394"/>
      <c r="BNQ11" s="394"/>
      <c r="BNR11" s="394"/>
      <c r="BNS11" s="394"/>
      <c r="BNT11" s="395"/>
      <c r="BNU11" s="394"/>
      <c r="BNV11" s="394"/>
      <c r="BNW11" s="394"/>
      <c r="BNX11" s="394"/>
      <c r="BNY11" s="394"/>
      <c r="BNZ11" s="394"/>
      <c r="BOA11" s="394"/>
      <c r="BOB11" s="395"/>
      <c r="BOC11" s="394"/>
      <c r="BOD11" s="394"/>
      <c r="BOE11" s="394"/>
      <c r="BOF11" s="394"/>
      <c r="BOG11" s="394"/>
      <c r="BOH11" s="394"/>
      <c r="BOI11" s="394"/>
      <c r="BOJ11" s="395"/>
      <c r="BOK11" s="394"/>
      <c r="BOL11" s="394"/>
      <c r="BOM11" s="394"/>
      <c r="BON11" s="394"/>
      <c r="BOO11" s="394"/>
      <c r="BOP11" s="394"/>
      <c r="BOQ11" s="394"/>
      <c r="BOR11" s="395"/>
      <c r="BOS11" s="394"/>
      <c r="BOT11" s="394"/>
      <c r="BOU11" s="394"/>
      <c r="BOV11" s="394"/>
      <c r="BOW11" s="394"/>
      <c r="BOX11" s="394"/>
      <c r="BOY11" s="394"/>
      <c r="BOZ11" s="395"/>
      <c r="BPA11" s="394"/>
      <c r="BPB11" s="394"/>
      <c r="BPC11" s="394"/>
      <c r="BPD11" s="394"/>
      <c r="BPE11" s="394"/>
      <c r="BPF11" s="394"/>
      <c r="BPG11" s="394"/>
      <c r="BPH11" s="395"/>
      <c r="BPI11" s="394"/>
      <c r="BPJ11" s="394"/>
      <c r="BPK11" s="394"/>
      <c r="BPL11" s="394"/>
      <c r="BPM11" s="394"/>
      <c r="BPN11" s="394"/>
      <c r="BPO11" s="394"/>
      <c r="BPP11" s="395"/>
      <c r="BPQ11" s="394"/>
      <c r="BPR11" s="394"/>
      <c r="BPS11" s="394"/>
      <c r="BPT11" s="394"/>
      <c r="BPU11" s="394"/>
      <c r="BPV11" s="394"/>
      <c r="BPW11" s="394"/>
      <c r="BPX11" s="395"/>
      <c r="BPY11" s="394"/>
      <c r="BPZ11" s="394"/>
      <c r="BQA11" s="394"/>
      <c r="BQB11" s="394"/>
      <c r="BQC11" s="394"/>
      <c r="BQD11" s="394"/>
      <c r="BQE11" s="394"/>
      <c r="BQF11" s="395"/>
      <c r="BQG11" s="394"/>
      <c r="BQH11" s="394"/>
      <c r="BQI11" s="394"/>
      <c r="BQJ11" s="394"/>
      <c r="BQK11" s="394"/>
      <c r="BQL11" s="394"/>
      <c r="BQM11" s="394"/>
      <c r="BQN11" s="395"/>
      <c r="BQO11" s="394"/>
      <c r="BQP11" s="394"/>
      <c r="BQQ11" s="394"/>
      <c r="BQR11" s="394"/>
      <c r="BQS11" s="394"/>
      <c r="BQT11" s="394"/>
      <c r="BQU11" s="394"/>
      <c r="BQV11" s="395"/>
      <c r="BQW11" s="394"/>
      <c r="BQX11" s="394"/>
      <c r="BQY11" s="394"/>
      <c r="BQZ11" s="394"/>
      <c r="BRA11" s="394"/>
      <c r="BRB11" s="394"/>
      <c r="BRC11" s="394"/>
      <c r="BRD11" s="395"/>
      <c r="BRE11" s="394"/>
      <c r="BRF11" s="394"/>
      <c r="BRG11" s="394"/>
      <c r="BRH11" s="394"/>
      <c r="BRI11" s="394"/>
      <c r="BRJ11" s="394"/>
      <c r="BRK11" s="394"/>
      <c r="BRL11" s="395"/>
      <c r="BRM11" s="394"/>
      <c r="BRN11" s="394"/>
      <c r="BRO11" s="394"/>
      <c r="BRP11" s="394"/>
      <c r="BRQ11" s="394"/>
      <c r="BRR11" s="394"/>
      <c r="BRS11" s="394"/>
      <c r="BRT11" s="395"/>
      <c r="BRU11" s="394"/>
      <c r="BRV11" s="394"/>
      <c r="BRW11" s="394"/>
      <c r="BRX11" s="394"/>
      <c r="BRY11" s="394"/>
      <c r="BRZ11" s="394"/>
      <c r="BSA11" s="394"/>
      <c r="BSB11" s="395"/>
      <c r="BSC11" s="394"/>
      <c r="BSD11" s="394"/>
      <c r="BSE11" s="394"/>
      <c r="BSF11" s="394"/>
      <c r="BSG11" s="394"/>
      <c r="BSH11" s="394"/>
      <c r="BSI11" s="394"/>
      <c r="BSJ11" s="395"/>
      <c r="BSK11" s="394"/>
      <c r="BSL11" s="394"/>
      <c r="BSM11" s="394"/>
      <c r="BSN11" s="394"/>
      <c r="BSO11" s="394"/>
      <c r="BSP11" s="394"/>
      <c r="BSQ11" s="394"/>
      <c r="BSR11" s="395"/>
      <c r="BSS11" s="394"/>
      <c r="BST11" s="394"/>
      <c r="BSU11" s="394"/>
      <c r="BSV11" s="394"/>
      <c r="BSW11" s="394"/>
      <c r="BSX11" s="394"/>
      <c r="BSY11" s="394"/>
      <c r="BSZ11" s="395"/>
      <c r="BTA11" s="394"/>
      <c r="BTB11" s="394"/>
      <c r="BTC11" s="394"/>
      <c r="BTD11" s="394"/>
      <c r="BTE11" s="394"/>
      <c r="BTF11" s="394"/>
      <c r="BTG11" s="394"/>
      <c r="BTH11" s="395"/>
      <c r="BTI11" s="394"/>
      <c r="BTJ11" s="394"/>
      <c r="BTK11" s="394"/>
      <c r="BTL11" s="394"/>
      <c r="BTM11" s="394"/>
      <c r="BTN11" s="394"/>
      <c r="BTO11" s="394"/>
      <c r="BTP11" s="395"/>
      <c r="BTQ11" s="394"/>
      <c r="BTR11" s="394"/>
      <c r="BTS11" s="394"/>
      <c r="BTT11" s="394"/>
      <c r="BTU11" s="394"/>
      <c r="BTV11" s="394"/>
      <c r="BTW11" s="394"/>
      <c r="BTX11" s="395"/>
      <c r="BTY11" s="394"/>
      <c r="BTZ11" s="394"/>
      <c r="BUA11" s="394"/>
      <c r="BUB11" s="394"/>
      <c r="BUC11" s="394"/>
      <c r="BUD11" s="394"/>
      <c r="BUE11" s="394"/>
      <c r="BUF11" s="395"/>
      <c r="BUG11" s="394"/>
      <c r="BUH11" s="394"/>
      <c r="BUI11" s="394"/>
      <c r="BUJ11" s="394"/>
      <c r="BUK11" s="394"/>
      <c r="BUL11" s="394"/>
      <c r="BUM11" s="394"/>
      <c r="BUN11" s="395"/>
      <c r="BUO11" s="394"/>
      <c r="BUP11" s="394"/>
      <c r="BUQ11" s="394"/>
      <c r="BUR11" s="394"/>
      <c r="BUS11" s="394"/>
      <c r="BUT11" s="394"/>
      <c r="BUU11" s="394"/>
      <c r="BUV11" s="395"/>
      <c r="BUW11" s="394"/>
      <c r="BUX11" s="394"/>
      <c r="BUY11" s="394"/>
      <c r="BUZ11" s="394"/>
      <c r="BVA11" s="394"/>
      <c r="BVB11" s="394"/>
      <c r="BVC11" s="394"/>
      <c r="BVD11" s="395"/>
      <c r="BVE11" s="394"/>
      <c r="BVF11" s="394"/>
      <c r="BVG11" s="394"/>
      <c r="BVH11" s="394"/>
      <c r="BVI11" s="394"/>
      <c r="BVJ11" s="394"/>
      <c r="BVK11" s="394"/>
      <c r="BVL11" s="395"/>
      <c r="BVM11" s="394"/>
      <c r="BVN11" s="394"/>
      <c r="BVO11" s="394"/>
      <c r="BVP11" s="394"/>
      <c r="BVQ11" s="394"/>
      <c r="BVR11" s="394"/>
      <c r="BVS11" s="394"/>
      <c r="BVT11" s="395"/>
      <c r="BVU11" s="394"/>
      <c r="BVV11" s="394"/>
      <c r="BVW11" s="394"/>
      <c r="BVX11" s="394"/>
      <c r="BVY11" s="394"/>
      <c r="BVZ11" s="394"/>
      <c r="BWA11" s="394"/>
      <c r="BWB11" s="395"/>
      <c r="BWC11" s="394"/>
      <c r="BWD11" s="394"/>
      <c r="BWE11" s="394"/>
      <c r="BWF11" s="394"/>
      <c r="BWG11" s="394"/>
      <c r="BWH11" s="394"/>
      <c r="BWI11" s="394"/>
      <c r="BWJ11" s="395"/>
      <c r="BWK11" s="394"/>
      <c r="BWL11" s="394"/>
      <c r="BWM11" s="394"/>
      <c r="BWN11" s="394"/>
      <c r="BWO11" s="394"/>
      <c r="BWP11" s="394"/>
      <c r="BWQ11" s="394"/>
      <c r="BWR11" s="395"/>
      <c r="BWS11" s="394"/>
      <c r="BWT11" s="394"/>
      <c r="BWU11" s="394"/>
      <c r="BWV11" s="394"/>
      <c r="BWW11" s="394"/>
      <c r="BWX11" s="394"/>
      <c r="BWY11" s="394"/>
      <c r="BWZ11" s="395"/>
      <c r="BXA11" s="394"/>
      <c r="BXB11" s="394"/>
      <c r="BXC11" s="394"/>
      <c r="BXD11" s="394"/>
      <c r="BXE11" s="394"/>
      <c r="BXF11" s="394"/>
      <c r="BXG11" s="394"/>
      <c r="BXH11" s="395"/>
      <c r="BXI11" s="394"/>
      <c r="BXJ11" s="394"/>
      <c r="BXK11" s="394"/>
      <c r="BXL11" s="394"/>
      <c r="BXM11" s="394"/>
      <c r="BXN11" s="394"/>
      <c r="BXO11" s="394"/>
      <c r="BXP11" s="395"/>
      <c r="BXQ11" s="394"/>
      <c r="BXR11" s="394"/>
      <c r="BXS11" s="394"/>
      <c r="BXT11" s="394"/>
      <c r="BXU11" s="394"/>
      <c r="BXV11" s="394"/>
      <c r="BXW11" s="394"/>
      <c r="BXX11" s="395"/>
      <c r="BXY11" s="394"/>
      <c r="BXZ11" s="394"/>
      <c r="BYA11" s="394"/>
      <c r="BYB11" s="394"/>
      <c r="BYC11" s="394"/>
      <c r="BYD11" s="394"/>
      <c r="BYE11" s="394"/>
      <c r="BYF11" s="395"/>
      <c r="BYG11" s="394"/>
      <c r="BYH11" s="394"/>
      <c r="BYI11" s="394"/>
      <c r="BYJ11" s="394"/>
      <c r="BYK11" s="394"/>
      <c r="BYL11" s="394"/>
      <c r="BYM11" s="394"/>
      <c r="BYN11" s="395"/>
      <c r="BYO11" s="394"/>
      <c r="BYP11" s="394"/>
      <c r="BYQ11" s="394"/>
      <c r="BYR11" s="394"/>
      <c r="BYS11" s="394"/>
      <c r="BYT11" s="394"/>
      <c r="BYU11" s="394"/>
      <c r="BYV11" s="395"/>
      <c r="BYW11" s="394"/>
      <c r="BYX11" s="394"/>
      <c r="BYY11" s="394"/>
      <c r="BYZ11" s="394"/>
      <c r="BZA11" s="394"/>
      <c r="BZB11" s="394"/>
      <c r="BZC11" s="394"/>
      <c r="BZD11" s="395"/>
      <c r="BZE11" s="394"/>
      <c r="BZF11" s="394"/>
      <c r="BZG11" s="394"/>
      <c r="BZH11" s="394"/>
      <c r="BZI11" s="394"/>
      <c r="BZJ11" s="394"/>
      <c r="BZK11" s="394"/>
      <c r="BZL11" s="395"/>
      <c r="BZM11" s="394"/>
      <c r="BZN11" s="394"/>
      <c r="BZO11" s="394"/>
      <c r="BZP11" s="394"/>
      <c r="BZQ11" s="394"/>
      <c r="BZR11" s="394"/>
      <c r="BZS11" s="394"/>
      <c r="BZT11" s="395"/>
      <c r="BZU11" s="394"/>
      <c r="BZV11" s="394"/>
      <c r="BZW11" s="394"/>
      <c r="BZX11" s="394"/>
      <c r="BZY11" s="394"/>
      <c r="BZZ11" s="394"/>
      <c r="CAA11" s="394"/>
      <c r="CAB11" s="395"/>
      <c r="CAC11" s="394"/>
      <c r="CAD11" s="394"/>
      <c r="CAE11" s="394"/>
      <c r="CAF11" s="394"/>
      <c r="CAG11" s="394"/>
      <c r="CAH11" s="394"/>
      <c r="CAI11" s="394"/>
      <c r="CAJ11" s="395"/>
      <c r="CAK11" s="394"/>
      <c r="CAL11" s="394"/>
      <c r="CAM11" s="394"/>
      <c r="CAN11" s="394"/>
      <c r="CAO11" s="394"/>
      <c r="CAP11" s="394"/>
      <c r="CAQ11" s="394"/>
      <c r="CAR11" s="395"/>
      <c r="CAS11" s="394"/>
      <c r="CAT11" s="394"/>
      <c r="CAU11" s="394"/>
      <c r="CAV11" s="394"/>
      <c r="CAW11" s="394"/>
      <c r="CAX11" s="394"/>
      <c r="CAY11" s="394"/>
      <c r="CAZ11" s="395"/>
      <c r="CBA11" s="394"/>
      <c r="CBB11" s="394"/>
      <c r="CBC11" s="394"/>
      <c r="CBD11" s="394"/>
      <c r="CBE11" s="394"/>
      <c r="CBF11" s="394"/>
      <c r="CBG11" s="394"/>
      <c r="CBH11" s="395"/>
      <c r="CBI11" s="394"/>
      <c r="CBJ11" s="394"/>
      <c r="CBK11" s="394"/>
      <c r="CBL11" s="394"/>
      <c r="CBM11" s="394"/>
      <c r="CBN11" s="394"/>
      <c r="CBO11" s="394"/>
      <c r="CBP11" s="395"/>
      <c r="CBQ11" s="394"/>
      <c r="CBR11" s="394"/>
      <c r="CBS11" s="394"/>
      <c r="CBT11" s="394"/>
      <c r="CBU11" s="394"/>
      <c r="CBV11" s="394"/>
      <c r="CBW11" s="394"/>
      <c r="CBX11" s="395"/>
      <c r="CBY11" s="394"/>
      <c r="CBZ11" s="394"/>
      <c r="CCA11" s="394"/>
      <c r="CCB11" s="394"/>
      <c r="CCC11" s="394"/>
      <c r="CCD11" s="394"/>
      <c r="CCE11" s="394"/>
      <c r="CCF11" s="395"/>
      <c r="CCG11" s="394"/>
      <c r="CCH11" s="394"/>
      <c r="CCI11" s="394"/>
      <c r="CCJ11" s="394"/>
      <c r="CCK11" s="394"/>
      <c r="CCL11" s="394"/>
      <c r="CCM11" s="394"/>
      <c r="CCN11" s="395"/>
      <c r="CCO11" s="394"/>
      <c r="CCP11" s="394"/>
      <c r="CCQ11" s="394"/>
      <c r="CCR11" s="394"/>
      <c r="CCS11" s="394"/>
      <c r="CCT11" s="394"/>
      <c r="CCU11" s="394"/>
      <c r="CCV11" s="395"/>
      <c r="CCW11" s="394"/>
      <c r="CCX11" s="394"/>
      <c r="CCY11" s="394"/>
      <c r="CCZ11" s="394"/>
      <c r="CDA11" s="394"/>
      <c r="CDB11" s="394"/>
      <c r="CDC11" s="394"/>
      <c r="CDD11" s="395"/>
      <c r="CDE11" s="394"/>
      <c r="CDF11" s="394"/>
      <c r="CDG11" s="394"/>
      <c r="CDH11" s="394"/>
      <c r="CDI11" s="394"/>
      <c r="CDJ11" s="394"/>
      <c r="CDK11" s="394"/>
      <c r="CDL11" s="395"/>
      <c r="CDM11" s="394"/>
      <c r="CDN11" s="394"/>
      <c r="CDO11" s="394"/>
      <c r="CDP11" s="394"/>
      <c r="CDQ11" s="394"/>
      <c r="CDR11" s="394"/>
      <c r="CDS11" s="394"/>
      <c r="CDT11" s="395"/>
      <c r="CDU11" s="394"/>
      <c r="CDV11" s="394"/>
      <c r="CDW11" s="394"/>
      <c r="CDX11" s="394"/>
      <c r="CDY11" s="394"/>
      <c r="CDZ11" s="394"/>
      <c r="CEA11" s="394"/>
      <c r="CEB11" s="395"/>
      <c r="CEC11" s="394"/>
      <c r="CED11" s="394"/>
      <c r="CEE11" s="394"/>
      <c r="CEF11" s="394"/>
      <c r="CEG11" s="394"/>
      <c r="CEH11" s="394"/>
      <c r="CEI11" s="394"/>
      <c r="CEJ11" s="395"/>
      <c r="CEK11" s="394"/>
      <c r="CEL11" s="394"/>
      <c r="CEM11" s="394"/>
      <c r="CEN11" s="394"/>
      <c r="CEO11" s="394"/>
      <c r="CEP11" s="394"/>
      <c r="CEQ11" s="394"/>
      <c r="CER11" s="395"/>
      <c r="CES11" s="394"/>
      <c r="CET11" s="394"/>
      <c r="CEU11" s="394"/>
      <c r="CEV11" s="394"/>
      <c r="CEW11" s="394"/>
      <c r="CEX11" s="394"/>
      <c r="CEY11" s="394"/>
      <c r="CEZ11" s="395"/>
      <c r="CFA11" s="394"/>
      <c r="CFB11" s="394"/>
      <c r="CFC11" s="394"/>
      <c r="CFD11" s="394"/>
      <c r="CFE11" s="394"/>
      <c r="CFF11" s="394"/>
      <c r="CFG11" s="394"/>
      <c r="CFH11" s="395"/>
      <c r="CFI11" s="394"/>
      <c r="CFJ11" s="394"/>
      <c r="CFK11" s="394"/>
      <c r="CFL11" s="394"/>
      <c r="CFM11" s="394"/>
      <c r="CFN11" s="394"/>
      <c r="CFO11" s="394"/>
      <c r="CFP11" s="395"/>
      <c r="CFQ11" s="394"/>
      <c r="CFR11" s="394"/>
      <c r="CFS11" s="394"/>
      <c r="CFT11" s="394"/>
      <c r="CFU11" s="394"/>
      <c r="CFV11" s="394"/>
      <c r="CFW11" s="394"/>
      <c r="CFX11" s="395"/>
      <c r="CFY11" s="394"/>
      <c r="CFZ11" s="394"/>
      <c r="CGA11" s="394"/>
      <c r="CGB11" s="394"/>
      <c r="CGC11" s="394"/>
      <c r="CGD11" s="394"/>
      <c r="CGE11" s="394"/>
      <c r="CGF11" s="395"/>
      <c r="CGG11" s="394"/>
      <c r="CGH11" s="394"/>
      <c r="CGI11" s="394"/>
      <c r="CGJ11" s="394"/>
      <c r="CGK11" s="394"/>
      <c r="CGL11" s="394"/>
      <c r="CGM11" s="394"/>
      <c r="CGN11" s="395"/>
      <c r="CGO11" s="394"/>
      <c r="CGP11" s="394"/>
      <c r="CGQ11" s="394"/>
      <c r="CGR11" s="394"/>
      <c r="CGS11" s="394"/>
      <c r="CGT11" s="394"/>
      <c r="CGU11" s="394"/>
      <c r="CGV11" s="395"/>
      <c r="CGW11" s="394"/>
      <c r="CGX11" s="394"/>
      <c r="CGY11" s="394"/>
      <c r="CGZ11" s="394"/>
      <c r="CHA11" s="394"/>
      <c r="CHB11" s="394"/>
      <c r="CHC11" s="394"/>
      <c r="CHD11" s="395"/>
      <c r="CHE11" s="394"/>
      <c r="CHF11" s="394"/>
      <c r="CHG11" s="394"/>
      <c r="CHH11" s="394"/>
      <c r="CHI11" s="394"/>
      <c r="CHJ11" s="394"/>
      <c r="CHK11" s="394"/>
      <c r="CHL11" s="395"/>
      <c r="CHM11" s="394"/>
      <c r="CHN11" s="394"/>
      <c r="CHO11" s="394"/>
      <c r="CHP11" s="394"/>
      <c r="CHQ11" s="394"/>
      <c r="CHR11" s="394"/>
      <c r="CHS11" s="394"/>
      <c r="CHT11" s="395"/>
      <c r="CHU11" s="394"/>
      <c r="CHV11" s="394"/>
      <c r="CHW11" s="394"/>
      <c r="CHX11" s="394"/>
      <c r="CHY11" s="394"/>
      <c r="CHZ11" s="394"/>
      <c r="CIA11" s="394"/>
      <c r="CIB11" s="395"/>
      <c r="CIC11" s="394"/>
      <c r="CID11" s="394"/>
      <c r="CIE11" s="394"/>
      <c r="CIF11" s="394"/>
      <c r="CIG11" s="394"/>
      <c r="CIH11" s="394"/>
      <c r="CII11" s="394"/>
      <c r="CIJ11" s="395"/>
      <c r="CIK11" s="394"/>
      <c r="CIL11" s="394"/>
      <c r="CIM11" s="394"/>
      <c r="CIN11" s="394"/>
      <c r="CIO11" s="394"/>
      <c r="CIP11" s="394"/>
      <c r="CIQ11" s="394"/>
      <c r="CIR11" s="395"/>
      <c r="CIS11" s="394"/>
      <c r="CIT11" s="394"/>
      <c r="CIU11" s="394"/>
      <c r="CIV11" s="394"/>
      <c r="CIW11" s="394"/>
      <c r="CIX11" s="394"/>
      <c r="CIY11" s="394"/>
      <c r="CIZ11" s="395"/>
      <c r="CJA11" s="394"/>
      <c r="CJB11" s="394"/>
      <c r="CJC11" s="394"/>
      <c r="CJD11" s="394"/>
      <c r="CJE11" s="394"/>
      <c r="CJF11" s="394"/>
      <c r="CJG11" s="394"/>
      <c r="CJH11" s="395"/>
      <c r="CJI11" s="394"/>
      <c r="CJJ11" s="394"/>
      <c r="CJK11" s="394"/>
      <c r="CJL11" s="394"/>
      <c r="CJM11" s="394"/>
      <c r="CJN11" s="394"/>
      <c r="CJO11" s="394"/>
      <c r="CJP11" s="395"/>
      <c r="CJQ11" s="394"/>
      <c r="CJR11" s="394"/>
      <c r="CJS11" s="394"/>
      <c r="CJT11" s="394"/>
      <c r="CJU11" s="394"/>
      <c r="CJV11" s="394"/>
      <c r="CJW11" s="394"/>
      <c r="CJX11" s="395"/>
      <c r="CJY11" s="394"/>
      <c r="CJZ11" s="394"/>
      <c r="CKA11" s="394"/>
      <c r="CKB11" s="394"/>
      <c r="CKC11" s="394"/>
      <c r="CKD11" s="394"/>
      <c r="CKE11" s="394"/>
      <c r="CKF11" s="395"/>
      <c r="CKG11" s="394"/>
      <c r="CKH11" s="394"/>
      <c r="CKI11" s="394"/>
      <c r="CKJ11" s="394"/>
      <c r="CKK11" s="394"/>
      <c r="CKL11" s="394"/>
      <c r="CKM11" s="394"/>
      <c r="CKN11" s="395"/>
      <c r="CKO11" s="394"/>
      <c r="CKP11" s="394"/>
      <c r="CKQ11" s="394"/>
      <c r="CKR11" s="394"/>
      <c r="CKS11" s="394"/>
      <c r="CKT11" s="394"/>
      <c r="CKU11" s="394"/>
      <c r="CKV11" s="395"/>
      <c r="CKW11" s="394"/>
      <c r="CKX11" s="394"/>
      <c r="CKY11" s="394"/>
      <c r="CKZ11" s="394"/>
      <c r="CLA11" s="394"/>
      <c r="CLB11" s="394"/>
      <c r="CLC11" s="394"/>
      <c r="CLD11" s="395"/>
      <c r="CLE11" s="394"/>
      <c r="CLF11" s="394"/>
      <c r="CLG11" s="394"/>
      <c r="CLH11" s="394"/>
      <c r="CLI11" s="394"/>
      <c r="CLJ11" s="394"/>
      <c r="CLK11" s="394"/>
      <c r="CLL11" s="395"/>
      <c r="CLM11" s="394"/>
      <c r="CLN11" s="394"/>
      <c r="CLO11" s="394"/>
      <c r="CLP11" s="394"/>
      <c r="CLQ11" s="394"/>
      <c r="CLR11" s="394"/>
      <c r="CLS11" s="394"/>
      <c r="CLT11" s="395"/>
      <c r="CLU11" s="394"/>
      <c r="CLV11" s="394"/>
      <c r="CLW11" s="394"/>
      <c r="CLX11" s="394"/>
      <c r="CLY11" s="394"/>
      <c r="CLZ11" s="394"/>
      <c r="CMA11" s="394"/>
      <c r="CMB11" s="395"/>
      <c r="CMC11" s="394"/>
      <c r="CMD11" s="394"/>
      <c r="CME11" s="394"/>
      <c r="CMF11" s="394"/>
      <c r="CMG11" s="394"/>
      <c r="CMH11" s="394"/>
      <c r="CMI11" s="394"/>
      <c r="CMJ11" s="395"/>
      <c r="CMK11" s="394"/>
      <c r="CML11" s="394"/>
      <c r="CMM11" s="394"/>
      <c r="CMN11" s="394"/>
      <c r="CMO11" s="394"/>
      <c r="CMP11" s="394"/>
      <c r="CMQ11" s="394"/>
      <c r="CMR11" s="395"/>
      <c r="CMS11" s="394"/>
      <c r="CMT11" s="394"/>
      <c r="CMU11" s="394"/>
      <c r="CMV11" s="394"/>
      <c r="CMW11" s="394"/>
      <c r="CMX11" s="394"/>
      <c r="CMY11" s="394"/>
      <c r="CMZ11" s="395"/>
      <c r="CNA11" s="394"/>
      <c r="CNB11" s="394"/>
      <c r="CNC11" s="394"/>
      <c r="CND11" s="394"/>
      <c r="CNE11" s="394"/>
      <c r="CNF11" s="394"/>
      <c r="CNG11" s="394"/>
      <c r="CNH11" s="395"/>
      <c r="CNI11" s="394"/>
      <c r="CNJ11" s="394"/>
      <c r="CNK11" s="394"/>
      <c r="CNL11" s="394"/>
      <c r="CNM11" s="394"/>
      <c r="CNN11" s="394"/>
      <c r="CNO11" s="394"/>
      <c r="CNP11" s="395"/>
      <c r="CNQ11" s="394"/>
      <c r="CNR11" s="394"/>
      <c r="CNS11" s="394"/>
      <c r="CNT11" s="394"/>
      <c r="CNU11" s="394"/>
      <c r="CNV11" s="394"/>
      <c r="CNW11" s="394"/>
      <c r="CNX11" s="395"/>
      <c r="CNY11" s="394"/>
      <c r="CNZ11" s="394"/>
      <c r="COA11" s="394"/>
      <c r="COB11" s="394"/>
      <c r="COC11" s="394"/>
      <c r="COD11" s="394"/>
      <c r="COE11" s="394"/>
      <c r="COF11" s="395"/>
      <c r="COG11" s="394"/>
      <c r="COH11" s="394"/>
      <c r="COI11" s="394"/>
      <c r="COJ11" s="394"/>
      <c r="COK11" s="394"/>
      <c r="COL11" s="394"/>
      <c r="COM11" s="394"/>
      <c r="CON11" s="395"/>
      <c r="COO11" s="394"/>
      <c r="COP11" s="394"/>
      <c r="COQ11" s="394"/>
      <c r="COR11" s="394"/>
      <c r="COS11" s="394"/>
      <c r="COT11" s="394"/>
      <c r="COU11" s="394"/>
      <c r="COV11" s="395"/>
      <c r="COW11" s="394"/>
      <c r="COX11" s="394"/>
      <c r="COY11" s="394"/>
      <c r="COZ11" s="394"/>
      <c r="CPA11" s="394"/>
      <c r="CPB11" s="394"/>
      <c r="CPC11" s="394"/>
      <c r="CPD11" s="395"/>
      <c r="CPE11" s="394"/>
      <c r="CPF11" s="394"/>
      <c r="CPG11" s="394"/>
      <c r="CPH11" s="394"/>
      <c r="CPI11" s="394"/>
      <c r="CPJ11" s="394"/>
      <c r="CPK11" s="394"/>
      <c r="CPL11" s="395"/>
      <c r="CPM11" s="394"/>
      <c r="CPN11" s="394"/>
      <c r="CPO11" s="394"/>
      <c r="CPP11" s="394"/>
      <c r="CPQ11" s="394"/>
      <c r="CPR11" s="394"/>
      <c r="CPS11" s="394"/>
      <c r="CPT11" s="395"/>
      <c r="CPU11" s="394"/>
      <c r="CPV11" s="394"/>
      <c r="CPW11" s="394"/>
      <c r="CPX11" s="394"/>
      <c r="CPY11" s="394"/>
      <c r="CPZ11" s="394"/>
      <c r="CQA11" s="394"/>
      <c r="CQB11" s="395"/>
      <c r="CQC11" s="394"/>
      <c r="CQD11" s="394"/>
      <c r="CQE11" s="394"/>
      <c r="CQF11" s="394"/>
      <c r="CQG11" s="394"/>
      <c r="CQH11" s="394"/>
      <c r="CQI11" s="394"/>
      <c r="CQJ11" s="395"/>
      <c r="CQK11" s="394"/>
      <c r="CQL11" s="394"/>
      <c r="CQM11" s="394"/>
      <c r="CQN11" s="394"/>
      <c r="CQO11" s="394"/>
      <c r="CQP11" s="394"/>
      <c r="CQQ11" s="394"/>
      <c r="CQR11" s="395"/>
      <c r="CQS11" s="394"/>
      <c r="CQT11" s="394"/>
      <c r="CQU11" s="394"/>
      <c r="CQV11" s="394"/>
      <c r="CQW11" s="394"/>
      <c r="CQX11" s="394"/>
      <c r="CQY11" s="394"/>
      <c r="CQZ11" s="395"/>
      <c r="CRA11" s="394"/>
      <c r="CRB11" s="394"/>
      <c r="CRC11" s="394"/>
      <c r="CRD11" s="394"/>
      <c r="CRE11" s="394"/>
      <c r="CRF11" s="394"/>
      <c r="CRG11" s="394"/>
      <c r="CRH11" s="395"/>
      <c r="CRI11" s="394"/>
      <c r="CRJ11" s="394"/>
      <c r="CRK11" s="394"/>
      <c r="CRL11" s="394"/>
      <c r="CRM11" s="394"/>
      <c r="CRN11" s="394"/>
      <c r="CRO11" s="394"/>
      <c r="CRP11" s="395"/>
      <c r="CRQ11" s="394"/>
      <c r="CRR11" s="394"/>
      <c r="CRS11" s="394"/>
      <c r="CRT11" s="394"/>
      <c r="CRU11" s="394"/>
      <c r="CRV11" s="394"/>
      <c r="CRW11" s="394"/>
      <c r="CRX11" s="395"/>
      <c r="CRY11" s="394"/>
      <c r="CRZ11" s="394"/>
      <c r="CSA11" s="394"/>
      <c r="CSB11" s="394"/>
      <c r="CSC11" s="394"/>
      <c r="CSD11" s="394"/>
      <c r="CSE11" s="394"/>
      <c r="CSF11" s="395"/>
      <c r="CSG11" s="394"/>
      <c r="CSH11" s="394"/>
      <c r="CSI11" s="394"/>
      <c r="CSJ11" s="394"/>
      <c r="CSK11" s="394"/>
      <c r="CSL11" s="394"/>
      <c r="CSM11" s="394"/>
      <c r="CSN11" s="395"/>
      <c r="CSO11" s="394"/>
      <c r="CSP11" s="394"/>
      <c r="CSQ11" s="394"/>
      <c r="CSR11" s="394"/>
      <c r="CSS11" s="394"/>
      <c r="CST11" s="394"/>
      <c r="CSU11" s="394"/>
      <c r="CSV11" s="395"/>
      <c r="CSW11" s="394"/>
      <c r="CSX11" s="394"/>
      <c r="CSY11" s="394"/>
      <c r="CSZ11" s="394"/>
      <c r="CTA11" s="394"/>
      <c r="CTB11" s="394"/>
      <c r="CTC11" s="394"/>
      <c r="CTD11" s="395"/>
      <c r="CTE11" s="394"/>
      <c r="CTF11" s="394"/>
      <c r="CTG11" s="394"/>
      <c r="CTH11" s="394"/>
      <c r="CTI11" s="394"/>
      <c r="CTJ11" s="394"/>
      <c r="CTK11" s="394"/>
      <c r="CTL11" s="395"/>
      <c r="CTM11" s="394"/>
      <c r="CTN11" s="394"/>
      <c r="CTO11" s="394"/>
      <c r="CTP11" s="394"/>
      <c r="CTQ11" s="394"/>
      <c r="CTR11" s="394"/>
      <c r="CTS11" s="394"/>
      <c r="CTT11" s="395"/>
      <c r="CTU11" s="394"/>
      <c r="CTV11" s="394"/>
      <c r="CTW11" s="394"/>
      <c r="CTX11" s="394"/>
      <c r="CTY11" s="394"/>
      <c r="CTZ11" s="394"/>
      <c r="CUA11" s="394"/>
      <c r="CUB11" s="395"/>
      <c r="CUC11" s="394"/>
      <c r="CUD11" s="394"/>
      <c r="CUE11" s="394"/>
      <c r="CUF11" s="394"/>
      <c r="CUG11" s="394"/>
      <c r="CUH11" s="394"/>
      <c r="CUI11" s="394"/>
      <c r="CUJ11" s="395"/>
      <c r="CUK11" s="394"/>
      <c r="CUL11" s="394"/>
      <c r="CUM11" s="394"/>
      <c r="CUN11" s="394"/>
      <c r="CUO11" s="394"/>
      <c r="CUP11" s="394"/>
      <c r="CUQ11" s="394"/>
      <c r="CUR11" s="395"/>
      <c r="CUS11" s="394"/>
      <c r="CUT11" s="394"/>
      <c r="CUU11" s="394"/>
      <c r="CUV11" s="394"/>
      <c r="CUW11" s="394"/>
      <c r="CUX11" s="394"/>
      <c r="CUY11" s="394"/>
      <c r="CUZ11" s="395"/>
      <c r="CVA11" s="394"/>
      <c r="CVB11" s="394"/>
      <c r="CVC11" s="394"/>
      <c r="CVD11" s="394"/>
      <c r="CVE11" s="394"/>
      <c r="CVF11" s="394"/>
      <c r="CVG11" s="394"/>
      <c r="CVH11" s="395"/>
      <c r="CVI11" s="394"/>
      <c r="CVJ11" s="394"/>
      <c r="CVK11" s="394"/>
      <c r="CVL11" s="394"/>
      <c r="CVM11" s="394"/>
      <c r="CVN11" s="394"/>
      <c r="CVO11" s="394"/>
      <c r="CVP11" s="395"/>
      <c r="CVQ11" s="394"/>
      <c r="CVR11" s="394"/>
      <c r="CVS11" s="394"/>
      <c r="CVT11" s="394"/>
      <c r="CVU11" s="394"/>
      <c r="CVV11" s="394"/>
      <c r="CVW11" s="394"/>
      <c r="CVX11" s="395"/>
      <c r="CVY11" s="394"/>
      <c r="CVZ11" s="394"/>
      <c r="CWA11" s="394"/>
      <c r="CWB11" s="394"/>
      <c r="CWC11" s="394"/>
      <c r="CWD11" s="394"/>
      <c r="CWE11" s="394"/>
      <c r="CWF11" s="395"/>
      <c r="CWG11" s="394"/>
      <c r="CWH11" s="394"/>
      <c r="CWI11" s="394"/>
      <c r="CWJ11" s="394"/>
      <c r="CWK11" s="394"/>
      <c r="CWL11" s="394"/>
      <c r="CWM11" s="394"/>
      <c r="CWN11" s="395"/>
      <c r="CWO11" s="394"/>
      <c r="CWP11" s="394"/>
      <c r="CWQ11" s="394"/>
      <c r="CWR11" s="394"/>
      <c r="CWS11" s="394"/>
      <c r="CWT11" s="394"/>
      <c r="CWU11" s="394"/>
      <c r="CWV11" s="395"/>
      <c r="CWW11" s="394"/>
      <c r="CWX11" s="394"/>
      <c r="CWY11" s="394"/>
      <c r="CWZ11" s="394"/>
      <c r="CXA11" s="394"/>
      <c r="CXB11" s="394"/>
      <c r="CXC11" s="394"/>
      <c r="CXD11" s="395"/>
      <c r="CXE11" s="394"/>
      <c r="CXF11" s="394"/>
      <c r="CXG11" s="394"/>
      <c r="CXH11" s="394"/>
      <c r="CXI11" s="394"/>
      <c r="CXJ11" s="394"/>
      <c r="CXK11" s="394"/>
      <c r="CXL11" s="395"/>
      <c r="CXM11" s="394"/>
      <c r="CXN11" s="394"/>
      <c r="CXO11" s="394"/>
      <c r="CXP11" s="394"/>
      <c r="CXQ11" s="394"/>
      <c r="CXR11" s="394"/>
      <c r="CXS11" s="394"/>
      <c r="CXT11" s="395"/>
      <c r="CXU11" s="394"/>
      <c r="CXV11" s="394"/>
      <c r="CXW11" s="394"/>
      <c r="CXX11" s="394"/>
      <c r="CXY11" s="394"/>
      <c r="CXZ11" s="394"/>
      <c r="CYA11" s="394"/>
      <c r="CYB11" s="395"/>
      <c r="CYC11" s="394"/>
      <c r="CYD11" s="394"/>
      <c r="CYE11" s="394"/>
      <c r="CYF11" s="394"/>
      <c r="CYG11" s="394"/>
      <c r="CYH11" s="394"/>
      <c r="CYI11" s="394"/>
      <c r="CYJ11" s="395"/>
      <c r="CYK11" s="394"/>
      <c r="CYL11" s="394"/>
      <c r="CYM11" s="394"/>
      <c r="CYN11" s="394"/>
      <c r="CYO11" s="394"/>
      <c r="CYP11" s="394"/>
      <c r="CYQ11" s="394"/>
      <c r="CYR11" s="395"/>
      <c r="CYS11" s="394"/>
      <c r="CYT11" s="394"/>
      <c r="CYU11" s="394"/>
      <c r="CYV11" s="394"/>
      <c r="CYW11" s="394"/>
      <c r="CYX11" s="394"/>
      <c r="CYY11" s="394"/>
      <c r="CYZ11" s="395"/>
      <c r="CZA11" s="394"/>
      <c r="CZB11" s="394"/>
      <c r="CZC11" s="394"/>
      <c r="CZD11" s="394"/>
      <c r="CZE11" s="394"/>
      <c r="CZF11" s="394"/>
      <c r="CZG11" s="394"/>
      <c r="CZH11" s="395"/>
      <c r="CZI11" s="394"/>
      <c r="CZJ11" s="394"/>
      <c r="CZK11" s="394"/>
      <c r="CZL11" s="394"/>
      <c r="CZM11" s="394"/>
      <c r="CZN11" s="394"/>
      <c r="CZO11" s="394"/>
      <c r="CZP11" s="395"/>
      <c r="CZQ11" s="394"/>
      <c r="CZR11" s="394"/>
      <c r="CZS11" s="394"/>
      <c r="CZT11" s="394"/>
      <c r="CZU11" s="394"/>
      <c r="CZV11" s="394"/>
      <c r="CZW11" s="394"/>
      <c r="CZX11" s="395"/>
      <c r="CZY11" s="394"/>
      <c r="CZZ11" s="394"/>
      <c r="DAA11" s="394"/>
      <c r="DAB11" s="394"/>
      <c r="DAC11" s="394"/>
      <c r="DAD11" s="394"/>
      <c r="DAE11" s="394"/>
      <c r="DAF11" s="395"/>
      <c r="DAG11" s="394"/>
      <c r="DAH11" s="394"/>
      <c r="DAI11" s="394"/>
      <c r="DAJ11" s="394"/>
      <c r="DAK11" s="394"/>
      <c r="DAL11" s="394"/>
      <c r="DAM11" s="394"/>
      <c r="DAN11" s="395"/>
      <c r="DAO11" s="394"/>
      <c r="DAP11" s="394"/>
      <c r="DAQ11" s="394"/>
      <c r="DAR11" s="394"/>
      <c r="DAS11" s="394"/>
      <c r="DAT11" s="394"/>
      <c r="DAU11" s="394"/>
      <c r="DAV11" s="395"/>
      <c r="DAW11" s="394"/>
      <c r="DAX11" s="394"/>
      <c r="DAY11" s="394"/>
      <c r="DAZ11" s="394"/>
      <c r="DBA11" s="394"/>
      <c r="DBB11" s="394"/>
      <c r="DBC11" s="394"/>
      <c r="DBD11" s="395"/>
      <c r="DBE11" s="394"/>
      <c r="DBF11" s="394"/>
      <c r="DBG11" s="394"/>
      <c r="DBH11" s="394"/>
      <c r="DBI11" s="394"/>
      <c r="DBJ11" s="394"/>
      <c r="DBK11" s="394"/>
      <c r="DBL11" s="395"/>
      <c r="DBM11" s="394"/>
      <c r="DBN11" s="394"/>
      <c r="DBO11" s="394"/>
      <c r="DBP11" s="394"/>
      <c r="DBQ11" s="394"/>
      <c r="DBR11" s="394"/>
      <c r="DBS11" s="394"/>
      <c r="DBT11" s="395"/>
      <c r="DBU11" s="394"/>
      <c r="DBV11" s="394"/>
      <c r="DBW11" s="394"/>
      <c r="DBX11" s="394"/>
      <c r="DBY11" s="394"/>
      <c r="DBZ11" s="394"/>
      <c r="DCA11" s="394"/>
      <c r="DCB11" s="395"/>
      <c r="DCC11" s="394"/>
      <c r="DCD11" s="394"/>
      <c r="DCE11" s="394"/>
      <c r="DCF11" s="394"/>
      <c r="DCG11" s="394"/>
      <c r="DCH11" s="394"/>
      <c r="DCI11" s="394"/>
      <c r="DCJ11" s="395"/>
      <c r="DCK11" s="394"/>
      <c r="DCL11" s="394"/>
      <c r="DCM11" s="394"/>
      <c r="DCN11" s="394"/>
      <c r="DCO11" s="394"/>
      <c r="DCP11" s="394"/>
      <c r="DCQ11" s="394"/>
      <c r="DCR11" s="395"/>
      <c r="DCS11" s="394"/>
      <c r="DCT11" s="394"/>
      <c r="DCU11" s="394"/>
      <c r="DCV11" s="394"/>
      <c r="DCW11" s="394"/>
      <c r="DCX11" s="394"/>
      <c r="DCY11" s="394"/>
      <c r="DCZ11" s="395"/>
      <c r="DDA11" s="394"/>
      <c r="DDB11" s="394"/>
      <c r="DDC11" s="394"/>
      <c r="DDD11" s="394"/>
      <c r="DDE11" s="394"/>
      <c r="DDF11" s="394"/>
      <c r="DDG11" s="394"/>
      <c r="DDH11" s="395"/>
      <c r="DDI11" s="394"/>
      <c r="DDJ11" s="394"/>
      <c r="DDK11" s="394"/>
      <c r="DDL11" s="394"/>
      <c r="DDM11" s="394"/>
      <c r="DDN11" s="394"/>
      <c r="DDO11" s="394"/>
      <c r="DDP11" s="395"/>
      <c r="DDQ11" s="394"/>
      <c r="DDR11" s="394"/>
      <c r="DDS11" s="394"/>
      <c r="DDT11" s="394"/>
      <c r="DDU11" s="394"/>
      <c r="DDV11" s="394"/>
      <c r="DDW11" s="394"/>
      <c r="DDX11" s="395"/>
      <c r="DDY11" s="394"/>
      <c r="DDZ11" s="394"/>
      <c r="DEA11" s="394"/>
      <c r="DEB11" s="394"/>
      <c r="DEC11" s="394"/>
      <c r="DED11" s="394"/>
      <c r="DEE11" s="394"/>
      <c r="DEF11" s="395"/>
      <c r="DEG11" s="394"/>
      <c r="DEH11" s="394"/>
      <c r="DEI11" s="394"/>
      <c r="DEJ11" s="394"/>
      <c r="DEK11" s="394"/>
      <c r="DEL11" s="394"/>
      <c r="DEM11" s="394"/>
      <c r="DEN11" s="395"/>
      <c r="DEO11" s="394"/>
      <c r="DEP11" s="394"/>
      <c r="DEQ11" s="394"/>
      <c r="DER11" s="394"/>
      <c r="DES11" s="394"/>
      <c r="DET11" s="394"/>
      <c r="DEU11" s="394"/>
      <c r="DEV11" s="395"/>
      <c r="DEW11" s="394"/>
      <c r="DEX11" s="394"/>
      <c r="DEY11" s="394"/>
      <c r="DEZ11" s="394"/>
      <c r="DFA11" s="394"/>
      <c r="DFB11" s="394"/>
      <c r="DFC11" s="394"/>
      <c r="DFD11" s="395"/>
      <c r="DFE11" s="394"/>
      <c r="DFF11" s="394"/>
      <c r="DFG11" s="394"/>
      <c r="DFH11" s="394"/>
      <c r="DFI11" s="394"/>
      <c r="DFJ11" s="394"/>
      <c r="DFK11" s="394"/>
      <c r="DFL11" s="395"/>
      <c r="DFM11" s="394"/>
      <c r="DFN11" s="394"/>
      <c r="DFO11" s="394"/>
      <c r="DFP11" s="394"/>
      <c r="DFQ11" s="394"/>
      <c r="DFR11" s="394"/>
      <c r="DFS11" s="394"/>
      <c r="DFT11" s="395"/>
      <c r="DFU11" s="394"/>
      <c r="DFV11" s="394"/>
      <c r="DFW11" s="394"/>
      <c r="DFX11" s="394"/>
      <c r="DFY11" s="394"/>
      <c r="DFZ11" s="394"/>
      <c r="DGA11" s="394"/>
      <c r="DGB11" s="395"/>
      <c r="DGC11" s="394"/>
      <c r="DGD11" s="394"/>
      <c r="DGE11" s="394"/>
      <c r="DGF11" s="394"/>
      <c r="DGG11" s="394"/>
      <c r="DGH11" s="394"/>
      <c r="DGI11" s="394"/>
      <c r="DGJ11" s="395"/>
      <c r="DGK11" s="394"/>
      <c r="DGL11" s="394"/>
      <c r="DGM11" s="394"/>
      <c r="DGN11" s="394"/>
      <c r="DGO11" s="394"/>
      <c r="DGP11" s="394"/>
      <c r="DGQ11" s="394"/>
      <c r="DGR11" s="395"/>
      <c r="DGS11" s="394"/>
      <c r="DGT11" s="394"/>
      <c r="DGU11" s="394"/>
      <c r="DGV11" s="394"/>
      <c r="DGW11" s="394"/>
      <c r="DGX11" s="394"/>
      <c r="DGY11" s="394"/>
      <c r="DGZ11" s="395"/>
      <c r="DHA11" s="394"/>
      <c r="DHB11" s="394"/>
      <c r="DHC11" s="394"/>
      <c r="DHD11" s="394"/>
      <c r="DHE11" s="394"/>
      <c r="DHF11" s="394"/>
      <c r="DHG11" s="394"/>
      <c r="DHH11" s="395"/>
      <c r="DHI11" s="394"/>
      <c r="DHJ11" s="394"/>
      <c r="DHK11" s="394"/>
      <c r="DHL11" s="394"/>
      <c r="DHM11" s="394"/>
      <c r="DHN11" s="394"/>
      <c r="DHO11" s="394"/>
      <c r="DHP11" s="395"/>
      <c r="DHQ11" s="394"/>
      <c r="DHR11" s="394"/>
      <c r="DHS11" s="394"/>
      <c r="DHT11" s="394"/>
      <c r="DHU11" s="394"/>
      <c r="DHV11" s="394"/>
      <c r="DHW11" s="394"/>
      <c r="DHX11" s="395"/>
      <c r="DHY11" s="394"/>
      <c r="DHZ11" s="394"/>
      <c r="DIA11" s="394"/>
      <c r="DIB11" s="394"/>
      <c r="DIC11" s="394"/>
      <c r="DID11" s="394"/>
      <c r="DIE11" s="394"/>
      <c r="DIF11" s="395"/>
      <c r="DIG11" s="394"/>
      <c r="DIH11" s="394"/>
      <c r="DII11" s="394"/>
      <c r="DIJ11" s="394"/>
      <c r="DIK11" s="394"/>
      <c r="DIL11" s="394"/>
      <c r="DIM11" s="394"/>
      <c r="DIN11" s="395"/>
      <c r="DIO11" s="394"/>
      <c r="DIP11" s="394"/>
      <c r="DIQ11" s="394"/>
      <c r="DIR11" s="394"/>
      <c r="DIS11" s="394"/>
      <c r="DIT11" s="394"/>
      <c r="DIU11" s="394"/>
      <c r="DIV11" s="395"/>
      <c r="DIW11" s="394"/>
      <c r="DIX11" s="394"/>
      <c r="DIY11" s="394"/>
      <c r="DIZ11" s="394"/>
      <c r="DJA11" s="394"/>
      <c r="DJB11" s="394"/>
      <c r="DJC11" s="394"/>
      <c r="DJD11" s="395"/>
      <c r="DJE11" s="394"/>
      <c r="DJF11" s="394"/>
      <c r="DJG11" s="394"/>
      <c r="DJH11" s="394"/>
      <c r="DJI11" s="394"/>
      <c r="DJJ11" s="394"/>
      <c r="DJK11" s="394"/>
      <c r="DJL11" s="395"/>
      <c r="DJM11" s="394"/>
      <c r="DJN11" s="394"/>
      <c r="DJO11" s="394"/>
      <c r="DJP11" s="394"/>
      <c r="DJQ11" s="394"/>
      <c r="DJR11" s="394"/>
      <c r="DJS11" s="394"/>
      <c r="DJT11" s="395"/>
      <c r="DJU11" s="394"/>
      <c r="DJV11" s="394"/>
      <c r="DJW11" s="394"/>
      <c r="DJX11" s="394"/>
      <c r="DJY11" s="394"/>
      <c r="DJZ11" s="394"/>
      <c r="DKA11" s="394"/>
      <c r="DKB11" s="395"/>
      <c r="DKC11" s="394"/>
      <c r="DKD11" s="394"/>
      <c r="DKE11" s="394"/>
      <c r="DKF11" s="394"/>
      <c r="DKG11" s="394"/>
      <c r="DKH11" s="394"/>
      <c r="DKI11" s="394"/>
      <c r="DKJ11" s="395"/>
      <c r="DKK11" s="394"/>
      <c r="DKL11" s="394"/>
      <c r="DKM11" s="394"/>
      <c r="DKN11" s="394"/>
      <c r="DKO11" s="394"/>
      <c r="DKP11" s="394"/>
      <c r="DKQ11" s="394"/>
      <c r="DKR11" s="395"/>
      <c r="DKS11" s="394"/>
      <c r="DKT11" s="394"/>
      <c r="DKU11" s="394"/>
      <c r="DKV11" s="394"/>
      <c r="DKW11" s="394"/>
      <c r="DKX11" s="394"/>
      <c r="DKY11" s="394"/>
      <c r="DKZ11" s="395"/>
      <c r="DLA11" s="394"/>
      <c r="DLB11" s="394"/>
      <c r="DLC11" s="394"/>
      <c r="DLD11" s="394"/>
      <c r="DLE11" s="394"/>
      <c r="DLF11" s="394"/>
      <c r="DLG11" s="394"/>
      <c r="DLH11" s="395"/>
      <c r="DLI11" s="394"/>
      <c r="DLJ11" s="394"/>
      <c r="DLK11" s="394"/>
      <c r="DLL11" s="394"/>
      <c r="DLM11" s="394"/>
      <c r="DLN11" s="394"/>
      <c r="DLO11" s="394"/>
      <c r="DLP11" s="395"/>
      <c r="DLQ11" s="394"/>
      <c r="DLR11" s="394"/>
      <c r="DLS11" s="394"/>
      <c r="DLT11" s="394"/>
      <c r="DLU11" s="394"/>
      <c r="DLV11" s="394"/>
      <c r="DLW11" s="394"/>
      <c r="DLX11" s="395"/>
      <c r="DLY11" s="394"/>
      <c r="DLZ11" s="394"/>
      <c r="DMA11" s="394"/>
      <c r="DMB11" s="394"/>
      <c r="DMC11" s="394"/>
      <c r="DMD11" s="394"/>
      <c r="DME11" s="394"/>
      <c r="DMF11" s="395"/>
      <c r="DMG11" s="394"/>
      <c r="DMH11" s="394"/>
      <c r="DMI11" s="394"/>
      <c r="DMJ11" s="394"/>
      <c r="DMK11" s="394"/>
      <c r="DML11" s="394"/>
      <c r="DMM11" s="394"/>
      <c r="DMN11" s="395"/>
      <c r="DMO11" s="394"/>
      <c r="DMP11" s="394"/>
      <c r="DMQ11" s="394"/>
      <c r="DMR11" s="394"/>
      <c r="DMS11" s="394"/>
      <c r="DMT11" s="394"/>
      <c r="DMU11" s="394"/>
      <c r="DMV11" s="395"/>
      <c r="DMW11" s="394"/>
      <c r="DMX11" s="394"/>
      <c r="DMY11" s="394"/>
      <c r="DMZ11" s="394"/>
      <c r="DNA11" s="394"/>
      <c r="DNB11" s="394"/>
      <c r="DNC11" s="394"/>
      <c r="DND11" s="395"/>
      <c r="DNE11" s="394"/>
      <c r="DNF11" s="394"/>
      <c r="DNG11" s="394"/>
      <c r="DNH11" s="394"/>
      <c r="DNI11" s="394"/>
      <c r="DNJ11" s="394"/>
      <c r="DNK11" s="394"/>
      <c r="DNL11" s="395"/>
      <c r="DNM11" s="394"/>
      <c r="DNN11" s="394"/>
      <c r="DNO11" s="394"/>
      <c r="DNP11" s="394"/>
      <c r="DNQ11" s="394"/>
      <c r="DNR11" s="394"/>
      <c r="DNS11" s="394"/>
      <c r="DNT11" s="395"/>
      <c r="DNU11" s="394"/>
      <c r="DNV11" s="394"/>
      <c r="DNW11" s="394"/>
      <c r="DNX11" s="394"/>
      <c r="DNY11" s="394"/>
      <c r="DNZ11" s="394"/>
      <c r="DOA11" s="394"/>
      <c r="DOB11" s="395"/>
      <c r="DOC11" s="394"/>
      <c r="DOD11" s="394"/>
      <c r="DOE11" s="394"/>
      <c r="DOF11" s="394"/>
      <c r="DOG11" s="394"/>
      <c r="DOH11" s="394"/>
      <c r="DOI11" s="394"/>
      <c r="DOJ11" s="395"/>
      <c r="DOK11" s="394"/>
      <c r="DOL11" s="394"/>
      <c r="DOM11" s="394"/>
      <c r="DON11" s="394"/>
      <c r="DOO11" s="394"/>
      <c r="DOP11" s="394"/>
      <c r="DOQ11" s="394"/>
      <c r="DOR11" s="395"/>
      <c r="DOS11" s="394"/>
      <c r="DOT11" s="394"/>
      <c r="DOU11" s="394"/>
      <c r="DOV11" s="394"/>
      <c r="DOW11" s="394"/>
      <c r="DOX11" s="394"/>
      <c r="DOY11" s="394"/>
      <c r="DOZ11" s="395"/>
      <c r="DPA11" s="394"/>
      <c r="DPB11" s="394"/>
      <c r="DPC11" s="394"/>
      <c r="DPD11" s="394"/>
      <c r="DPE11" s="394"/>
      <c r="DPF11" s="394"/>
      <c r="DPG11" s="394"/>
      <c r="DPH11" s="395"/>
      <c r="DPI11" s="394"/>
      <c r="DPJ11" s="394"/>
      <c r="DPK11" s="394"/>
      <c r="DPL11" s="394"/>
      <c r="DPM11" s="394"/>
      <c r="DPN11" s="394"/>
      <c r="DPO11" s="394"/>
      <c r="DPP11" s="395"/>
      <c r="DPQ11" s="394"/>
      <c r="DPR11" s="394"/>
      <c r="DPS11" s="394"/>
      <c r="DPT11" s="394"/>
      <c r="DPU11" s="394"/>
      <c r="DPV11" s="394"/>
      <c r="DPW11" s="394"/>
      <c r="DPX11" s="395"/>
      <c r="DPY11" s="394"/>
      <c r="DPZ11" s="394"/>
      <c r="DQA11" s="394"/>
      <c r="DQB11" s="394"/>
      <c r="DQC11" s="394"/>
      <c r="DQD11" s="394"/>
      <c r="DQE11" s="394"/>
      <c r="DQF11" s="395"/>
      <c r="DQG11" s="394"/>
      <c r="DQH11" s="394"/>
      <c r="DQI11" s="394"/>
      <c r="DQJ11" s="394"/>
      <c r="DQK11" s="394"/>
      <c r="DQL11" s="394"/>
      <c r="DQM11" s="394"/>
      <c r="DQN11" s="395"/>
      <c r="DQO11" s="394"/>
      <c r="DQP11" s="394"/>
      <c r="DQQ11" s="394"/>
      <c r="DQR11" s="394"/>
      <c r="DQS11" s="394"/>
      <c r="DQT11" s="394"/>
      <c r="DQU11" s="394"/>
      <c r="DQV11" s="395"/>
      <c r="DQW11" s="394"/>
      <c r="DQX11" s="394"/>
      <c r="DQY11" s="394"/>
      <c r="DQZ11" s="394"/>
      <c r="DRA11" s="394"/>
      <c r="DRB11" s="394"/>
      <c r="DRC11" s="394"/>
      <c r="DRD11" s="395"/>
      <c r="DRE11" s="394"/>
      <c r="DRF11" s="394"/>
      <c r="DRG11" s="394"/>
      <c r="DRH11" s="394"/>
      <c r="DRI11" s="394"/>
      <c r="DRJ11" s="394"/>
      <c r="DRK11" s="394"/>
      <c r="DRL11" s="395"/>
      <c r="DRM11" s="394"/>
      <c r="DRN11" s="394"/>
      <c r="DRO11" s="394"/>
      <c r="DRP11" s="394"/>
      <c r="DRQ11" s="394"/>
      <c r="DRR11" s="394"/>
      <c r="DRS11" s="394"/>
      <c r="DRT11" s="395"/>
      <c r="DRU11" s="394"/>
      <c r="DRV11" s="394"/>
      <c r="DRW11" s="394"/>
      <c r="DRX11" s="394"/>
      <c r="DRY11" s="394"/>
      <c r="DRZ11" s="394"/>
      <c r="DSA11" s="394"/>
      <c r="DSB11" s="395"/>
      <c r="DSC11" s="394"/>
      <c r="DSD11" s="394"/>
      <c r="DSE11" s="394"/>
      <c r="DSF11" s="394"/>
      <c r="DSG11" s="394"/>
      <c r="DSH11" s="394"/>
      <c r="DSI11" s="394"/>
      <c r="DSJ11" s="395"/>
      <c r="DSK11" s="394"/>
      <c r="DSL11" s="394"/>
      <c r="DSM11" s="394"/>
      <c r="DSN11" s="394"/>
      <c r="DSO11" s="394"/>
      <c r="DSP11" s="394"/>
      <c r="DSQ11" s="394"/>
      <c r="DSR11" s="395"/>
      <c r="DSS11" s="394"/>
      <c r="DST11" s="394"/>
      <c r="DSU11" s="394"/>
      <c r="DSV11" s="394"/>
      <c r="DSW11" s="394"/>
      <c r="DSX11" s="394"/>
      <c r="DSY11" s="394"/>
      <c r="DSZ11" s="395"/>
      <c r="DTA11" s="394"/>
      <c r="DTB11" s="394"/>
      <c r="DTC11" s="394"/>
      <c r="DTD11" s="394"/>
      <c r="DTE11" s="394"/>
      <c r="DTF11" s="394"/>
      <c r="DTG11" s="394"/>
      <c r="DTH11" s="395"/>
      <c r="DTI11" s="394"/>
      <c r="DTJ11" s="394"/>
      <c r="DTK11" s="394"/>
      <c r="DTL11" s="394"/>
      <c r="DTM11" s="394"/>
      <c r="DTN11" s="394"/>
      <c r="DTO11" s="394"/>
      <c r="DTP11" s="395"/>
      <c r="DTQ11" s="394"/>
      <c r="DTR11" s="394"/>
      <c r="DTS11" s="394"/>
      <c r="DTT11" s="394"/>
      <c r="DTU11" s="394"/>
      <c r="DTV11" s="394"/>
      <c r="DTW11" s="394"/>
      <c r="DTX11" s="395"/>
      <c r="DTY11" s="394"/>
      <c r="DTZ11" s="394"/>
      <c r="DUA11" s="394"/>
      <c r="DUB11" s="394"/>
      <c r="DUC11" s="394"/>
      <c r="DUD11" s="394"/>
      <c r="DUE11" s="394"/>
      <c r="DUF11" s="395"/>
      <c r="DUG11" s="394"/>
      <c r="DUH11" s="394"/>
      <c r="DUI11" s="394"/>
      <c r="DUJ11" s="394"/>
      <c r="DUK11" s="394"/>
      <c r="DUL11" s="394"/>
      <c r="DUM11" s="394"/>
      <c r="DUN11" s="395"/>
      <c r="DUO11" s="394"/>
      <c r="DUP11" s="394"/>
      <c r="DUQ11" s="394"/>
      <c r="DUR11" s="394"/>
      <c r="DUS11" s="394"/>
      <c r="DUT11" s="394"/>
      <c r="DUU11" s="394"/>
      <c r="DUV11" s="395"/>
      <c r="DUW11" s="394"/>
      <c r="DUX11" s="394"/>
      <c r="DUY11" s="394"/>
      <c r="DUZ11" s="394"/>
      <c r="DVA11" s="394"/>
      <c r="DVB11" s="394"/>
      <c r="DVC11" s="394"/>
      <c r="DVD11" s="395"/>
      <c r="DVE11" s="394"/>
      <c r="DVF11" s="394"/>
      <c r="DVG11" s="394"/>
      <c r="DVH11" s="394"/>
      <c r="DVI11" s="394"/>
      <c r="DVJ11" s="394"/>
      <c r="DVK11" s="394"/>
      <c r="DVL11" s="395"/>
      <c r="DVM11" s="394"/>
      <c r="DVN11" s="394"/>
      <c r="DVO11" s="394"/>
      <c r="DVP11" s="394"/>
      <c r="DVQ11" s="394"/>
      <c r="DVR11" s="394"/>
      <c r="DVS11" s="394"/>
      <c r="DVT11" s="395"/>
      <c r="DVU11" s="394"/>
      <c r="DVV11" s="394"/>
      <c r="DVW11" s="394"/>
      <c r="DVX11" s="394"/>
      <c r="DVY11" s="394"/>
      <c r="DVZ11" s="394"/>
      <c r="DWA11" s="394"/>
      <c r="DWB11" s="395"/>
      <c r="DWC11" s="394"/>
      <c r="DWD11" s="394"/>
      <c r="DWE11" s="394"/>
      <c r="DWF11" s="394"/>
      <c r="DWG11" s="394"/>
      <c r="DWH11" s="394"/>
      <c r="DWI11" s="394"/>
      <c r="DWJ11" s="395"/>
      <c r="DWK11" s="394"/>
      <c r="DWL11" s="394"/>
      <c r="DWM11" s="394"/>
      <c r="DWN11" s="394"/>
      <c r="DWO11" s="394"/>
      <c r="DWP11" s="394"/>
      <c r="DWQ11" s="394"/>
      <c r="DWR11" s="395"/>
      <c r="DWS11" s="394"/>
      <c r="DWT11" s="394"/>
      <c r="DWU11" s="394"/>
      <c r="DWV11" s="394"/>
      <c r="DWW11" s="394"/>
      <c r="DWX11" s="394"/>
      <c r="DWY11" s="394"/>
      <c r="DWZ11" s="395"/>
      <c r="DXA11" s="394"/>
      <c r="DXB11" s="394"/>
      <c r="DXC11" s="394"/>
      <c r="DXD11" s="394"/>
      <c r="DXE11" s="394"/>
      <c r="DXF11" s="394"/>
      <c r="DXG11" s="394"/>
      <c r="DXH11" s="395"/>
      <c r="DXI11" s="394"/>
      <c r="DXJ11" s="394"/>
      <c r="DXK11" s="394"/>
      <c r="DXL11" s="394"/>
      <c r="DXM11" s="394"/>
      <c r="DXN11" s="394"/>
      <c r="DXO11" s="394"/>
      <c r="DXP11" s="395"/>
      <c r="DXQ11" s="394"/>
      <c r="DXR11" s="394"/>
      <c r="DXS11" s="394"/>
      <c r="DXT11" s="394"/>
      <c r="DXU11" s="394"/>
      <c r="DXV11" s="394"/>
      <c r="DXW11" s="394"/>
      <c r="DXX11" s="395"/>
      <c r="DXY11" s="394"/>
      <c r="DXZ11" s="394"/>
      <c r="DYA11" s="394"/>
      <c r="DYB11" s="394"/>
      <c r="DYC11" s="394"/>
      <c r="DYD11" s="394"/>
      <c r="DYE11" s="394"/>
      <c r="DYF11" s="395"/>
      <c r="DYG11" s="394"/>
      <c r="DYH11" s="394"/>
      <c r="DYI11" s="394"/>
      <c r="DYJ11" s="394"/>
      <c r="DYK11" s="394"/>
      <c r="DYL11" s="394"/>
      <c r="DYM11" s="394"/>
      <c r="DYN11" s="395"/>
      <c r="DYO11" s="394"/>
      <c r="DYP11" s="394"/>
      <c r="DYQ11" s="394"/>
      <c r="DYR11" s="394"/>
      <c r="DYS11" s="394"/>
      <c r="DYT11" s="394"/>
      <c r="DYU11" s="394"/>
      <c r="DYV11" s="395"/>
      <c r="DYW11" s="394"/>
      <c r="DYX11" s="394"/>
      <c r="DYY11" s="394"/>
      <c r="DYZ11" s="394"/>
      <c r="DZA11" s="394"/>
      <c r="DZB11" s="394"/>
      <c r="DZC11" s="394"/>
      <c r="DZD11" s="395"/>
      <c r="DZE11" s="394"/>
      <c r="DZF11" s="394"/>
      <c r="DZG11" s="394"/>
      <c r="DZH11" s="394"/>
      <c r="DZI11" s="394"/>
      <c r="DZJ11" s="394"/>
      <c r="DZK11" s="394"/>
      <c r="DZL11" s="395"/>
      <c r="DZM11" s="394"/>
      <c r="DZN11" s="394"/>
      <c r="DZO11" s="394"/>
      <c r="DZP11" s="394"/>
      <c r="DZQ11" s="394"/>
      <c r="DZR11" s="394"/>
      <c r="DZS11" s="394"/>
      <c r="DZT11" s="395"/>
      <c r="DZU11" s="394"/>
      <c r="DZV11" s="394"/>
      <c r="DZW11" s="394"/>
      <c r="DZX11" s="394"/>
      <c r="DZY11" s="394"/>
      <c r="DZZ11" s="394"/>
      <c r="EAA11" s="394"/>
      <c r="EAB11" s="395"/>
      <c r="EAC11" s="394"/>
      <c r="EAD11" s="394"/>
      <c r="EAE11" s="394"/>
      <c r="EAF11" s="394"/>
      <c r="EAG11" s="394"/>
      <c r="EAH11" s="394"/>
      <c r="EAI11" s="394"/>
      <c r="EAJ11" s="395"/>
      <c r="EAK11" s="394"/>
      <c r="EAL11" s="394"/>
      <c r="EAM11" s="394"/>
      <c r="EAN11" s="394"/>
      <c r="EAO11" s="394"/>
      <c r="EAP11" s="394"/>
      <c r="EAQ11" s="394"/>
      <c r="EAR11" s="395"/>
      <c r="EAS11" s="394"/>
      <c r="EAT11" s="394"/>
      <c r="EAU11" s="394"/>
      <c r="EAV11" s="394"/>
      <c r="EAW11" s="394"/>
      <c r="EAX11" s="394"/>
      <c r="EAY11" s="394"/>
      <c r="EAZ11" s="395"/>
      <c r="EBA11" s="394"/>
      <c r="EBB11" s="394"/>
      <c r="EBC11" s="394"/>
      <c r="EBD11" s="394"/>
      <c r="EBE11" s="394"/>
      <c r="EBF11" s="394"/>
      <c r="EBG11" s="394"/>
      <c r="EBH11" s="395"/>
      <c r="EBI11" s="394"/>
      <c r="EBJ11" s="394"/>
      <c r="EBK11" s="394"/>
      <c r="EBL11" s="394"/>
      <c r="EBM11" s="394"/>
      <c r="EBN11" s="394"/>
      <c r="EBO11" s="394"/>
      <c r="EBP11" s="395"/>
      <c r="EBQ11" s="394"/>
      <c r="EBR11" s="394"/>
      <c r="EBS11" s="394"/>
      <c r="EBT11" s="394"/>
      <c r="EBU11" s="394"/>
      <c r="EBV11" s="394"/>
      <c r="EBW11" s="394"/>
      <c r="EBX11" s="395"/>
      <c r="EBY11" s="394"/>
      <c r="EBZ11" s="394"/>
      <c r="ECA11" s="394"/>
      <c r="ECB11" s="394"/>
      <c r="ECC11" s="394"/>
      <c r="ECD11" s="394"/>
      <c r="ECE11" s="394"/>
      <c r="ECF11" s="395"/>
      <c r="ECG11" s="394"/>
      <c r="ECH11" s="394"/>
      <c r="ECI11" s="394"/>
      <c r="ECJ11" s="394"/>
      <c r="ECK11" s="394"/>
      <c r="ECL11" s="394"/>
      <c r="ECM11" s="394"/>
      <c r="ECN11" s="395"/>
      <c r="ECO11" s="394"/>
      <c r="ECP11" s="394"/>
      <c r="ECQ11" s="394"/>
      <c r="ECR11" s="394"/>
      <c r="ECS11" s="394"/>
      <c r="ECT11" s="394"/>
      <c r="ECU11" s="394"/>
      <c r="ECV11" s="395"/>
      <c r="ECW11" s="394"/>
      <c r="ECX11" s="394"/>
      <c r="ECY11" s="394"/>
      <c r="ECZ11" s="394"/>
      <c r="EDA11" s="394"/>
      <c r="EDB11" s="394"/>
      <c r="EDC11" s="394"/>
      <c r="EDD11" s="395"/>
      <c r="EDE11" s="394"/>
      <c r="EDF11" s="394"/>
      <c r="EDG11" s="394"/>
      <c r="EDH11" s="394"/>
      <c r="EDI11" s="394"/>
      <c r="EDJ11" s="394"/>
      <c r="EDK11" s="394"/>
      <c r="EDL11" s="395"/>
      <c r="EDM11" s="394"/>
      <c r="EDN11" s="394"/>
      <c r="EDO11" s="394"/>
      <c r="EDP11" s="394"/>
      <c r="EDQ11" s="394"/>
      <c r="EDR11" s="394"/>
      <c r="EDS11" s="394"/>
      <c r="EDT11" s="395"/>
      <c r="EDU11" s="394"/>
      <c r="EDV11" s="394"/>
      <c r="EDW11" s="394"/>
      <c r="EDX11" s="394"/>
      <c r="EDY11" s="394"/>
      <c r="EDZ11" s="394"/>
      <c r="EEA11" s="394"/>
      <c r="EEB11" s="395"/>
      <c r="EEC11" s="394"/>
      <c r="EED11" s="394"/>
      <c r="EEE11" s="394"/>
      <c r="EEF11" s="394"/>
      <c r="EEG11" s="394"/>
      <c r="EEH11" s="394"/>
      <c r="EEI11" s="394"/>
      <c r="EEJ11" s="395"/>
      <c r="EEK11" s="394"/>
      <c r="EEL11" s="394"/>
      <c r="EEM11" s="394"/>
      <c r="EEN11" s="394"/>
      <c r="EEO11" s="394"/>
      <c r="EEP11" s="394"/>
      <c r="EEQ11" s="394"/>
      <c r="EER11" s="395"/>
      <c r="EES11" s="394"/>
      <c r="EET11" s="394"/>
      <c r="EEU11" s="394"/>
      <c r="EEV11" s="394"/>
      <c r="EEW11" s="394"/>
      <c r="EEX11" s="394"/>
      <c r="EEY11" s="394"/>
      <c r="EEZ11" s="395"/>
      <c r="EFA11" s="394"/>
      <c r="EFB11" s="394"/>
      <c r="EFC11" s="394"/>
      <c r="EFD11" s="394"/>
      <c r="EFE11" s="394"/>
      <c r="EFF11" s="394"/>
      <c r="EFG11" s="394"/>
      <c r="EFH11" s="395"/>
      <c r="EFI11" s="394"/>
      <c r="EFJ11" s="394"/>
      <c r="EFK11" s="394"/>
      <c r="EFL11" s="394"/>
      <c r="EFM11" s="394"/>
      <c r="EFN11" s="394"/>
      <c r="EFO11" s="394"/>
      <c r="EFP11" s="395"/>
      <c r="EFQ11" s="394"/>
      <c r="EFR11" s="394"/>
      <c r="EFS11" s="394"/>
      <c r="EFT11" s="394"/>
      <c r="EFU11" s="394"/>
      <c r="EFV11" s="394"/>
      <c r="EFW11" s="394"/>
      <c r="EFX11" s="395"/>
      <c r="EFY11" s="394"/>
      <c r="EFZ11" s="394"/>
      <c r="EGA11" s="394"/>
      <c r="EGB11" s="394"/>
      <c r="EGC11" s="394"/>
      <c r="EGD11" s="394"/>
      <c r="EGE11" s="394"/>
      <c r="EGF11" s="395"/>
      <c r="EGG11" s="394"/>
      <c r="EGH11" s="394"/>
      <c r="EGI11" s="394"/>
      <c r="EGJ11" s="394"/>
      <c r="EGK11" s="394"/>
      <c r="EGL11" s="394"/>
      <c r="EGM11" s="394"/>
      <c r="EGN11" s="395"/>
      <c r="EGO11" s="394"/>
      <c r="EGP11" s="394"/>
      <c r="EGQ11" s="394"/>
      <c r="EGR11" s="394"/>
      <c r="EGS11" s="394"/>
      <c r="EGT11" s="394"/>
      <c r="EGU11" s="394"/>
      <c r="EGV11" s="395"/>
      <c r="EGW11" s="394"/>
      <c r="EGX11" s="394"/>
      <c r="EGY11" s="394"/>
      <c r="EGZ11" s="394"/>
      <c r="EHA11" s="394"/>
      <c r="EHB11" s="394"/>
      <c r="EHC11" s="394"/>
      <c r="EHD11" s="395"/>
      <c r="EHE11" s="394"/>
      <c r="EHF11" s="394"/>
      <c r="EHG11" s="394"/>
      <c r="EHH11" s="394"/>
      <c r="EHI11" s="394"/>
      <c r="EHJ11" s="394"/>
      <c r="EHK11" s="394"/>
      <c r="EHL11" s="395"/>
      <c r="EHM11" s="394"/>
      <c r="EHN11" s="394"/>
      <c r="EHO11" s="394"/>
      <c r="EHP11" s="394"/>
      <c r="EHQ11" s="394"/>
      <c r="EHR11" s="394"/>
      <c r="EHS11" s="394"/>
      <c r="EHT11" s="395"/>
      <c r="EHU11" s="394"/>
      <c r="EHV11" s="394"/>
      <c r="EHW11" s="394"/>
      <c r="EHX11" s="394"/>
      <c r="EHY11" s="394"/>
      <c r="EHZ11" s="394"/>
      <c r="EIA11" s="394"/>
      <c r="EIB11" s="395"/>
      <c r="EIC11" s="394"/>
      <c r="EID11" s="394"/>
      <c r="EIE11" s="394"/>
      <c r="EIF11" s="394"/>
      <c r="EIG11" s="394"/>
      <c r="EIH11" s="394"/>
      <c r="EII11" s="394"/>
      <c r="EIJ11" s="395"/>
      <c r="EIK11" s="394"/>
      <c r="EIL11" s="394"/>
      <c r="EIM11" s="394"/>
      <c r="EIN11" s="394"/>
      <c r="EIO11" s="394"/>
      <c r="EIP11" s="394"/>
      <c r="EIQ11" s="394"/>
      <c r="EIR11" s="395"/>
      <c r="EIS11" s="394"/>
      <c r="EIT11" s="394"/>
      <c r="EIU11" s="394"/>
      <c r="EIV11" s="394"/>
      <c r="EIW11" s="394"/>
      <c r="EIX11" s="394"/>
      <c r="EIY11" s="394"/>
      <c r="EIZ11" s="395"/>
      <c r="EJA11" s="394"/>
      <c r="EJB11" s="394"/>
      <c r="EJC11" s="394"/>
      <c r="EJD11" s="394"/>
      <c r="EJE11" s="394"/>
      <c r="EJF11" s="394"/>
      <c r="EJG11" s="394"/>
      <c r="EJH11" s="395"/>
      <c r="EJI11" s="394"/>
      <c r="EJJ11" s="394"/>
      <c r="EJK11" s="394"/>
      <c r="EJL11" s="394"/>
      <c r="EJM11" s="394"/>
      <c r="EJN11" s="394"/>
      <c r="EJO11" s="394"/>
      <c r="EJP11" s="395"/>
      <c r="EJQ11" s="394"/>
      <c r="EJR11" s="394"/>
      <c r="EJS11" s="394"/>
      <c r="EJT11" s="394"/>
      <c r="EJU11" s="394"/>
      <c r="EJV11" s="394"/>
      <c r="EJW11" s="394"/>
      <c r="EJX11" s="395"/>
      <c r="EJY11" s="394"/>
      <c r="EJZ11" s="394"/>
      <c r="EKA11" s="394"/>
      <c r="EKB11" s="394"/>
      <c r="EKC11" s="394"/>
      <c r="EKD11" s="394"/>
      <c r="EKE11" s="394"/>
      <c r="EKF11" s="395"/>
      <c r="EKG11" s="394"/>
      <c r="EKH11" s="394"/>
      <c r="EKI11" s="394"/>
      <c r="EKJ11" s="394"/>
      <c r="EKK11" s="394"/>
      <c r="EKL11" s="394"/>
      <c r="EKM11" s="394"/>
      <c r="EKN11" s="395"/>
      <c r="EKO11" s="394"/>
      <c r="EKP11" s="394"/>
      <c r="EKQ11" s="394"/>
      <c r="EKR11" s="394"/>
      <c r="EKS11" s="394"/>
      <c r="EKT11" s="394"/>
      <c r="EKU11" s="394"/>
      <c r="EKV11" s="395"/>
      <c r="EKW11" s="394"/>
      <c r="EKX11" s="394"/>
      <c r="EKY11" s="394"/>
      <c r="EKZ11" s="394"/>
      <c r="ELA11" s="394"/>
      <c r="ELB11" s="394"/>
      <c r="ELC11" s="394"/>
      <c r="ELD11" s="395"/>
      <c r="ELE11" s="394"/>
      <c r="ELF11" s="394"/>
      <c r="ELG11" s="394"/>
      <c r="ELH11" s="394"/>
      <c r="ELI11" s="394"/>
      <c r="ELJ11" s="394"/>
      <c r="ELK11" s="394"/>
      <c r="ELL11" s="395"/>
      <c r="ELM11" s="394"/>
      <c r="ELN11" s="394"/>
      <c r="ELO11" s="394"/>
      <c r="ELP11" s="394"/>
      <c r="ELQ11" s="394"/>
      <c r="ELR11" s="394"/>
      <c r="ELS11" s="394"/>
      <c r="ELT11" s="395"/>
      <c r="ELU11" s="394"/>
      <c r="ELV11" s="394"/>
      <c r="ELW11" s="394"/>
      <c r="ELX11" s="394"/>
      <c r="ELY11" s="394"/>
      <c r="ELZ11" s="394"/>
      <c r="EMA11" s="394"/>
      <c r="EMB11" s="395"/>
      <c r="EMC11" s="394"/>
      <c r="EMD11" s="394"/>
      <c r="EME11" s="394"/>
      <c r="EMF11" s="394"/>
      <c r="EMG11" s="394"/>
      <c r="EMH11" s="394"/>
      <c r="EMI11" s="394"/>
      <c r="EMJ11" s="395"/>
      <c r="EMK11" s="394"/>
      <c r="EML11" s="394"/>
      <c r="EMM11" s="394"/>
      <c r="EMN11" s="394"/>
      <c r="EMO11" s="394"/>
      <c r="EMP11" s="394"/>
      <c r="EMQ11" s="394"/>
      <c r="EMR11" s="395"/>
      <c r="EMS11" s="394"/>
      <c r="EMT11" s="394"/>
      <c r="EMU11" s="394"/>
      <c r="EMV11" s="394"/>
      <c r="EMW11" s="394"/>
      <c r="EMX11" s="394"/>
      <c r="EMY11" s="394"/>
      <c r="EMZ11" s="395"/>
      <c r="ENA11" s="394"/>
      <c r="ENB11" s="394"/>
      <c r="ENC11" s="394"/>
      <c r="END11" s="394"/>
      <c r="ENE11" s="394"/>
      <c r="ENF11" s="394"/>
      <c r="ENG11" s="394"/>
      <c r="ENH11" s="395"/>
      <c r="ENI11" s="394"/>
      <c r="ENJ11" s="394"/>
      <c r="ENK11" s="394"/>
      <c r="ENL11" s="394"/>
      <c r="ENM11" s="394"/>
      <c r="ENN11" s="394"/>
      <c r="ENO11" s="394"/>
      <c r="ENP11" s="395"/>
      <c r="ENQ11" s="394"/>
      <c r="ENR11" s="394"/>
      <c r="ENS11" s="394"/>
      <c r="ENT11" s="394"/>
      <c r="ENU11" s="394"/>
      <c r="ENV11" s="394"/>
      <c r="ENW11" s="394"/>
      <c r="ENX11" s="395"/>
      <c r="ENY11" s="394"/>
      <c r="ENZ11" s="394"/>
      <c r="EOA11" s="394"/>
      <c r="EOB11" s="394"/>
      <c r="EOC11" s="394"/>
      <c r="EOD11" s="394"/>
      <c r="EOE11" s="394"/>
      <c r="EOF11" s="395"/>
      <c r="EOG11" s="394"/>
      <c r="EOH11" s="394"/>
      <c r="EOI11" s="394"/>
      <c r="EOJ11" s="394"/>
      <c r="EOK11" s="394"/>
      <c r="EOL11" s="394"/>
      <c r="EOM11" s="394"/>
      <c r="EON11" s="395"/>
      <c r="EOO11" s="394"/>
      <c r="EOP11" s="394"/>
      <c r="EOQ11" s="394"/>
      <c r="EOR11" s="394"/>
      <c r="EOS11" s="394"/>
      <c r="EOT11" s="394"/>
      <c r="EOU11" s="394"/>
      <c r="EOV11" s="395"/>
      <c r="EOW11" s="394"/>
      <c r="EOX11" s="394"/>
      <c r="EOY11" s="394"/>
      <c r="EOZ11" s="394"/>
      <c r="EPA11" s="394"/>
      <c r="EPB11" s="394"/>
      <c r="EPC11" s="394"/>
      <c r="EPD11" s="395"/>
      <c r="EPE11" s="394"/>
      <c r="EPF11" s="394"/>
      <c r="EPG11" s="394"/>
      <c r="EPH11" s="394"/>
      <c r="EPI11" s="394"/>
      <c r="EPJ11" s="394"/>
      <c r="EPK11" s="394"/>
      <c r="EPL11" s="395"/>
      <c r="EPM11" s="394"/>
      <c r="EPN11" s="394"/>
      <c r="EPO11" s="394"/>
      <c r="EPP11" s="394"/>
      <c r="EPQ11" s="394"/>
      <c r="EPR11" s="394"/>
      <c r="EPS11" s="394"/>
      <c r="EPT11" s="395"/>
      <c r="EPU11" s="394"/>
      <c r="EPV11" s="394"/>
      <c r="EPW11" s="394"/>
      <c r="EPX11" s="394"/>
      <c r="EPY11" s="394"/>
      <c r="EPZ11" s="394"/>
      <c r="EQA11" s="394"/>
      <c r="EQB11" s="395"/>
      <c r="EQC11" s="394"/>
      <c r="EQD11" s="394"/>
      <c r="EQE11" s="394"/>
      <c r="EQF11" s="394"/>
      <c r="EQG11" s="394"/>
      <c r="EQH11" s="394"/>
      <c r="EQI11" s="394"/>
      <c r="EQJ11" s="395"/>
      <c r="EQK11" s="394"/>
      <c r="EQL11" s="394"/>
      <c r="EQM11" s="394"/>
      <c r="EQN11" s="394"/>
      <c r="EQO11" s="394"/>
      <c r="EQP11" s="394"/>
      <c r="EQQ11" s="394"/>
      <c r="EQR11" s="395"/>
      <c r="EQS11" s="394"/>
      <c r="EQT11" s="394"/>
      <c r="EQU11" s="394"/>
      <c r="EQV11" s="394"/>
      <c r="EQW11" s="394"/>
      <c r="EQX11" s="394"/>
      <c r="EQY11" s="394"/>
      <c r="EQZ11" s="395"/>
      <c r="ERA11" s="394"/>
      <c r="ERB11" s="394"/>
      <c r="ERC11" s="394"/>
      <c r="ERD11" s="394"/>
      <c r="ERE11" s="394"/>
      <c r="ERF11" s="394"/>
      <c r="ERG11" s="394"/>
      <c r="ERH11" s="395"/>
      <c r="ERI11" s="394"/>
      <c r="ERJ11" s="394"/>
      <c r="ERK11" s="394"/>
      <c r="ERL11" s="394"/>
      <c r="ERM11" s="394"/>
      <c r="ERN11" s="394"/>
      <c r="ERO11" s="394"/>
      <c r="ERP11" s="395"/>
      <c r="ERQ11" s="394"/>
      <c r="ERR11" s="394"/>
      <c r="ERS11" s="394"/>
      <c r="ERT11" s="394"/>
      <c r="ERU11" s="394"/>
      <c r="ERV11" s="394"/>
      <c r="ERW11" s="394"/>
      <c r="ERX11" s="395"/>
      <c r="ERY11" s="394"/>
      <c r="ERZ11" s="394"/>
      <c r="ESA11" s="394"/>
      <c r="ESB11" s="394"/>
      <c r="ESC11" s="394"/>
      <c r="ESD11" s="394"/>
      <c r="ESE11" s="394"/>
      <c r="ESF11" s="395"/>
      <c r="ESG11" s="394"/>
      <c r="ESH11" s="394"/>
      <c r="ESI11" s="394"/>
      <c r="ESJ11" s="394"/>
      <c r="ESK11" s="394"/>
      <c r="ESL11" s="394"/>
      <c r="ESM11" s="394"/>
      <c r="ESN11" s="395"/>
      <c r="ESO11" s="394"/>
      <c r="ESP11" s="394"/>
      <c r="ESQ11" s="394"/>
      <c r="ESR11" s="394"/>
      <c r="ESS11" s="394"/>
      <c r="EST11" s="394"/>
      <c r="ESU11" s="394"/>
      <c r="ESV11" s="395"/>
      <c r="ESW11" s="394"/>
      <c r="ESX11" s="394"/>
      <c r="ESY11" s="394"/>
      <c r="ESZ11" s="394"/>
      <c r="ETA11" s="394"/>
      <c r="ETB11" s="394"/>
      <c r="ETC11" s="394"/>
      <c r="ETD11" s="395"/>
      <c r="ETE11" s="394"/>
      <c r="ETF11" s="394"/>
      <c r="ETG11" s="394"/>
      <c r="ETH11" s="394"/>
      <c r="ETI11" s="394"/>
      <c r="ETJ11" s="394"/>
      <c r="ETK11" s="394"/>
      <c r="ETL11" s="395"/>
      <c r="ETM11" s="394"/>
      <c r="ETN11" s="394"/>
      <c r="ETO11" s="394"/>
      <c r="ETP11" s="394"/>
      <c r="ETQ11" s="394"/>
      <c r="ETR11" s="394"/>
      <c r="ETS11" s="394"/>
      <c r="ETT11" s="395"/>
      <c r="ETU11" s="394"/>
      <c r="ETV11" s="394"/>
      <c r="ETW11" s="394"/>
      <c r="ETX11" s="394"/>
      <c r="ETY11" s="394"/>
      <c r="ETZ11" s="394"/>
      <c r="EUA11" s="394"/>
      <c r="EUB11" s="395"/>
      <c r="EUC11" s="394"/>
      <c r="EUD11" s="394"/>
      <c r="EUE11" s="394"/>
      <c r="EUF11" s="394"/>
      <c r="EUG11" s="394"/>
      <c r="EUH11" s="394"/>
      <c r="EUI11" s="394"/>
      <c r="EUJ11" s="395"/>
      <c r="EUK11" s="394"/>
      <c r="EUL11" s="394"/>
      <c r="EUM11" s="394"/>
      <c r="EUN11" s="394"/>
      <c r="EUO11" s="394"/>
      <c r="EUP11" s="394"/>
      <c r="EUQ11" s="394"/>
      <c r="EUR11" s="395"/>
      <c r="EUS11" s="394"/>
      <c r="EUT11" s="394"/>
      <c r="EUU11" s="394"/>
      <c r="EUV11" s="394"/>
      <c r="EUW11" s="394"/>
      <c r="EUX11" s="394"/>
      <c r="EUY11" s="394"/>
      <c r="EUZ11" s="395"/>
      <c r="EVA11" s="394"/>
      <c r="EVB11" s="394"/>
      <c r="EVC11" s="394"/>
      <c r="EVD11" s="394"/>
      <c r="EVE11" s="394"/>
      <c r="EVF11" s="394"/>
      <c r="EVG11" s="394"/>
      <c r="EVH11" s="395"/>
      <c r="EVI11" s="394"/>
      <c r="EVJ11" s="394"/>
      <c r="EVK11" s="394"/>
      <c r="EVL11" s="394"/>
      <c r="EVM11" s="394"/>
      <c r="EVN11" s="394"/>
      <c r="EVO11" s="394"/>
      <c r="EVP11" s="395"/>
      <c r="EVQ11" s="394"/>
      <c r="EVR11" s="394"/>
      <c r="EVS11" s="394"/>
      <c r="EVT11" s="394"/>
      <c r="EVU11" s="394"/>
      <c r="EVV11" s="394"/>
      <c r="EVW11" s="394"/>
      <c r="EVX11" s="395"/>
      <c r="EVY11" s="394"/>
      <c r="EVZ11" s="394"/>
      <c r="EWA11" s="394"/>
      <c r="EWB11" s="394"/>
      <c r="EWC11" s="394"/>
      <c r="EWD11" s="394"/>
      <c r="EWE11" s="394"/>
      <c r="EWF11" s="395"/>
      <c r="EWG11" s="394"/>
      <c r="EWH11" s="394"/>
      <c r="EWI11" s="394"/>
      <c r="EWJ11" s="394"/>
      <c r="EWK11" s="394"/>
      <c r="EWL11" s="394"/>
      <c r="EWM11" s="394"/>
      <c r="EWN11" s="395"/>
      <c r="EWO11" s="394"/>
      <c r="EWP11" s="394"/>
      <c r="EWQ11" s="394"/>
      <c r="EWR11" s="394"/>
      <c r="EWS11" s="394"/>
      <c r="EWT11" s="394"/>
      <c r="EWU11" s="394"/>
      <c r="EWV11" s="395"/>
      <c r="EWW11" s="394"/>
      <c r="EWX11" s="394"/>
      <c r="EWY11" s="394"/>
      <c r="EWZ11" s="394"/>
      <c r="EXA11" s="394"/>
      <c r="EXB11" s="394"/>
      <c r="EXC11" s="394"/>
      <c r="EXD11" s="395"/>
      <c r="EXE11" s="394"/>
      <c r="EXF11" s="394"/>
      <c r="EXG11" s="394"/>
      <c r="EXH11" s="394"/>
      <c r="EXI11" s="394"/>
      <c r="EXJ11" s="394"/>
      <c r="EXK11" s="394"/>
      <c r="EXL11" s="395"/>
      <c r="EXM11" s="394"/>
      <c r="EXN11" s="394"/>
      <c r="EXO11" s="394"/>
      <c r="EXP11" s="394"/>
      <c r="EXQ11" s="394"/>
      <c r="EXR11" s="394"/>
      <c r="EXS11" s="394"/>
      <c r="EXT11" s="395"/>
      <c r="EXU11" s="394"/>
      <c r="EXV11" s="394"/>
      <c r="EXW11" s="394"/>
      <c r="EXX11" s="394"/>
      <c r="EXY11" s="394"/>
      <c r="EXZ11" s="394"/>
      <c r="EYA11" s="394"/>
      <c r="EYB11" s="395"/>
      <c r="EYC11" s="394"/>
      <c r="EYD11" s="394"/>
      <c r="EYE11" s="394"/>
      <c r="EYF11" s="394"/>
      <c r="EYG11" s="394"/>
      <c r="EYH11" s="394"/>
      <c r="EYI11" s="394"/>
      <c r="EYJ11" s="395"/>
      <c r="EYK11" s="394"/>
      <c r="EYL11" s="394"/>
      <c r="EYM11" s="394"/>
      <c r="EYN11" s="394"/>
      <c r="EYO11" s="394"/>
      <c r="EYP11" s="394"/>
      <c r="EYQ11" s="394"/>
      <c r="EYR11" s="395"/>
      <c r="EYS11" s="394"/>
      <c r="EYT11" s="394"/>
      <c r="EYU11" s="394"/>
      <c r="EYV11" s="394"/>
      <c r="EYW11" s="394"/>
      <c r="EYX11" s="394"/>
      <c r="EYY11" s="394"/>
      <c r="EYZ11" s="395"/>
      <c r="EZA11" s="394"/>
      <c r="EZB11" s="394"/>
      <c r="EZC11" s="394"/>
      <c r="EZD11" s="394"/>
      <c r="EZE11" s="394"/>
      <c r="EZF11" s="394"/>
      <c r="EZG11" s="394"/>
      <c r="EZH11" s="395"/>
      <c r="EZI11" s="394"/>
      <c r="EZJ11" s="394"/>
      <c r="EZK11" s="394"/>
      <c r="EZL11" s="394"/>
      <c r="EZM11" s="394"/>
      <c r="EZN11" s="394"/>
      <c r="EZO11" s="394"/>
      <c r="EZP11" s="395"/>
      <c r="EZQ11" s="394"/>
      <c r="EZR11" s="394"/>
      <c r="EZS11" s="394"/>
      <c r="EZT11" s="394"/>
      <c r="EZU11" s="394"/>
      <c r="EZV11" s="394"/>
      <c r="EZW11" s="394"/>
      <c r="EZX11" s="395"/>
      <c r="EZY11" s="394"/>
      <c r="EZZ11" s="394"/>
      <c r="FAA11" s="394"/>
      <c r="FAB11" s="394"/>
      <c r="FAC11" s="394"/>
      <c r="FAD11" s="394"/>
      <c r="FAE11" s="394"/>
      <c r="FAF11" s="395"/>
      <c r="FAG11" s="394"/>
      <c r="FAH11" s="394"/>
      <c r="FAI11" s="394"/>
      <c r="FAJ11" s="394"/>
      <c r="FAK11" s="394"/>
      <c r="FAL11" s="394"/>
      <c r="FAM11" s="394"/>
      <c r="FAN11" s="395"/>
      <c r="FAO11" s="394"/>
      <c r="FAP11" s="394"/>
      <c r="FAQ11" s="394"/>
      <c r="FAR11" s="394"/>
      <c r="FAS11" s="394"/>
      <c r="FAT11" s="394"/>
      <c r="FAU11" s="394"/>
      <c r="FAV11" s="395"/>
      <c r="FAW11" s="394"/>
      <c r="FAX11" s="394"/>
      <c r="FAY11" s="394"/>
      <c r="FAZ11" s="394"/>
      <c r="FBA11" s="394"/>
      <c r="FBB11" s="394"/>
      <c r="FBC11" s="394"/>
      <c r="FBD11" s="395"/>
      <c r="FBE11" s="394"/>
      <c r="FBF11" s="394"/>
      <c r="FBG11" s="394"/>
      <c r="FBH11" s="394"/>
      <c r="FBI11" s="394"/>
      <c r="FBJ11" s="394"/>
      <c r="FBK11" s="394"/>
      <c r="FBL11" s="395"/>
      <c r="FBM11" s="394"/>
      <c r="FBN11" s="394"/>
      <c r="FBO11" s="394"/>
      <c r="FBP11" s="394"/>
      <c r="FBQ11" s="394"/>
      <c r="FBR11" s="394"/>
      <c r="FBS11" s="394"/>
      <c r="FBT11" s="395"/>
      <c r="FBU11" s="394"/>
      <c r="FBV11" s="394"/>
      <c r="FBW11" s="394"/>
      <c r="FBX11" s="394"/>
      <c r="FBY11" s="394"/>
      <c r="FBZ11" s="394"/>
      <c r="FCA11" s="394"/>
      <c r="FCB11" s="395"/>
      <c r="FCC11" s="394"/>
      <c r="FCD11" s="394"/>
      <c r="FCE11" s="394"/>
      <c r="FCF11" s="394"/>
      <c r="FCG11" s="394"/>
      <c r="FCH11" s="394"/>
      <c r="FCI11" s="394"/>
      <c r="FCJ11" s="395"/>
      <c r="FCK11" s="394"/>
      <c r="FCL11" s="394"/>
      <c r="FCM11" s="394"/>
      <c r="FCN11" s="394"/>
      <c r="FCO11" s="394"/>
      <c r="FCP11" s="394"/>
      <c r="FCQ11" s="394"/>
      <c r="FCR11" s="395"/>
      <c r="FCS11" s="394"/>
      <c r="FCT11" s="394"/>
      <c r="FCU11" s="394"/>
      <c r="FCV11" s="394"/>
      <c r="FCW11" s="394"/>
      <c r="FCX11" s="394"/>
      <c r="FCY11" s="394"/>
      <c r="FCZ11" s="395"/>
      <c r="FDA11" s="394"/>
      <c r="FDB11" s="394"/>
      <c r="FDC11" s="394"/>
      <c r="FDD11" s="394"/>
      <c r="FDE11" s="394"/>
      <c r="FDF11" s="394"/>
      <c r="FDG11" s="394"/>
      <c r="FDH11" s="395"/>
      <c r="FDI11" s="394"/>
      <c r="FDJ11" s="394"/>
      <c r="FDK11" s="394"/>
      <c r="FDL11" s="394"/>
      <c r="FDM11" s="394"/>
      <c r="FDN11" s="394"/>
      <c r="FDO11" s="394"/>
      <c r="FDP11" s="395"/>
      <c r="FDQ11" s="394"/>
      <c r="FDR11" s="394"/>
      <c r="FDS11" s="394"/>
      <c r="FDT11" s="394"/>
      <c r="FDU11" s="394"/>
      <c r="FDV11" s="394"/>
      <c r="FDW11" s="394"/>
      <c r="FDX11" s="395"/>
      <c r="FDY11" s="394"/>
      <c r="FDZ11" s="394"/>
      <c r="FEA11" s="394"/>
      <c r="FEB11" s="394"/>
      <c r="FEC11" s="394"/>
      <c r="FED11" s="394"/>
      <c r="FEE11" s="394"/>
      <c r="FEF11" s="395"/>
      <c r="FEG11" s="394"/>
      <c r="FEH11" s="394"/>
      <c r="FEI11" s="394"/>
      <c r="FEJ11" s="394"/>
      <c r="FEK11" s="394"/>
      <c r="FEL11" s="394"/>
      <c r="FEM11" s="394"/>
      <c r="FEN11" s="395"/>
      <c r="FEO11" s="394"/>
      <c r="FEP11" s="394"/>
      <c r="FEQ11" s="394"/>
      <c r="FER11" s="394"/>
      <c r="FES11" s="394"/>
      <c r="FET11" s="394"/>
      <c r="FEU11" s="394"/>
      <c r="FEV11" s="395"/>
      <c r="FEW11" s="394"/>
      <c r="FEX11" s="394"/>
      <c r="FEY11" s="394"/>
      <c r="FEZ11" s="394"/>
      <c r="FFA11" s="394"/>
      <c r="FFB11" s="394"/>
      <c r="FFC11" s="394"/>
      <c r="FFD11" s="395"/>
      <c r="FFE11" s="394"/>
      <c r="FFF11" s="394"/>
      <c r="FFG11" s="394"/>
      <c r="FFH11" s="394"/>
      <c r="FFI11" s="394"/>
      <c r="FFJ11" s="394"/>
      <c r="FFK11" s="394"/>
      <c r="FFL11" s="395"/>
      <c r="FFM11" s="394"/>
      <c r="FFN11" s="394"/>
      <c r="FFO11" s="394"/>
      <c r="FFP11" s="394"/>
      <c r="FFQ11" s="394"/>
      <c r="FFR11" s="394"/>
      <c r="FFS11" s="394"/>
      <c r="FFT11" s="395"/>
      <c r="FFU11" s="394"/>
      <c r="FFV11" s="394"/>
      <c r="FFW11" s="394"/>
      <c r="FFX11" s="394"/>
      <c r="FFY11" s="394"/>
      <c r="FFZ11" s="394"/>
      <c r="FGA11" s="394"/>
      <c r="FGB11" s="395"/>
      <c r="FGC11" s="394"/>
      <c r="FGD11" s="394"/>
      <c r="FGE11" s="394"/>
      <c r="FGF11" s="394"/>
      <c r="FGG11" s="394"/>
      <c r="FGH11" s="394"/>
      <c r="FGI11" s="394"/>
      <c r="FGJ11" s="395"/>
      <c r="FGK11" s="394"/>
      <c r="FGL11" s="394"/>
      <c r="FGM11" s="394"/>
      <c r="FGN11" s="394"/>
      <c r="FGO11" s="394"/>
      <c r="FGP11" s="394"/>
      <c r="FGQ11" s="394"/>
      <c r="FGR11" s="395"/>
      <c r="FGS11" s="394"/>
      <c r="FGT11" s="394"/>
      <c r="FGU11" s="394"/>
      <c r="FGV11" s="394"/>
      <c r="FGW11" s="394"/>
      <c r="FGX11" s="394"/>
      <c r="FGY11" s="394"/>
      <c r="FGZ11" s="395"/>
      <c r="FHA11" s="394"/>
      <c r="FHB11" s="394"/>
      <c r="FHC11" s="394"/>
      <c r="FHD11" s="394"/>
      <c r="FHE11" s="394"/>
      <c r="FHF11" s="394"/>
      <c r="FHG11" s="394"/>
      <c r="FHH11" s="395"/>
      <c r="FHI11" s="394"/>
      <c r="FHJ11" s="394"/>
      <c r="FHK11" s="394"/>
      <c r="FHL11" s="394"/>
      <c r="FHM11" s="394"/>
      <c r="FHN11" s="394"/>
      <c r="FHO11" s="394"/>
      <c r="FHP11" s="395"/>
      <c r="FHQ11" s="394"/>
      <c r="FHR11" s="394"/>
      <c r="FHS11" s="394"/>
      <c r="FHT11" s="394"/>
      <c r="FHU11" s="394"/>
      <c r="FHV11" s="394"/>
      <c r="FHW11" s="394"/>
      <c r="FHX11" s="395"/>
      <c r="FHY11" s="394"/>
      <c r="FHZ11" s="394"/>
      <c r="FIA11" s="394"/>
      <c r="FIB11" s="394"/>
      <c r="FIC11" s="394"/>
      <c r="FID11" s="394"/>
      <c r="FIE11" s="394"/>
      <c r="FIF11" s="395"/>
      <c r="FIG11" s="394"/>
      <c r="FIH11" s="394"/>
      <c r="FII11" s="394"/>
      <c r="FIJ11" s="394"/>
      <c r="FIK11" s="394"/>
      <c r="FIL11" s="394"/>
      <c r="FIM11" s="394"/>
      <c r="FIN11" s="395"/>
      <c r="FIO11" s="394"/>
      <c r="FIP11" s="394"/>
      <c r="FIQ11" s="394"/>
      <c r="FIR11" s="394"/>
      <c r="FIS11" s="394"/>
      <c r="FIT11" s="394"/>
      <c r="FIU11" s="394"/>
      <c r="FIV11" s="395"/>
      <c r="FIW11" s="394"/>
      <c r="FIX11" s="394"/>
      <c r="FIY11" s="394"/>
      <c r="FIZ11" s="394"/>
      <c r="FJA11" s="394"/>
      <c r="FJB11" s="394"/>
      <c r="FJC11" s="394"/>
      <c r="FJD11" s="395"/>
      <c r="FJE11" s="394"/>
      <c r="FJF11" s="394"/>
      <c r="FJG11" s="394"/>
      <c r="FJH11" s="394"/>
      <c r="FJI11" s="394"/>
      <c r="FJJ11" s="394"/>
      <c r="FJK11" s="394"/>
      <c r="FJL11" s="395"/>
      <c r="FJM11" s="394"/>
      <c r="FJN11" s="394"/>
      <c r="FJO11" s="394"/>
      <c r="FJP11" s="394"/>
      <c r="FJQ11" s="394"/>
      <c r="FJR11" s="394"/>
      <c r="FJS11" s="394"/>
      <c r="FJT11" s="395"/>
      <c r="FJU11" s="394"/>
      <c r="FJV11" s="394"/>
      <c r="FJW11" s="394"/>
      <c r="FJX11" s="394"/>
      <c r="FJY11" s="394"/>
      <c r="FJZ11" s="394"/>
      <c r="FKA11" s="394"/>
      <c r="FKB11" s="395"/>
      <c r="FKC11" s="394"/>
      <c r="FKD11" s="394"/>
      <c r="FKE11" s="394"/>
      <c r="FKF11" s="394"/>
      <c r="FKG11" s="394"/>
      <c r="FKH11" s="394"/>
      <c r="FKI11" s="394"/>
      <c r="FKJ11" s="395"/>
      <c r="FKK11" s="394"/>
      <c r="FKL11" s="394"/>
      <c r="FKM11" s="394"/>
      <c r="FKN11" s="394"/>
      <c r="FKO11" s="394"/>
      <c r="FKP11" s="394"/>
      <c r="FKQ11" s="394"/>
      <c r="FKR11" s="395"/>
      <c r="FKS11" s="394"/>
      <c r="FKT11" s="394"/>
      <c r="FKU11" s="394"/>
      <c r="FKV11" s="394"/>
      <c r="FKW11" s="394"/>
      <c r="FKX11" s="394"/>
      <c r="FKY11" s="394"/>
      <c r="FKZ11" s="395"/>
      <c r="FLA11" s="394"/>
      <c r="FLB11" s="394"/>
      <c r="FLC11" s="394"/>
      <c r="FLD11" s="394"/>
      <c r="FLE11" s="394"/>
      <c r="FLF11" s="394"/>
      <c r="FLG11" s="394"/>
      <c r="FLH11" s="395"/>
      <c r="FLI11" s="394"/>
      <c r="FLJ11" s="394"/>
      <c r="FLK11" s="394"/>
      <c r="FLL11" s="394"/>
      <c r="FLM11" s="394"/>
      <c r="FLN11" s="394"/>
      <c r="FLO11" s="394"/>
      <c r="FLP11" s="395"/>
      <c r="FLQ11" s="394"/>
      <c r="FLR11" s="394"/>
      <c r="FLS11" s="394"/>
      <c r="FLT11" s="394"/>
      <c r="FLU11" s="394"/>
      <c r="FLV11" s="394"/>
      <c r="FLW11" s="394"/>
      <c r="FLX11" s="395"/>
      <c r="FLY11" s="394"/>
      <c r="FLZ11" s="394"/>
      <c r="FMA11" s="394"/>
      <c r="FMB11" s="394"/>
      <c r="FMC11" s="394"/>
      <c r="FMD11" s="394"/>
      <c r="FME11" s="394"/>
      <c r="FMF11" s="395"/>
      <c r="FMG11" s="394"/>
      <c r="FMH11" s="394"/>
      <c r="FMI11" s="394"/>
      <c r="FMJ11" s="394"/>
      <c r="FMK11" s="394"/>
      <c r="FML11" s="394"/>
      <c r="FMM11" s="394"/>
      <c r="FMN11" s="395"/>
      <c r="FMO11" s="394"/>
      <c r="FMP11" s="394"/>
      <c r="FMQ11" s="394"/>
      <c r="FMR11" s="394"/>
      <c r="FMS11" s="394"/>
      <c r="FMT11" s="394"/>
      <c r="FMU11" s="394"/>
      <c r="FMV11" s="395"/>
      <c r="FMW11" s="394"/>
      <c r="FMX11" s="394"/>
      <c r="FMY11" s="394"/>
      <c r="FMZ11" s="394"/>
      <c r="FNA11" s="394"/>
      <c r="FNB11" s="394"/>
      <c r="FNC11" s="394"/>
      <c r="FND11" s="395"/>
      <c r="FNE11" s="394"/>
      <c r="FNF11" s="394"/>
      <c r="FNG11" s="394"/>
      <c r="FNH11" s="394"/>
      <c r="FNI11" s="394"/>
      <c r="FNJ11" s="394"/>
      <c r="FNK11" s="394"/>
      <c r="FNL11" s="395"/>
      <c r="FNM11" s="394"/>
      <c r="FNN11" s="394"/>
      <c r="FNO11" s="394"/>
      <c r="FNP11" s="394"/>
      <c r="FNQ11" s="394"/>
      <c r="FNR11" s="394"/>
      <c r="FNS11" s="394"/>
      <c r="FNT11" s="395"/>
      <c r="FNU11" s="394"/>
      <c r="FNV11" s="394"/>
      <c r="FNW11" s="394"/>
      <c r="FNX11" s="394"/>
      <c r="FNY11" s="394"/>
      <c r="FNZ11" s="394"/>
      <c r="FOA11" s="394"/>
      <c r="FOB11" s="395"/>
      <c r="FOC11" s="394"/>
      <c r="FOD11" s="394"/>
      <c r="FOE11" s="394"/>
      <c r="FOF11" s="394"/>
      <c r="FOG11" s="394"/>
      <c r="FOH11" s="394"/>
      <c r="FOI11" s="394"/>
      <c r="FOJ11" s="395"/>
      <c r="FOK11" s="394"/>
      <c r="FOL11" s="394"/>
      <c r="FOM11" s="394"/>
      <c r="FON11" s="394"/>
      <c r="FOO11" s="394"/>
      <c r="FOP11" s="394"/>
      <c r="FOQ11" s="394"/>
      <c r="FOR11" s="395"/>
      <c r="FOS11" s="394"/>
      <c r="FOT11" s="394"/>
      <c r="FOU11" s="394"/>
      <c r="FOV11" s="394"/>
      <c r="FOW11" s="394"/>
      <c r="FOX11" s="394"/>
      <c r="FOY11" s="394"/>
      <c r="FOZ11" s="395"/>
      <c r="FPA11" s="394"/>
      <c r="FPB11" s="394"/>
      <c r="FPC11" s="394"/>
      <c r="FPD11" s="394"/>
      <c r="FPE11" s="394"/>
      <c r="FPF11" s="394"/>
      <c r="FPG11" s="394"/>
      <c r="FPH11" s="395"/>
      <c r="FPI11" s="394"/>
      <c r="FPJ11" s="394"/>
      <c r="FPK11" s="394"/>
      <c r="FPL11" s="394"/>
      <c r="FPM11" s="394"/>
      <c r="FPN11" s="394"/>
      <c r="FPO11" s="394"/>
      <c r="FPP11" s="395"/>
      <c r="FPQ11" s="394"/>
      <c r="FPR11" s="394"/>
      <c r="FPS11" s="394"/>
      <c r="FPT11" s="394"/>
      <c r="FPU11" s="394"/>
      <c r="FPV11" s="394"/>
      <c r="FPW11" s="394"/>
      <c r="FPX11" s="395"/>
      <c r="FPY11" s="394"/>
      <c r="FPZ11" s="394"/>
      <c r="FQA11" s="394"/>
      <c r="FQB11" s="394"/>
      <c r="FQC11" s="394"/>
      <c r="FQD11" s="394"/>
      <c r="FQE11" s="394"/>
      <c r="FQF11" s="395"/>
      <c r="FQG11" s="394"/>
      <c r="FQH11" s="394"/>
      <c r="FQI11" s="394"/>
      <c r="FQJ11" s="394"/>
      <c r="FQK11" s="394"/>
      <c r="FQL11" s="394"/>
      <c r="FQM11" s="394"/>
      <c r="FQN11" s="395"/>
      <c r="FQO11" s="394"/>
      <c r="FQP11" s="394"/>
      <c r="FQQ11" s="394"/>
      <c r="FQR11" s="394"/>
      <c r="FQS11" s="394"/>
      <c r="FQT11" s="394"/>
      <c r="FQU11" s="394"/>
      <c r="FQV11" s="395"/>
      <c r="FQW11" s="394"/>
      <c r="FQX11" s="394"/>
      <c r="FQY11" s="394"/>
      <c r="FQZ11" s="394"/>
      <c r="FRA11" s="394"/>
      <c r="FRB11" s="394"/>
      <c r="FRC11" s="394"/>
      <c r="FRD11" s="395"/>
      <c r="FRE11" s="394"/>
      <c r="FRF11" s="394"/>
      <c r="FRG11" s="394"/>
      <c r="FRH11" s="394"/>
      <c r="FRI11" s="394"/>
      <c r="FRJ11" s="394"/>
      <c r="FRK11" s="394"/>
      <c r="FRL11" s="395"/>
      <c r="FRM11" s="394"/>
      <c r="FRN11" s="394"/>
      <c r="FRO11" s="394"/>
      <c r="FRP11" s="394"/>
      <c r="FRQ11" s="394"/>
      <c r="FRR11" s="394"/>
      <c r="FRS11" s="394"/>
      <c r="FRT11" s="395"/>
      <c r="FRU11" s="394"/>
      <c r="FRV11" s="394"/>
      <c r="FRW11" s="394"/>
      <c r="FRX11" s="394"/>
      <c r="FRY11" s="394"/>
      <c r="FRZ11" s="394"/>
      <c r="FSA11" s="394"/>
      <c r="FSB11" s="395"/>
      <c r="FSC11" s="394"/>
      <c r="FSD11" s="394"/>
      <c r="FSE11" s="394"/>
      <c r="FSF11" s="394"/>
      <c r="FSG11" s="394"/>
      <c r="FSH11" s="394"/>
      <c r="FSI11" s="394"/>
      <c r="FSJ11" s="395"/>
      <c r="FSK11" s="394"/>
      <c r="FSL11" s="394"/>
      <c r="FSM11" s="394"/>
      <c r="FSN11" s="394"/>
      <c r="FSO11" s="394"/>
      <c r="FSP11" s="394"/>
      <c r="FSQ11" s="394"/>
      <c r="FSR11" s="395"/>
      <c r="FSS11" s="394"/>
      <c r="FST11" s="394"/>
      <c r="FSU11" s="394"/>
      <c r="FSV11" s="394"/>
      <c r="FSW11" s="394"/>
      <c r="FSX11" s="394"/>
      <c r="FSY11" s="394"/>
      <c r="FSZ11" s="395"/>
      <c r="FTA11" s="394"/>
      <c r="FTB11" s="394"/>
      <c r="FTC11" s="394"/>
      <c r="FTD11" s="394"/>
      <c r="FTE11" s="394"/>
      <c r="FTF11" s="394"/>
      <c r="FTG11" s="394"/>
      <c r="FTH11" s="395"/>
      <c r="FTI11" s="394"/>
      <c r="FTJ11" s="394"/>
      <c r="FTK11" s="394"/>
      <c r="FTL11" s="394"/>
      <c r="FTM11" s="394"/>
      <c r="FTN11" s="394"/>
      <c r="FTO11" s="394"/>
      <c r="FTP11" s="395"/>
      <c r="FTQ11" s="394"/>
      <c r="FTR11" s="394"/>
      <c r="FTS11" s="394"/>
      <c r="FTT11" s="394"/>
      <c r="FTU11" s="394"/>
      <c r="FTV11" s="394"/>
      <c r="FTW11" s="394"/>
      <c r="FTX11" s="395"/>
      <c r="FTY11" s="394"/>
      <c r="FTZ11" s="394"/>
      <c r="FUA11" s="394"/>
      <c r="FUB11" s="394"/>
      <c r="FUC11" s="394"/>
      <c r="FUD11" s="394"/>
      <c r="FUE11" s="394"/>
      <c r="FUF11" s="395"/>
      <c r="FUG11" s="394"/>
      <c r="FUH11" s="394"/>
      <c r="FUI11" s="394"/>
      <c r="FUJ11" s="394"/>
      <c r="FUK11" s="394"/>
      <c r="FUL11" s="394"/>
      <c r="FUM11" s="394"/>
      <c r="FUN11" s="395"/>
      <c r="FUO11" s="394"/>
      <c r="FUP11" s="394"/>
      <c r="FUQ11" s="394"/>
      <c r="FUR11" s="394"/>
      <c r="FUS11" s="394"/>
      <c r="FUT11" s="394"/>
      <c r="FUU11" s="394"/>
      <c r="FUV11" s="395"/>
      <c r="FUW11" s="394"/>
      <c r="FUX11" s="394"/>
      <c r="FUY11" s="394"/>
      <c r="FUZ11" s="394"/>
      <c r="FVA11" s="394"/>
      <c r="FVB11" s="394"/>
      <c r="FVC11" s="394"/>
      <c r="FVD11" s="395"/>
      <c r="FVE11" s="394"/>
      <c r="FVF11" s="394"/>
      <c r="FVG11" s="394"/>
      <c r="FVH11" s="394"/>
      <c r="FVI11" s="394"/>
      <c r="FVJ11" s="394"/>
      <c r="FVK11" s="394"/>
      <c r="FVL11" s="395"/>
      <c r="FVM11" s="394"/>
      <c r="FVN11" s="394"/>
      <c r="FVO11" s="394"/>
      <c r="FVP11" s="394"/>
      <c r="FVQ11" s="394"/>
      <c r="FVR11" s="394"/>
      <c r="FVS11" s="394"/>
      <c r="FVT11" s="395"/>
      <c r="FVU11" s="394"/>
      <c r="FVV11" s="394"/>
      <c r="FVW11" s="394"/>
      <c r="FVX11" s="394"/>
      <c r="FVY11" s="394"/>
      <c r="FVZ11" s="394"/>
      <c r="FWA11" s="394"/>
      <c r="FWB11" s="395"/>
      <c r="FWC11" s="394"/>
      <c r="FWD11" s="394"/>
      <c r="FWE11" s="394"/>
      <c r="FWF11" s="394"/>
      <c r="FWG11" s="394"/>
      <c r="FWH11" s="394"/>
      <c r="FWI11" s="394"/>
      <c r="FWJ11" s="395"/>
      <c r="FWK11" s="394"/>
      <c r="FWL11" s="394"/>
      <c r="FWM11" s="394"/>
      <c r="FWN11" s="394"/>
      <c r="FWO11" s="394"/>
      <c r="FWP11" s="394"/>
      <c r="FWQ11" s="394"/>
      <c r="FWR11" s="395"/>
      <c r="FWS11" s="394"/>
      <c r="FWT11" s="394"/>
      <c r="FWU11" s="394"/>
      <c r="FWV11" s="394"/>
      <c r="FWW11" s="394"/>
      <c r="FWX11" s="394"/>
      <c r="FWY11" s="394"/>
      <c r="FWZ11" s="395"/>
      <c r="FXA11" s="394"/>
      <c r="FXB11" s="394"/>
      <c r="FXC11" s="394"/>
      <c r="FXD11" s="394"/>
      <c r="FXE11" s="394"/>
      <c r="FXF11" s="394"/>
      <c r="FXG11" s="394"/>
      <c r="FXH11" s="395"/>
      <c r="FXI11" s="394"/>
      <c r="FXJ11" s="394"/>
      <c r="FXK11" s="394"/>
      <c r="FXL11" s="394"/>
      <c r="FXM11" s="394"/>
      <c r="FXN11" s="394"/>
      <c r="FXO11" s="394"/>
      <c r="FXP11" s="395"/>
      <c r="FXQ11" s="394"/>
      <c r="FXR11" s="394"/>
      <c r="FXS11" s="394"/>
      <c r="FXT11" s="394"/>
      <c r="FXU11" s="394"/>
      <c r="FXV11" s="394"/>
      <c r="FXW11" s="394"/>
      <c r="FXX11" s="395"/>
      <c r="FXY11" s="394"/>
      <c r="FXZ11" s="394"/>
      <c r="FYA11" s="394"/>
      <c r="FYB11" s="394"/>
      <c r="FYC11" s="394"/>
      <c r="FYD11" s="394"/>
      <c r="FYE11" s="394"/>
      <c r="FYF11" s="395"/>
      <c r="FYG11" s="394"/>
      <c r="FYH11" s="394"/>
      <c r="FYI11" s="394"/>
      <c r="FYJ11" s="394"/>
      <c r="FYK11" s="394"/>
      <c r="FYL11" s="394"/>
      <c r="FYM11" s="394"/>
      <c r="FYN11" s="395"/>
      <c r="FYO11" s="394"/>
      <c r="FYP11" s="394"/>
      <c r="FYQ11" s="394"/>
      <c r="FYR11" s="394"/>
      <c r="FYS11" s="394"/>
      <c r="FYT11" s="394"/>
      <c r="FYU11" s="394"/>
      <c r="FYV11" s="395"/>
      <c r="FYW11" s="394"/>
      <c r="FYX11" s="394"/>
      <c r="FYY11" s="394"/>
      <c r="FYZ11" s="394"/>
      <c r="FZA11" s="394"/>
      <c r="FZB11" s="394"/>
      <c r="FZC11" s="394"/>
      <c r="FZD11" s="395"/>
      <c r="FZE11" s="394"/>
      <c r="FZF11" s="394"/>
      <c r="FZG11" s="394"/>
      <c r="FZH11" s="394"/>
      <c r="FZI11" s="394"/>
      <c r="FZJ11" s="394"/>
      <c r="FZK11" s="394"/>
      <c r="FZL11" s="395"/>
      <c r="FZM11" s="394"/>
      <c r="FZN11" s="394"/>
      <c r="FZO11" s="394"/>
      <c r="FZP11" s="394"/>
      <c r="FZQ11" s="394"/>
      <c r="FZR11" s="394"/>
      <c r="FZS11" s="394"/>
      <c r="FZT11" s="395"/>
      <c r="FZU11" s="394"/>
      <c r="FZV11" s="394"/>
      <c r="FZW11" s="394"/>
      <c r="FZX11" s="394"/>
      <c r="FZY11" s="394"/>
      <c r="FZZ11" s="394"/>
      <c r="GAA11" s="394"/>
      <c r="GAB11" s="395"/>
      <c r="GAC11" s="394"/>
      <c r="GAD11" s="394"/>
      <c r="GAE11" s="394"/>
      <c r="GAF11" s="394"/>
      <c r="GAG11" s="394"/>
      <c r="GAH11" s="394"/>
      <c r="GAI11" s="394"/>
      <c r="GAJ11" s="395"/>
      <c r="GAK11" s="394"/>
      <c r="GAL11" s="394"/>
      <c r="GAM11" s="394"/>
      <c r="GAN11" s="394"/>
      <c r="GAO11" s="394"/>
      <c r="GAP11" s="394"/>
      <c r="GAQ11" s="394"/>
      <c r="GAR11" s="395"/>
      <c r="GAS11" s="394"/>
      <c r="GAT11" s="394"/>
      <c r="GAU11" s="394"/>
      <c r="GAV11" s="394"/>
      <c r="GAW11" s="394"/>
      <c r="GAX11" s="394"/>
      <c r="GAY11" s="394"/>
      <c r="GAZ11" s="395"/>
      <c r="GBA11" s="394"/>
      <c r="GBB11" s="394"/>
      <c r="GBC11" s="394"/>
      <c r="GBD11" s="394"/>
      <c r="GBE11" s="394"/>
      <c r="GBF11" s="394"/>
      <c r="GBG11" s="394"/>
      <c r="GBH11" s="395"/>
      <c r="GBI11" s="394"/>
      <c r="GBJ11" s="394"/>
      <c r="GBK11" s="394"/>
      <c r="GBL11" s="394"/>
      <c r="GBM11" s="394"/>
      <c r="GBN11" s="394"/>
      <c r="GBO11" s="394"/>
      <c r="GBP11" s="395"/>
      <c r="GBQ11" s="394"/>
      <c r="GBR11" s="394"/>
      <c r="GBS11" s="394"/>
      <c r="GBT11" s="394"/>
      <c r="GBU11" s="394"/>
      <c r="GBV11" s="394"/>
      <c r="GBW11" s="394"/>
      <c r="GBX11" s="395"/>
      <c r="GBY11" s="394"/>
      <c r="GBZ11" s="394"/>
      <c r="GCA11" s="394"/>
      <c r="GCB11" s="394"/>
      <c r="GCC11" s="394"/>
      <c r="GCD11" s="394"/>
      <c r="GCE11" s="394"/>
      <c r="GCF11" s="395"/>
      <c r="GCG11" s="394"/>
      <c r="GCH11" s="394"/>
      <c r="GCI11" s="394"/>
      <c r="GCJ11" s="394"/>
      <c r="GCK11" s="394"/>
      <c r="GCL11" s="394"/>
      <c r="GCM11" s="394"/>
      <c r="GCN11" s="395"/>
      <c r="GCO11" s="394"/>
      <c r="GCP11" s="394"/>
      <c r="GCQ11" s="394"/>
      <c r="GCR11" s="394"/>
      <c r="GCS11" s="394"/>
      <c r="GCT11" s="394"/>
      <c r="GCU11" s="394"/>
      <c r="GCV11" s="395"/>
      <c r="GCW11" s="394"/>
      <c r="GCX11" s="394"/>
      <c r="GCY11" s="394"/>
      <c r="GCZ11" s="394"/>
      <c r="GDA11" s="394"/>
      <c r="GDB11" s="394"/>
      <c r="GDC11" s="394"/>
      <c r="GDD11" s="395"/>
      <c r="GDE11" s="394"/>
      <c r="GDF11" s="394"/>
      <c r="GDG11" s="394"/>
      <c r="GDH11" s="394"/>
      <c r="GDI11" s="394"/>
      <c r="GDJ11" s="394"/>
      <c r="GDK11" s="394"/>
      <c r="GDL11" s="395"/>
      <c r="GDM11" s="394"/>
      <c r="GDN11" s="394"/>
      <c r="GDO11" s="394"/>
      <c r="GDP11" s="394"/>
      <c r="GDQ11" s="394"/>
      <c r="GDR11" s="394"/>
      <c r="GDS11" s="394"/>
      <c r="GDT11" s="395"/>
      <c r="GDU11" s="394"/>
      <c r="GDV11" s="394"/>
      <c r="GDW11" s="394"/>
      <c r="GDX11" s="394"/>
      <c r="GDY11" s="394"/>
      <c r="GDZ11" s="394"/>
      <c r="GEA11" s="394"/>
      <c r="GEB11" s="395"/>
      <c r="GEC11" s="394"/>
      <c r="GED11" s="394"/>
      <c r="GEE11" s="394"/>
      <c r="GEF11" s="394"/>
      <c r="GEG11" s="394"/>
      <c r="GEH11" s="394"/>
      <c r="GEI11" s="394"/>
      <c r="GEJ11" s="395"/>
      <c r="GEK11" s="394"/>
      <c r="GEL11" s="394"/>
      <c r="GEM11" s="394"/>
      <c r="GEN11" s="394"/>
      <c r="GEO11" s="394"/>
      <c r="GEP11" s="394"/>
      <c r="GEQ11" s="394"/>
      <c r="GER11" s="395"/>
      <c r="GES11" s="394"/>
      <c r="GET11" s="394"/>
      <c r="GEU11" s="394"/>
      <c r="GEV11" s="394"/>
      <c r="GEW11" s="394"/>
      <c r="GEX11" s="394"/>
      <c r="GEY11" s="394"/>
      <c r="GEZ11" s="395"/>
      <c r="GFA11" s="394"/>
      <c r="GFB11" s="394"/>
      <c r="GFC11" s="394"/>
      <c r="GFD11" s="394"/>
      <c r="GFE11" s="394"/>
      <c r="GFF11" s="394"/>
      <c r="GFG11" s="394"/>
      <c r="GFH11" s="395"/>
      <c r="GFI11" s="394"/>
      <c r="GFJ11" s="394"/>
      <c r="GFK11" s="394"/>
      <c r="GFL11" s="394"/>
      <c r="GFM11" s="394"/>
      <c r="GFN11" s="394"/>
      <c r="GFO11" s="394"/>
      <c r="GFP11" s="395"/>
      <c r="GFQ11" s="394"/>
      <c r="GFR11" s="394"/>
      <c r="GFS11" s="394"/>
      <c r="GFT11" s="394"/>
      <c r="GFU11" s="394"/>
      <c r="GFV11" s="394"/>
      <c r="GFW11" s="394"/>
      <c r="GFX11" s="395"/>
      <c r="GFY11" s="394"/>
      <c r="GFZ11" s="394"/>
      <c r="GGA11" s="394"/>
      <c r="GGB11" s="394"/>
      <c r="GGC11" s="394"/>
      <c r="GGD11" s="394"/>
      <c r="GGE11" s="394"/>
      <c r="GGF11" s="395"/>
      <c r="GGG11" s="394"/>
      <c r="GGH11" s="394"/>
      <c r="GGI11" s="394"/>
      <c r="GGJ11" s="394"/>
      <c r="GGK11" s="394"/>
      <c r="GGL11" s="394"/>
      <c r="GGM11" s="394"/>
      <c r="GGN11" s="395"/>
      <c r="GGO11" s="394"/>
      <c r="GGP11" s="394"/>
      <c r="GGQ11" s="394"/>
      <c r="GGR11" s="394"/>
      <c r="GGS11" s="394"/>
      <c r="GGT11" s="394"/>
      <c r="GGU11" s="394"/>
      <c r="GGV11" s="395"/>
      <c r="GGW11" s="394"/>
      <c r="GGX11" s="394"/>
      <c r="GGY11" s="394"/>
      <c r="GGZ11" s="394"/>
      <c r="GHA11" s="394"/>
      <c r="GHB11" s="394"/>
      <c r="GHC11" s="394"/>
      <c r="GHD11" s="395"/>
      <c r="GHE11" s="394"/>
      <c r="GHF11" s="394"/>
      <c r="GHG11" s="394"/>
      <c r="GHH11" s="394"/>
      <c r="GHI11" s="394"/>
      <c r="GHJ11" s="394"/>
      <c r="GHK11" s="394"/>
      <c r="GHL11" s="395"/>
      <c r="GHM11" s="394"/>
      <c r="GHN11" s="394"/>
      <c r="GHO11" s="394"/>
      <c r="GHP11" s="394"/>
      <c r="GHQ11" s="394"/>
      <c r="GHR11" s="394"/>
      <c r="GHS11" s="394"/>
      <c r="GHT11" s="395"/>
      <c r="GHU11" s="394"/>
      <c r="GHV11" s="394"/>
      <c r="GHW11" s="394"/>
      <c r="GHX11" s="394"/>
      <c r="GHY11" s="394"/>
      <c r="GHZ11" s="394"/>
      <c r="GIA11" s="394"/>
      <c r="GIB11" s="395"/>
      <c r="GIC11" s="394"/>
      <c r="GID11" s="394"/>
      <c r="GIE11" s="394"/>
      <c r="GIF11" s="394"/>
      <c r="GIG11" s="394"/>
      <c r="GIH11" s="394"/>
      <c r="GII11" s="394"/>
      <c r="GIJ11" s="395"/>
      <c r="GIK11" s="394"/>
      <c r="GIL11" s="394"/>
      <c r="GIM11" s="394"/>
      <c r="GIN11" s="394"/>
      <c r="GIO11" s="394"/>
      <c r="GIP11" s="394"/>
      <c r="GIQ11" s="394"/>
      <c r="GIR11" s="395"/>
      <c r="GIS11" s="394"/>
      <c r="GIT11" s="394"/>
      <c r="GIU11" s="394"/>
      <c r="GIV11" s="394"/>
      <c r="GIW11" s="394"/>
      <c r="GIX11" s="394"/>
      <c r="GIY11" s="394"/>
      <c r="GIZ11" s="395"/>
      <c r="GJA11" s="394"/>
      <c r="GJB11" s="394"/>
      <c r="GJC11" s="394"/>
      <c r="GJD11" s="394"/>
      <c r="GJE11" s="394"/>
      <c r="GJF11" s="394"/>
      <c r="GJG11" s="394"/>
      <c r="GJH11" s="395"/>
      <c r="GJI11" s="394"/>
      <c r="GJJ11" s="394"/>
      <c r="GJK11" s="394"/>
      <c r="GJL11" s="394"/>
      <c r="GJM11" s="394"/>
      <c r="GJN11" s="394"/>
      <c r="GJO11" s="394"/>
      <c r="GJP11" s="395"/>
      <c r="GJQ11" s="394"/>
      <c r="GJR11" s="394"/>
      <c r="GJS11" s="394"/>
      <c r="GJT11" s="394"/>
      <c r="GJU11" s="394"/>
      <c r="GJV11" s="394"/>
      <c r="GJW11" s="394"/>
      <c r="GJX11" s="395"/>
      <c r="GJY11" s="394"/>
      <c r="GJZ11" s="394"/>
      <c r="GKA11" s="394"/>
      <c r="GKB11" s="394"/>
      <c r="GKC11" s="394"/>
      <c r="GKD11" s="394"/>
      <c r="GKE11" s="394"/>
      <c r="GKF11" s="395"/>
      <c r="GKG11" s="394"/>
      <c r="GKH11" s="394"/>
      <c r="GKI11" s="394"/>
      <c r="GKJ11" s="394"/>
      <c r="GKK11" s="394"/>
      <c r="GKL11" s="394"/>
      <c r="GKM11" s="394"/>
      <c r="GKN11" s="395"/>
      <c r="GKO11" s="394"/>
      <c r="GKP11" s="394"/>
      <c r="GKQ11" s="394"/>
      <c r="GKR11" s="394"/>
      <c r="GKS11" s="394"/>
      <c r="GKT11" s="394"/>
      <c r="GKU11" s="394"/>
      <c r="GKV11" s="395"/>
      <c r="GKW11" s="394"/>
      <c r="GKX11" s="394"/>
      <c r="GKY11" s="394"/>
      <c r="GKZ11" s="394"/>
      <c r="GLA11" s="394"/>
      <c r="GLB11" s="394"/>
      <c r="GLC11" s="394"/>
      <c r="GLD11" s="395"/>
      <c r="GLE11" s="394"/>
      <c r="GLF11" s="394"/>
      <c r="GLG11" s="394"/>
      <c r="GLH11" s="394"/>
      <c r="GLI11" s="394"/>
      <c r="GLJ11" s="394"/>
      <c r="GLK11" s="394"/>
      <c r="GLL11" s="395"/>
      <c r="GLM11" s="394"/>
      <c r="GLN11" s="394"/>
      <c r="GLO11" s="394"/>
      <c r="GLP11" s="394"/>
      <c r="GLQ11" s="394"/>
      <c r="GLR11" s="394"/>
      <c r="GLS11" s="394"/>
      <c r="GLT11" s="395"/>
      <c r="GLU11" s="394"/>
      <c r="GLV11" s="394"/>
      <c r="GLW11" s="394"/>
      <c r="GLX11" s="394"/>
      <c r="GLY11" s="394"/>
      <c r="GLZ11" s="394"/>
      <c r="GMA11" s="394"/>
      <c r="GMB11" s="395"/>
      <c r="GMC11" s="394"/>
      <c r="GMD11" s="394"/>
      <c r="GME11" s="394"/>
      <c r="GMF11" s="394"/>
      <c r="GMG11" s="394"/>
      <c r="GMH11" s="394"/>
      <c r="GMI11" s="394"/>
      <c r="GMJ11" s="395"/>
      <c r="GMK11" s="394"/>
      <c r="GML11" s="394"/>
      <c r="GMM11" s="394"/>
      <c r="GMN11" s="394"/>
      <c r="GMO11" s="394"/>
      <c r="GMP11" s="394"/>
      <c r="GMQ11" s="394"/>
      <c r="GMR11" s="395"/>
      <c r="GMS11" s="394"/>
      <c r="GMT11" s="394"/>
      <c r="GMU11" s="394"/>
      <c r="GMV11" s="394"/>
      <c r="GMW11" s="394"/>
      <c r="GMX11" s="394"/>
      <c r="GMY11" s="394"/>
      <c r="GMZ11" s="395"/>
      <c r="GNA11" s="394"/>
      <c r="GNB11" s="394"/>
      <c r="GNC11" s="394"/>
      <c r="GND11" s="394"/>
      <c r="GNE11" s="394"/>
      <c r="GNF11" s="394"/>
      <c r="GNG11" s="394"/>
      <c r="GNH11" s="395"/>
      <c r="GNI11" s="394"/>
      <c r="GNJ11" s="394"/>
      <c r="GNK11" s="394"/>
      <c r="GNL11" s="394"/>
      <c r="GNM11" s="394"/>
      <c r="GNN11" s="394"/>
      <c r="GNO11" s="394"/>
      <c r="GNP11" s="395"/>
      <c r="GNQ11" s="394"/>
      <c r="GNR11" s="394"/>
      <c r="GNS11" s="394"/>
      <c r="GNT11" s="394"/>
      <c r="GNU11" s="394"/>
      <c r="GNV11" s="394"/>
      <c r="GNW11" s="394"/>
      <c r="GNX11" s="395"/>
      <c r="GNY11" s="394"/>
      <c r="GNZ11" s="394"/>
      <c r="GOA11" s="394"/>
      <c r="GOB11" s="394"/>
      <c r="GOC11" s="394"/>
      <c r="GOD11" s="394"/>
      <c r="GOE11" s="394"/>
      <c r="GOF11" s="395"/>
      <c r="GOG11" s="394"/>
      <c r="GOH11" s="394"/>
      <c r="GOI11" s="394"/>
      <c r="GOJ11" s="394"/>
      <c r="GOK11" s="394"/>
      <c r="GOL11" s="394"/>
      <c r="GOM11" s="394"/>
      <c r="GON11" s="395"/>
      <c r="GOO11" s="394"/>
      <c r="GOP11" s="394"/>
      <c r="GOQ11" s="394"/>
      <c r="GOR11" s="394"/>
      <c r="GOS11" s="394"/>
      <c r="GOT11" s="394"/>
      <c r="GOU11" s="394"/>
      <c r="GOV11" s="395"/>
      <c r="GOW11" s="394"/>
      <c r="GOX11" s="394"/>
      <c r="GOY11" s="394"/>
      <c r="GOZ11" s="394"/>
      <c r="GPA11" s="394"/>
      <c r="GPB11" s="394"/>
      <c r="GPC11" s="394"/>
      <c r="GPD11" s="395"/>
      <c r="GPE11" s="394"/>
      <c r="GPF11" s="394"/>
      <c r="GPG11" s="394"/>
      <c r="GPH11" s="394"/>
      <c r="GPI11" s="394"/>
      <c r="GPJ11" s="394"/>
      <c r="GPK11" s="394"/>
      <c r="GPL11" s="395"/>
      <c r="GPM11" s="394"/>
      <c r="GPN11" s="394"/>
      <c r="GPO11" s="394"/>
      <c r="GPP11" s="394"/>
      <c r="GPQ11" s="394"/>
      <c r="GPR11" s="394"/>
      <c r="GPS11" s="394"/>
      <c r="GPT11" s="395"/>
      <c r="GPU11" s="394"/>
      <c r="GPV11" s="394"/>
      <c r="GPW11" s="394"/>
      <c r="GPX11" s="394"/>
      <c r="GPY11" s="394"/>
      <c r="GPZ11" s="394"/>
      <c r="GQA11" s="394"/>
      <c r="GQB11" s="395"/>
      <c r="GQC11" s="394"/>
      <c r="GQD11" s="394"/>
      <c r="GQE11" s="394"/>
      <c r="GQF11" s="394"/>
      <c r="GQG11" s="394"/>
      <c r="GQH11" s="394"/>
      <c r="GQI11" s="394"/>
      <c r="GQJ11" s="395"/>
      <c r="GQK11" s="394"/>
      <c r="GQL11" s="394"/>
      <c r="GQM11" s="394"/>
      <c r="GQN11" s="394"/>
      <c r="GQO11" s="394"/>
      <c r="GQP11" s="394"/>
      <c r="GQQ11" s="394"/>
      <c r="GQR11" s="395"/>
      <c r="GQS11" s="394"/>
      <c r="GQT11" s="394"/>
      <c r="GQU11" s="394"/>
      <c r="GQV11" s="394"/>
      <c r="GQW11" s="394"/>
      <c r="GQX11" s="394"/>
      <c r="GQY11" s="394"/>
      <c r="GQZ11" s="395"/>
      <c r="GRA11" s="394"/>
      <c r="GRB11" s="394"/>
      <c r="GRC11" s="394"/>
      <c r="GRD11" s="394"/>
      <c r="GRE11" s="394"/>
      <c r="GRF11" s="394"/>
      <c r="GRG11" s="394"/>
      <c r="GRH11" s="395"/>
      <c r="GRI11" s="394"/>
      <c r="GRJ11" s="394"/>
      <c r="GRK11" s="394"/>
      <c r="GRL11" s="394"/>
      <c r="GRM11" s="394"/>
      <c r="GRN11" s="394"/>
      <c r="GRO11" s="394"/>
      <c r="GRP11" s="395"/>
      <c r="GRQ11" s="394"/>
      <c r="GRR11" s="394"/>
      <c r="GRS11" s="394"/>
      <c r="GRT11" s="394"/>
      <c r="GRU11" s="394"/>
      <c r="GRV11" s="394"/>
      <c r="GRW11" s="394"/>
      <c r="GRX11" s="395"/>
      <c r="GRY11" s="394"/>
      <c r="GRZ11" s="394"/>
      <c r="GSA11" s="394"/>
      <c r="GSB11" s="394"/>
      <c r="GSC11" s="394"/>
      <c r="GSD11" s="394"/>
      <c r="GSE11" s="394"/>
      <c r="GSF11" s="395"/>
      <c r="GSG11" s="394"/>
      <c r="GSH11" s="394"/>
      <c r="GSI11" s="394"/>
      <c r="GSJ11" s="394"/>
      <c r="GSK11" s="394"/>
      <c r="GSL11" s="394"/>
      <c r="GSM11" s="394"/>
      <c r="GSN11" s="395"/>
      <c r="GSO11" s="394"/>
      <c r="GSP11" s="394"/>
      <c r="GSQ11" s="394"/>
      <c r="GSR11" s="394"/>
      <c r="GSS11" s="394"/>
      <c r="GST11" s="394"/>
      <c r="GSU11" s="394"/>
      <c r="GSV11" s="395"/>
      <c r="GSW11" s="394"/>
      <c r="GSX11" s="394"/>
      <c r="GSY11" s="394"/>
      <c r="GSZ11" s="394"/>
      <c r="GTA11" s="394"/>
      <c r="GTB11" s="394"/>
      <c r="GTC11" s="394"/>
      <c r="GTD11" s="395"/>
      <c r="GTE11" s="394"/>
      <c r="GTF11" s="394"/>
      <c r="GTG11" s="394"/>
      <c r="GTH11" s="394"/>
      <c r="GTI11" s="394"/>
      <c r="GTJ11" s="394"/>
      <c r="GTK11" s="394"/>
      <c r="GTL11" s="395"/>
      <c r="GTM11" s="394"/>
      <c r="GTN11" s="394"/>
      <c r="GTO11" s="394"/>
      <c r="GTP11" s="394"/>
      <c r="GTQ11" s="394"/>
      <c r="GTR11" s="394"/>
      <c r="GTS11" s="394"/>
      <c r="GTT11" s="395"/>
      <c r="GTU11" s="394"/>
      <c r="GTV11" s="394"/>
      <c r="GTW11" s="394"/>
      <c r="GTX11" s="394"/>
      <c r="GTY11" s="394"/>
      <c r="GTZ11" s="394"/>
      <c r="GUA11" s="394"/>
      <c r="GUB11" s="395"/>
      <c r="GUC11" s="394"/>
      <c r="GUD11" s="394"/>
      <c r="GUE11" s="394"/>
      <c r="GUF11" s="394"/>
      <c r="GUG11" s="394"/>
      <c r="GUH11" s="394"/>
      <c r="GUI11" s="394"/>
      <c r="GUJ11" s="395"/>
      <c r="GUK11" s="394"/>
      <c r="GUL11" s="394"/>
      <c r="GUM11" s="394"/>
      <c r="GUN11" s="394"/>
      <c r="GUO11" s="394"/>
      <c r="GUP11" s="394"/>
      <c r="GUQ11" s="394"/>
      <c r="GUR11" s="395"/>
      <c r="GUS11" s="394"/>
      <c r="GUT11" s="394"/>
      <c r="GUU11" s="394"/>
      <c r="GUV11" s="394"/>
      <c r="GUW11" s="394"/>
      <c r="GUX11" s="394"/>
      <c r="GUY11" s="394"/>
      <c r="GUZ11" s="395"/>
      <c r="GVA11" s="394"/>
      <c r="GVB11" s="394"/>
      <c r="GVC11" s="394"/>
      <c r="GVD11" s="394"/>
      <c r="GVE11" s="394"/>
      <c r="GVF11" s="394"/>
      <c r="GVG11" s="394"/>
      <c r="GVH11" s="395"/>
      <c r="GVI11" s="394"/>
      <c r="GVJ11" s="394"/>
      <c r="GVK11" s="394"/>
      <c r="GVL11" s="394"/>
      <c r="GVM11" s="394"/>
      <c r="GVN11" s="394"/>
      <c r="GVO11" s="394"/>
      <c r="GVP11" s="395"/>
      <c r="GVQ11" s="394"/>
      <c r="GVR11" s="394"/>
      <c r="GVS11" s="394"/>
      <c r="GVT11" s="394"/>
      <c r="GVU11" s="394"/>
      <c r="GVV11" s="394"/>
      <c r="GVW11" s="394"/>
      <c r="GVX11" s="395"/>
      <c r="GVY11" s="394"/>
      <c r="GVZ11" s="394"/>
      <c r="GWA11" s="394"/>
      <c r="GWB11" s="394"/>
      <c r="GWC11" s="394"/>
      <c r="GWD11" s="394"/>
      <c r="GWE11" s="394"/>
      <c r="GWF11" s="395"/>
      <c r="GWG11" s="394"/>
      <c r="GWH11" s="394"/>
      <c r="GWI11" s="394"/>
      <c r="GWJ11" s="394"/>
      <c r="GWK11" s="394"/>
      <c r="GWL11" s="394"/>
      <c r="GWM11" s="394"/>
      <c r="GWN11" s="395"/>
      <c r="GWO11" s="394"/>
      <c r="GWP11" s="394"/>
      <c r="GWQ11" s="394"/>
      <c r="GWR11" s="394"/>
      <c r="GWS11" s="394"/>
      <c r="GWT11" s="394"/>
      <c r="GWU11" s="394"/>
      <c r="GWV11" s="395"/>
      <c r="GWW11" s="394"/>
      <c r="GWX11" s="394"/>
      <c r="GWY11" s="394"/>
      <c r="GWZ11" s="394"/>
      <c r="GXA11" s="394"/>
      <c r="GXB11" s="394"/>
      <c r="GXC11" s="394"/>
      <c r="GXD11" s="395"/>
      <c r="GXE11" s="394"/>
      <c r="GXF11" s="394"/>
      <c r="GXG11" s="394"/>
      <c r="GXH11" s="394"/>
      <c r="GXI11" s="394"/>
      <c r="GXJ11" s="394"/>
      <c r="GXK11" s="394"/>
      <c r="GXL11" s="395"/>
      <c r="GXM11" s="394"/>
      <c r="GXN11" s="394"/>
      <c r="GXO11" s="394"/>
      <c r="GXP11" s="394"/>
      <c r="GXQ11" s="394"/>
      <c r="GXR11" s="394"/>
      <c r="GXS11" s="394"/>
      <c r="GXT11" s="395"/>
      <c r="GXU11" s="394"/>
      <c r="GXV11" s="394"/>
      <c r="GXW11" s="394"/>
      <c r="GXX11" s="394"/>
      <c r="GXY11" s="394"/>
      <c r="GXZ11" s="394"/>
      <c r="GYA11" s="394"/>
      <c r="GYB11" s="395"/>
      <c r="GYC11" s="394"/>
      <c r="GYD11" s="394"/>
      <c r="GYE11" s="394"/>
      <c r="GYF11" s="394"/>
      <c r="GYG11" s="394"/>
      <c r="GYH11" s="394"/>
      <c r="GYI11" s="394"/>
      <c r="GYJ11" s="395"/>
      <c r="GYK11" s="394"/>
      <c r="GYL11" s="394"/>
      <c r="GYM11" s="394"/>
      <c r="GYN11" s="394"/>
      <c r="GYO11" s="394"/>
      <c r="GYP11" s="394"/>
      <c r="GYQ11" s="394"/>
      <c r="GYR11" s="395"/>
      <c r="GYS11" s="394"/>
      <c r="GYT11" s="394"/>
      <c r="GYU11" s="394"/>
      <c r="GYV11" s="394"/>
      <c r="GYW11" s="394"/>
      <c r="GYX11" s="394"/>
      <c r="GYY11" s="394"/>
      <c r="GYZ11" s="395"/>
      <c r="GZA11" s="394"/>
      <c r="GZB11" s="394"/>
      <c r="GZC11" s="394"/>
      <c r="GZD11" s="394"/>
      <c r="GZE11" s="394"/>
      <c r="GZF11" s="394"/>
      <c r="GZG11" s="394"/>
      <c r="GZH11" s="395"/>
      <c r="GZI11" s="394"/>
      <c r="GZJ11" s="394"/>
      <c r="GZK11" s="394"/>
      <c r="GZL11" s="394"/>
      <c r="GZM11" s="394"/>
      <c r="GZN11" s="394"/>
      <c r="GZO11" s="394"/>
      <c r="GZP11" s="395"/>
      <c r="GZQ11" s="394"/>
      <c r="GZR11" s="394"/>
      <c r="GZS11" s="394"/>
      <c r="GZT11" s="394"/>
      <c r="GZU11" s="394"/>
      <c r="GZV11" s="394"/>
      <c r="GZW11" s="394"/>
      <c r="GZX11" s="395"/>
      <c r="GZY11" s="394"/>
      <c r="GZZ11" s="394"/>
      <c r="HAA11" s="394"/>
      <c r="HAB11" s="394"/>
      <c r="HAC11" s="394"/>
      <c r="HAD11" s="394"/>
      <c r="HAE11" s="394"/>
      <c r="HAF11" s="395"/>
      <c r="HAG11" s="394"/>
      <c r="HAH11" s="394"/>
      <c r="HAI11" s="394"/>
      <c r="HAJ11" s="394"/>
      <c r="HAK11" s="394"/>
      <c r="HAL11" s="394"/>
      <c r="HAM11" s="394"/>
      <c r="HAN11" s="395"/>
      <c r="HAO11" s="394"/>
      <c r="HAP11" s="394"/>
      <c r="HAQ11" s="394"/>
      <c r="HAR11" s="394"/>
      <c r="HAS11" s="394"/>
      <c r="HAT11" s="394"/>
      <c r="HAU11" s="394"/>
      <c r="HAV11" s="395"/>
      <c r="HAW11" s="394"/>
      <c r="HAX11" s="394"/>
      <c r="HAY11" s="394"/>
      <c r="HAZ11" s="394"/>
      <c r="HBA11" s="394"/>
      <c r="HBB11" s="394"/>
      <c r="HBC11" s="394"/>
      <c r="HBD11" s="395"/>
      <c r="HBE11" s="394"/>
      <c r="HBF11" s="394"/>
      <c r="HBG11" s="394"/>
      <c r="HBH11" s="394"/>
      <c r="HBI11" s="394"/>
      <c r="HBJ11" s="394"/>
      <c r="HBK11" s="394"/>
      <c r="HBL11" s="395"/>
      <c r="HBM11" s="394"/>
      <c r="HBN11" s="394"/>
      <c r="HBO11" s="394"/>
      <c r="HBP11" s="394"/>
      <c r="HBQ11" s="394"/>
      <c r="HBR11" s="394"/>
      <c r="HBS11" s="394"/>
      <c r="HBT11" s="395"/>
      <c r="HBU11" s="394"/>
      <c r="HBV11" s="394"/>
      <c r="HBW11" s="394"/>
      <c r="HBX11" s="394"/>
      <c r="HBY11" s="394"/>
      <c r="HBZ11" s="394"/>
      <c r="HCA11" s="394"/>
      <c r="HCB11" s="395"/>
      <c r="HCC11" s="394"/>
      <c r="HCD11" s="394"/>
      <c r="HCE11" s="394"/>
      <c r="HCF11" s="394"/>
      <c r="HCG11" s="394"/>
      <c r="HCH11" s="394"/>
      <c r="HCI11" s="394"/>
      <c r="HCJ11" s="395"/>
      <c r="HCK11" s="394"/>
      <c r="HCL11" s="394"/>
      <c r="HCM11" s="394"/>
      <c r="HCN11" s="394"/>
      <c r="HCO11" s="394"/>
      <c r="HCP11" s="394"/>
      <c r="HCQ11" s="394"/>
      <c r="HCR11" s="395"/>
      <c r="HCS11" s="394"/>
      <c r="HCT11" s="394"/>
      <c r="HCU11" s="394"/>
      <c r="HCV11" s="394"/>
      <c r="HCW11" s="394"/>
      <c r="HCX11" s="394"/>
      <c r="HCY11" s="394"/>
      <c r="HCZ11" s="395"/>
      <c r="HDA11" s="394"/>
      <c r="HDB11" s="394"/>
      <c r="HDC11" s="394"/>
      <c r="HDD11" s="394"/>
      <c r="HDE11" s="394"/>
      <c r="HDF11" s="394"/>
      <c r="HDG11" s="394"/>
      <c r="HDH11" s="395"/>
      <c r="HDI11" s="394"/>
      <c r="HDJ11" s="394"/>
      <c r="HDK11" s="394"/>
      <c r="HDL11" s="394"/>
      <c r="HDM11" s="394"/>
      <c r="HDN11" s="394"/>
      <c r="HDO11" s="394"/>
      <c r="HDP11" s="395"/>
      <c r="HDQ11" s="394"/>
      <c r="HDR11" s="394"/>
      <c r="HDS11" s="394"/>
      <c r="HDT11" s="394"/>
      <c r="HDU11" s="394"/>
      <c r="HDV11" s="394"/>
      <c r="HDW11" s="394"/>
      <c r="HDX11" s="395"/>
      <c r="HDY11" s="394"/>
      <c r="HDZ11" s="394"/>
      <c r="HEA11" s="394"/>
      <c r="HEB11" s="394"/>
      <c r="HEC11" s="394"/>
      <c r="HED11" s="394"/>
      <c r="HEE11" s="394"/>
      <c r="HEF11" s="395"/>
      <c r="HEG11" s="394"/>
      <c r="HEH11" s="394"/>
      <c r="HEI11" s="394"/>
      <c r="HEJ11" s="394"/>
      <c r="HEK11" s="394"/>
      <c r="HEL11" s="394"/>
      <c r="HEM11" s="394"/>
      <c r="HEN11" s="395"/>
      <c r="HEO11" s="394"/>
      <c r="HEP11" s="394"/>
      <c r="HEQ11" s="394"/>
      <c r="HER11" s="394"/>
      <c r="HES11" s="394"/>
      <c r="HET11" s="394"/>
      <c r="HEU11" s="394"/>
      <c r="HEV11" s="395"/>
      <c r="HEW11" s="394"/>
      <c r="HEX11" s="394"/>
      <c r="HEY11" s="394"/>
      <c r="HEZ11" s="394"/>
      <c r="HFA11" s="394"/>
      <c r="HFB11" s="394"/>
      <c r="HFC11" s="394"/>
      <c r="HFD11" s="395"/>
      <c r="HFE11" s="394"/>
      <c r="HFF11" s="394"/>
      <c r="HFG11" s="394"/>
      <c r="HFH11" s="394"/>
      <c r="HFI11" s="394"/>
      <c r="HFJ11" s="394"/>
      <c r="HFK11" s="394"/>
      <c r="HFL11" s="395"/>
      <c r="HFM11" s="394"/>
      <c r="HFN11" s="394"/>
      <c r="HFO11" s="394"/>
      <c r="HFP11" s="394"/>
      <c r="HFQ11" s="394"/>
      <c r="HFR11" s="394"/>
      <c r="HFS11" s="394"/>
      <c r="HFT11" s="395"/>
      <c r="HFU11" s="394"/>
      <c r="HFV11" s="394"/>
      <c r="HFW11" s="394"/>
      <c r="HFX11" s="394"/>
      <c r="HFY11" s="394"/>
      <c r="HFZ11" s="394"/>
      <c r="HGA11" s="394"/>
      <c r="HGB11" s="395"/>
      <c r="HGC11" s="394"/>
      <c r="HGD11" s="394"/>
      <c r="HGE11" s="394"/>
      <c r="HGF11" s="394"/>
      <c r="HGG11" s="394"/>
      <c r="HGH11" s="394"/>
      <c r="HGI11" s="394"/>
      <c r="HGJ11" s="395"/>
      <c r="HGK11" s="394"/>
      <c r="HGL11" s="394"/>
      <c r="HGM11" s="394"/>
      <c r="HGN11" s="394"/>
      <c r="HGO11" s="394"/>
      <c r="HGP11" s="394"/>
      <c r="HGQ11" s="394"/>
      <c r="HGR11" s="395"/>
      <c r="HGS11" s="394"/>
      <c r="HGT11" s="394"/>
      <c r="HGU11" s="394"/>
      <c r="HGV11" s="394"/>
      <c r="HGW11" s="394"/>
      <c r="HGX11" s="394"/>
      <c r="HGY11" s="394"/>
      <c r="HGZ11" s="395"/>
      <c r="HHA11" s="394"/>
      <c r="HHB11" s="394"/>
      <c r="HHC11" s="394"/>
      <c r="HHD11" s="394"/>
      <c r="HHE11" s="394"/>
      <c r="HHF11" s="394"/>
      <c r="HHG11" s="394"/>
      <c r="HHH11" s="395"/>
      <c r="HHI11" s="394"/>
      <c r="HHJ11" s="394"/>
      <c r="HHK11" s="394"/>
      <c r="HHL11" s="394"/>
      <c r="HHM11" s="394"/>
      <c r="HHN11" s="394"/>
      <c r="HHO11" s="394"/>
      <c r="HHP11" s="395"/>
      <c r="HHQ11" s="394"/>
      <c r="HHR11" s="394"/>
      <c r="HHS11" s="394"/>
      <c r="HHT11" s="394"/>
      <c r="HHU11" s="394"/>
      <c r="HHV11" s="394"/>
      <c r="HHW11" s="394"/>
      <c r="HHX11" s="395"/>
      <c r="HHY11" s="394"/>
      <c r="HHZ11" s="394"/>
      <c r="HIA11" s="394"/>
      <c r="HIB11" s="394"/>
      <c r="HIC11" s="394"/>
      <c r="HID11" s="394"/>
      <c r="HIE11" s="394"/>
      <c r="HIF11" s="395"/>
      <c r="HIG11" s="394"/>
      <c r="HIH11" s="394"/>
      <c r="HII11" s="394"/>
      <c r="HIJ11" s="394"/>
      <c r="HIK11" s="394"/>
      <c r="HIL11" s="394"/>
      <c r="HIM11" s="394"/>
      <c r="HIN11" s="395"/>
      <c r="HIO11" s="394"/>
      <c r="HIP11" s="394"/>
      <c r="HIQ11" s="394"/>
      <c r="HIR11" s="394"/>
      <c r="HIS11" s="394"/>
      <c r="HIT11" s="394"/>
      <c r="HIU11" s="394"/>
      <c r="HIV11" s="395"/>
      <c r="HIW11" s="394"/>
      <c r="HIX11" s="394"/>
      <c r="HIY11" s="394"/>
      <c r="HIZ11" s="394"/>
      <c r="HJA11" s="394"/>
      <c r="HJB11" s="394"/>
      <c r="HJC11" s="394"/>
      <c r="HJD11" s="395"/>
      <c r="HJE11" s="394"/>
      <c r="HJF11" s="394"/>
      <c r="HJG11" s="394"/>
      <c r="HJH11" s="394"/>
      <c r="HJI11" s="394"/>
      <c r="HJJ11" s="394"/>
      <c r="HJK11" s="394"/>
      <c r="HJL11" s="395"/>
      <c r="HJM11" s="394"/>
      <c r="HJN11" s="394"/>
      <c r="HJO11" s="394"/>
      <c r="HJP11" s="394"/>
      <c r="HJQ11" s="394"/>
      <c r="HJR11" s="394"/>
      <c r="HJS11" s="394"/>
      <c r="HJT11" s="395"/>
      <c r="HJU11" s="394"/>
      <c r="HJV11" s="394"/>
      <c r="HJW11" s="394"/>
      <c r="HJX11" s="394"/>
      <c r="HJY11" s="394"/>
      <c r="HJZ11" s="394"/>
      <c r="HKA11" s="394"/>
      <c r="HKB11" s="395"/>
      <c r="HKC11" s="394"/>
      <c r="HKD11" s="394"/>
      <c r="HKE11" s="394"/>
      <c r="HKF11" s="394"/>
      <c r="HKG11" s="394"/>
      <c r="HKH11" s="394"/>
      <c r="HKI11" s="394"/>
      <c r="HKJ11" s="395"/>
      <c r="HKK11" s="394"/>
      <c r="HKL11" s="394"/>
      <c r="HKM11" s="394"/>
      <c r="HKN11" s="394"/>
      <c r="HKO11" s="394"/>
      <c r="HKP11" s="394"/>
      <c r="HKQ11" s="394"/>
      <c r="HKR11" s="395"/>
      <c r="HKS11" s="394"/>
      <c r="HKT11" s="394"/>
      <c r="HKU11" s="394"/>
      <c r="HKV11" s="394"/>
      <c r="HKW11" s="394"/>
      <c r="HKX11" s="394"/>
      <c r="HKY11" s="394"/>
      <c r="HKZ11" s="395"/>
      <c r="HLA11" s="394"/>
      <c r="HLB11" s="394"/>
      <c r="HLC11" s="394"/>
      <c r="HLD11" s="394"/>
      <c r="HLE11" s="394"/>
      <c r="HLF11" s="394"/>
      <c r="HLG11" s="394"/>
      <c r="HLH11" s="395"/>
      <c r="HLI11" s="394"/>
      <c r="HLJ11" s="394"/>
      <c r="HLK11" s="394"/>
      <c r="HLL11" s="394"/>
      <c r="HLM11" s="394"/>
      <c r="HLN11" s="394"/>
      <c r="HLO11" s="394"/>
      <c r="HLP11" s="395"/>
      <c r="HLQ11" s="394"/>
      <c r="HLR11" s="394"/>
      <c r="HLS11" s="394"/>
      <c r="HLT11" s="394"/>
      <c r="HLU11" s="394"/>
      <c r="HLV11" s="394"/>
      <c r="HLW11" s="394"/>
      <c r="HLX11" s="395"/>
      <c r="HLY11" s="394"/>
      <c r="HLZ11" s="394"/>
      <c r="HMA11" s="394"/>
      <c r="HMB11" s="394"/>
      <c r="HMC11" s="394"/>
      <c r="HMD11" s="394"/>
      <c r="HME11" s="394"/>
      <c r="HMF11" s="395"/>
      <c r="HMG11" s="394"/>
      <c r="HMH11" s="394"/>
      <c r="HMI11" s="394"/>
      <c r="HMJ11" s="394"/>
      <c r="HMK11" s="394"/>
      <c r="HML11" s="394"/>
      <c r="HMM11" s="394"/>
      <c r="HMN11" s="395"/>
      <c r="HMO11" s="394"/>
      <c r="HMP11" s="394"/>
      <c r="HMQ11" s="394"/>
      <c r="HMR11" s="394"/>
      <c r="HMS11" s="394"/>
      <c r="HMT11" s="394"/>
      <c r="HMU11" s="394"/>
      <c r="HMV11" s="395"/>
      <c r="HMW11" s="394"/>
      <c r="HMX11" s="394"/>
      <c r="HMY11" s="394"/>
      <c r="HMZ11" s="394"/>
      <c r="HNA11" s="394"/>
      <c r="HNB11" s="394"/>
      <c r="HNC11" s="394"/>
      <c r="HND11" s="395"/>
      <c r="HNE11" s="394"/>
      <c r="HNF11" s="394"/>
      <c r="HNG11" s="394"/>
      <c r="HNH11" s="394"/>
      <c r="HNI11" s="394"/>
      <c r="HNJ11" s="394"/>
      <c r="HNK11" s="394"/>
      <c r="HNL11" s="395"/>
      <c r="HNM11" s="394"/>
      <c r="HNN11" s="394"/>
      <c r="HNO11" s="394"/>
      <c r="HNP11" s="394"/>
      <c r="HNQ11" s="394"/>
      <c r="HNR11" s="394"/>
      <c r="HNS11" s="394"/>
      <c r="HNT11" s="395"/>
      <c r="HNU11" s="394"/>
      <c r="HNV11" s="394"/>
      <c r="HNW11" s="394"/>
      <c r="HNX11" s="394"/>
      <c r="HNY11" s="394"/>
      <c r="HNZ11" s="394"/>
      <c r="HOA11" s="394"/>
      <c r="HOB11" s="395"/>
      <c r="HOC11" s="394"/>
      <c r="HOD11" s="394"/>
      <c r="HOE11" s="394"/>
      <c r="HOF11" s="394"/>
      <c r="HOG11" s="394"/>
      <c r="HOH11" s="394"/>
      <c r="HOI11" s="394"/>
      <c r="HOJ11" s="395"/>
      <c r="HOK11" s="394"/>
      <c r="HOL11" s="394"/>
      <c r="HOM11" s="394"/>
      <c r="HON11" s="394"/>
      <c r="HOO11" s="394"/>
      <c r="HOP11" s="394"/>
      <c r="HOQ11" s="394"/>
      <c r="HOR11" s="395"/>
      <c r="HOS11" s="394"/>
      <c r="HOT11" s="394"/>
      <c r="HOU11" s="394"/>
      <c r="HOV11" s="394"/>
      <c r="HOW11" s="394"/>
      <c r="HOX11" s="394"/>
      <c r="HOY11" s="394"/>
      <c r="HOZ11" s="395"/>
      <c r="HPA11" s="394"/>
      <c r="HPB11" s="394"/>
      <c r="HPC11" s="394"/>
      <c r="HPD11" s="394"/>
      <c r="HPE11" s="394"/>
      <c r="HPF11" s="394"/>
      <c r="HPG11" s="394"/>
      <c r="HPH11" s="395"/>
      <c r="HPI11" s="394"/>
      <c r="HPJ11" s="394"/>
      <c r="HPK11" s="394"/>
      <c r="HPL11" s="394"/>
      <c r="HPM11" s="394"/>
      <c r="HPN11" s="394"/>
      <c r="HPO11" s="394"/>
      <c r="HPP11" s="395"/>
      <c r="HPQ11" s="394"/>
      <c r="HPR11" s="394"/>
      <c r="HPS11" s="394"/>
      <c r="HPT11" s="394"/>
      <c r="HPU11" s="394"/>
      <c r="HPV11" s="394"/>
      <c r="HPW11" s="394"/>
      <c r="HPX11" s="395"/>
      <c r="HPY11" s="394"/>
      <c r="HPZ11" s="394"/>
      <c r="HQA11" s="394"/>
      <c r="HQB11" s="394"/>
      <c r="HQC11" s="394"/>
      <c r="HQD11" s="394"/>
      <c r="HQE11" s="394"/>
      <c r="HQF11" s="395"/>
      <c r="HQG11" s="394"/>
      <c r="HQH11" s="394"/>
      <c r="HQI11" s="394"/>
      <c r="HQJ11" s="394"/>
      <c r="HQK11" s="394"/>
      <c r="HQL11" s="394"/>
      <c r="HQM11" s="394"/>
      <c r="HQN11" s="395"/>
      <c r="HQO11" s="394"/>
      <c r="HQP11" s="394"/>
      <c r="HQQ11" s="394"/>
      <c r="HQR11" s="394"/>
      <c r="HQS11" s="394"/>
      <c r="HQT11" s="394"/>
      <c r="HQU11" s="394"/>
      <c r="HQV11" s="395"/>
      <c r="HQW11" s="394"/>
      <c r="HQX11" s="394"/>
      <c r="HQY11" s="394"/>
      <c r="HQZ11" s="394"/>
      <c r="HRA11" s="394"/>
      <c r="HRB11" s="394"/>
      <c r="HRC11" s="394"/>
      <c r="HRD11" s="395"/>
      <c r="HRE11" s="394"/>
      <c r="HRF11" s="394"/>
      <c r="HRG11" s="394"/>
      <c r="HRH11" s="394"/>
      <c r="HRI11" s="394"/>
      <c r="HRJ11" s="394"/>
      <c r="HRK11" s="394"/>
      <c r="HRL11" s="395"/>
      <c r="HRM11" s="394"/>
      <c r="HRN11" s="394"/>
      <c r="HRO11" s="394"/>
      <c r="HRP11" s="394"/>
      <c r="HRQ11" s="394"/>
      <c r="HRR11" s="394"/>
      <c r="HRS11" s="394"/>
      <c r="HRT11" s="395"/>
      <c r="HRU11" s="394"/>
      <c r="HRV11" s="394"/>
      <c r="HRW11" s="394"/>
      <c r="HRX11" s="394"/>
      <c r="HRY11" s="394"/>
      <c r="HRZ11" s="394"/>
      <c r="HSA11" s="394"/>
      <c r="HSB11" s="395"/>
      <c r="HSC11" s="394"/>
      <c r="HSD11" s="394"/>
      <c r="HSE11" s="394"/>
      <c r="HSF11" s="394"/>
      <c r="HSG11" s="394"/>
      <c r="HSH11" s="394"/>
      <c r="HSI11" s="394"/>
      <c r="HSJ11" s="395"/>
      <c r="HSK11" s="394"/>
      <c r="HSL11" s="394"/>
      <c r="HSM11" s="394"/>
      <c r="HSN11" s="394"/>
      <c r="HSO11" s="394"/>
      <c r="HSP11" s="394"/>
      <c r="HSQ11" s="394"/>
      <c r="HSR11" s="395"/>
      <c r="HSS11" s="394"/>
      <c r="HST11" s="394"/>
      <c r="HSU11" s="394"/>
      <c r="HSV11" s="394"/>
      <c r="HSW11" s="394"/>
      <c r="HSX11" s="394"/>
      <c r="HSY11" s="394"/>
      <c r="HSZ11" s="395"/>
      <c r="HTA11" s="394"/>
      <c r="HTB11" s="394"/>
      <c r="HTC11" s="394"/>
      <c r="HTD11" s="394"/>
      <c r="HTE11" s="394"/>
      <c r="HTF11" s="394"/>
      <c r="HTG11" s="394"/>
      <c r="HTH11" s="395"/>
      <c r="HTI11" s="394"/>
      <c r="HTJ11" s="394"/>
      <c r="HTK11" s="394"/>
      <c r="HTL11" s="394"/>
      <c r="HTM11" s="394"/>
      <c r="HTN11" s="394"/>
      <c r="HTO11" s="394"/>
      <c r="HTP11" s="395"/>
      <c r="HTQ11" s="394"/>
      <c r="HTR11" s="394"/>
      <c r="HTS11" s="394"/>
      <c r="HTT11" s="394"/>
      <c r="HTU11" s="394"/>
      <c r="HTV11" s="394"/>
      <c r="HTW11" s="394"/>
      <c r="HTX11" s="395"/>
      <c r="HTY11" s="394"/>
      <c r="HTZ11" s="394"/>
      <c r="HUA11" s="394"/>
      <c r="HUB11" s="394"/>
      <c r="HUC11" s="394"/>
      <c r="HUD11" s="394"/>
      <c r="HUE11" s="394"/>
      <c r="HUF11" s="395"/>
      <c r="HUG11" s="394"/>
      <c r="HUH11" s="394"/>
      <c r="HUI11" s="394"/>
      <c r="HUJ11" s="394"/>
      <c r="HUK11" s="394"/>
      <c r="HUL11" s="394"/>
      <c r="HUM11" s="394"/>
      <c r="HUN11" s="395"/>
      <c r="HUO11" s="394"/>
      <c r="HUP11" s="394"/>
      <c r="HUQ11" s="394"/>
      <c r="HUR11" s="394"/>
      <c r="HUS11" s="394"/>
      <c r="HUT11" s="394"/>
      <c r="HUU11" s="394"/>
      <c r="HUV11" s="395"/>
      <c r="HUW11" s="394"/>
      <c r="HUX11" s="394"/>
      <c r="HUY11" s="394"/>
      <c r="HUZ11" s="394"/>
      <c r="HVA11" s="394"/>
      <c r="HVB11" s="394"/>
      <c r="HVC11" s="394"/>
      <c r="HVD11" s="395"/>
      <c r="HVE11" s="394"/>
      <c r="HVF11" s="394"/>
      <c r="HVG11" s="394"/>
      <c r="HVH11" s="394"/>
      <c r="HVI11" s="394"/>
      <c r="HVJ11" s="394"/>
      <c r="HVK11" s="394"/>
      <c r="HVL11" s="395"/>
      <c r="HVM11" s="394"/>
      <c r="HVN11" s="394"/>
      <c r="HVO11" s="394"/>
      <c r="HVP11" s="394"/>
      <c r="HVQ11" s="394"/>
      <c r="HVR11" s="394"/>
      <c r="HVS11" s="394"/>
      <c r="HVT11" s="395"/>
      <c r="HVU11" s="394"/>
      <c r="HVV11" s="394"/>
      <c r="HVW11" s="394"/>
      <c r="HVX11" s="394"/>
      <c r="HVY11" s="394"/>
      <c r="HVZ11" s="394"/>
      <c r="HWA11" s="394"/>
      <c r="HWB11" s="395"/>
      <c r="HWC11" s="394"/>
      <c r="HWD11" s="394"/>
      <c r="HWE11" s="394"/>
      <c r="HWF11" s="394"/>
      <c r="HWG11" s="394"/>
      <c r="HWH11" s="394"/>
      <c r="HWI11" s="394"/>
      <c r="HWJ11" s="395"/>
      <c r="HWK11" s="394"/>
      <c r="HWL11" s="394"/>
      <c r="HWM11" s="394"/>
      <c r="HWN11" s="394"/>
      <c r="HWO11" s="394"/>
      <c r="HWP11" s="394"/>
      <c r="HWQ11" s="394"/>
      <c r="HWR11" s="395"/>
      <c r="HWS11" s="394"/>
      <c r="HWT11" s="394"/>
      <c r="HWU11" s="394"/>
      <c r="HWV11" s="394"/>
      <c r="HWW11" s="394"/>
      <c r="HWX11" s="394"/>
      <c r="HWY11" s="394"/>
      <c r="HWZ11" s="395"/>
      <c r="HXA11" s="394"/>
      <c r="HXB11" s="394"/>
      <c r="HXC11" s="394"/>
      <c r="HXD11" s="394"/>
      <c r="HXE11" s="394"/>
      <c r="HXF11" s="394"/>
      <c r="HXG11" s="394"/>
      <c r="HXH11" s="395"/>
      <c r="HXI11" s="394"/>
      <c r="HXJ11" s="394"/>
      <c r="HXK11" s="394"/>
      <c r="HXL11" s="394"/>
      <c r="HXM11" s="394"/>
      <c r="HXN11" s="394"/>
      <c r="HXO11" s="394"/>
      <c r="HXP11" s="395"/>
      <c r="HXQ11" s="394"/>
      <c r="HXR11" s="394"/>
      <c r="HXS11" s="394"/>
      <c r="HXT11" s="394"/>
      <c r="HXU11" s="394"/>
      <c r="HXV11" s="394"/>
      <c r="HXW11" s="394"/>
      <c r="HXX11" s="395"/>
      <c r="HXY11" s="394"/>
      <c r="HXZ11" s="394"/>
      <c r="HYA11" s="394"/>
      <c r="HYB11" s="394"/>
      <c r="HYC11" s="394"/>
      <c r="HYD11" s="394"/>
      <c r="HYE11" s="394"/>
      <c r="HYF11" s="395"/>
      <c r="HYG11" s="394"/>
      <c r="HYH11" s="394"/>
      <c r="HYI11" s="394"/>
      <c r="HYJ11" s="394"/>
      <c r="HYK11" s="394"/>
      <c r="HYL11" s="394"/>
      <c r="HYM11" s="394"/>
      <c r="HYN11" s="395"/>
      <c r="HYO11" s="394"/>
      <c r="HYP11" s="394"/>
      <c r="HYQ11" s="394"/>
      <c r="HYR11" s="394"/>
      <c r="HYS11" s="394"/>
      <c r="HYT11" s="394"/>
      <c r="HYU11" s="394"/>
      <c r="HYV11" s="395"/>
      <c r="HYW11" s="394"/>
      <c r="HYX11" s="394"/>
      <c r="HYY11" s="394"/>
      <c r="HYZ11" s="394"/>
      <c r="HZA11" s="394"/>
      <c r="HZB11" s="394"/>
      <c r="HZC11" s="394"/>
      <c r="HZD11" s="395"/>
      <c r="HZE11" s="394"/>
      <c r="HZF11" s="394"/>
      <c r="HZG11" s="394"/>
      <c r="HZH11" s="394"/>
      <c r="HZI11" s="394"/>
      <c r="HZJ11" s="394"/>
      <c r="HZK11" s="394"/>
      <c r="HZL11" s="395"/>
      <c r="HZM11" s="394"/>
      <c r="HZN11" s="394"/>
      <c r="HZO11" s="394"/>
      <c r="HZP11" s="394"/>
      <c r="HZQ11" s="394"/>
      <c r="HZR11" s="394"/>
      <c r="HZS11" s="394"/>
      <c r="HZT11" s="395"/>
      <c r="HZU11" s="394"/>
      <c r="HZV11" s="394"/>
      <c r="HZW11" s="394"/>
      <c r="HZX11" s="394"/>
      <c r="HZY11" s="394"/>
      <c r="HZZ11" s="394"/>
      <c r="IAA11" s="394"/>
      <c r="IAB11" s="395"/>
      <c r="IAC11" s="394"/>
      <c r="IAD11" s="394"/>
      <c r="IAE11" s="394"/>
      <c r="IAF11" s="394"/>
      <c r="IAG11" s="394"/>
      <c r="IAH11" s="394"/>
      <c r="IAI11" s="394"/>
      <c r="IAJ11" s="395"/>
      <c r="IAK11" s="394"/>
      <c r="IAL11" s="394"/>
      <c r="IAM11" s="394"/>
      <c r="IAN11" s="394"/>
      <c r="IAO11" s="394"/>
      <c r="IAP11" s="394"/>
      <c r="IAQ11" s="394"/>
      <c r="IAR11" s="395"/>
      <c r="IAS11" s="394"/>
      <c r="IAT11" s="394"/>
      <c r="IAU11" s="394"/>
      <c r="IAV11" s="394"/>
      <c r="IAW11" s="394"/>
      <c r="IAX11" s="394"/>
      <c r="IAY11" s="394"/>
      <c r="IAZ11" s="395"/>
      <c r="IBA11" s="394"/>
      <c r="IBB11" s="394"/>
      <c r="IBC11" s="394"/>
      <c r="IBD11" s="394"/>
      <c r="IBE11" s="394"/>
      <c r="IBF11" s="394"/>
      <c r="IBG11" s="394"/>
      <c r="IBH11" s="395"/>
      <c r="IBI11" s="394"/>
      <c r="IBJ11" s="394"/>
      <c r="IBK11" s="394"/>
      <c r="IBL11" s="394"/>
      <c r="IBM11" s="394"/>
      <c r="IBN11" s="394"/>
      <c r="IBO11" s="394"/>
      <c r="IBP11" s="395"/>
      <c r="IBQ11" s="394"/>
      <c r="IBR11" s="394"/>
      <c r="IBS11" s="394"/>
      <c r="IBT11" s="394"/>
      <c r="IBU11" s="394"/>
      <c r="IBV11" s="394"/>
      <c r="IBW11" s="394"/>
      <c r="IBX11" s="395"/>
      <c r="IBY11" s="394"/>
      <c r="IBZ11" s="394"/>
      <c r="ICA11" s="394"/>
      <c r="ICB11" s="394"/>
      <c r="ICC11" s="394"/>
      <c r="ICD11" s="394"/>
      <c r="ICE11" s="394"/>
      <c r="ICF11" s="395"/>
      <c r="ICG11" s="394"/>
      <c r="ICH11" s="394"/>
      <c r="ICI11" s="394"/>
      <c r="ICJ11" s="394"/>
      <c r="ICK11" s="394"/>
      <c r="ICL11" s="394"/>
      <c r="ICM11" s="394"/>
      <c r="ICN11" s="395"/>
      <c r="ICO11" s="394"/>
      <c r="ICP11" s="394"/>
      <c r="ICQ11" s="394"/>
      <c r="ICR11" s="394"/>
      <c r="ICS11" s="394"/>
      <c r="ICT11" s="394"/>
      <c r="ICU11" s="394"/>
      <c r="ICV11" s="395"/>
      <c r="ICW11" s="394"/>
      <c r="ICX11" s="394"/>
      <c r="ICY11" s="394"/>
      <c r="ICZ11" s="394"/>
      <c r="IDA11" s="394"/>
      <c r="IDB11" s="394"/>
      <c r="IDC11" s="394"/>
      <c r="IDD11" s="395"/>
      <c r="IDE11" s="394"/>
      <c r="IDF11" s="394"/>
      <c r="IDG11" s="394"/>
      <c r="IDH11" s="394"/>
      <c r="IDI11" s="394"/>
      <c r="IDJ11" s="394"/>
      <c r="IDK11" s="394"/>
      <c r="IDL11" s="395"/>
      <c r="IDM11" s="394"/>
      <c r="IDN11" s="394"/>
      <c r="IDO11" s="394"/>
      <c r="IDP11" s="394"/>
      <c r="IDQ11" s="394"/>
      <c r="IDR11" s="394"/>
      <c r="IDS11" s="394"/>
      <c r="IDT11" s="395"/>
      <c r="IDU11" s="394"/>
      <c r="IDV11" s="394"/>
      <c r="IDW11" s="394"/>
      <c r="IDX11" s="394"/>
      <c r="IDY11" s="394"/>
      <c r="IDZ11" s="394"/>
      <c r="IEA11" s="394"/>
      <c r="IEB11" s="395"/>
      <c r="IEC11" s="394"/>
      <c r="IED11" s="394"/>
      <c r="IEE11" s="394"/>
      <c r="IEF11" s="394"/>
      <c r="IEG11" s="394"/>
      <c r="IEH11" s="394"/>
      <c r="IEI11" s="394"/>
      <c r="IEJ11" s="395"/>
      <c r="IEK11" s="394"/>
      <c r="IEL11" s="394"/>
      <c r="IEM11" s="394"/>
      <c r="IEN11" s="394"/>
      <c r="IEO11" s="394"/>
      <c r="IEP11" s="394"/>
      <c r="IEQ11" s="394"/>
      <c r="IER11" s="395"/>
      <c r="IES11" s="394"/>
      <c r="IET11" s="394"/>
      <c r="IEU11" s="394"/>
      <c r="IEV11" s="394"/>
      <c r="IEW11" s="394"/>
      <c r="IEX11" s="394"/>
      <c r="IEY11" s="394"/>
      <c r="IEZ11" s="395"/>
      <c r="IFA11" s="394"/>
      <c r="IFB11" s="394"/>
      <c r="IFC11" s="394"/>
      <c r="IFD11" s="394"/>
      <c r="IFE11" s="394"/>
      <c r="IFF11" s="394"/>
      <c r="IFG11" s="394"/>
      <c r="IFH11" s="395"/>
      <c r="IFI11" s="394"/>
      <c r="IFJ11" s="394"/>
      <c r="IFK11" s="394"/>
      <c r="IFL11" s="394"/>
      <c r="IFM11" s="394"/>
      <c r="IFN11" s="394"/>
      <c r="IFO11" s="394"/>
      <c r="IFP11" s="395"/>
      <c r="IFQ11" s="394"/>
      <c r="IFR11" s="394"/>
      <c r="IFS11" s="394"/>
      <c r="IFT11" s="394"/>
      <c r="IFU11" s="394"/>
      <c r="IFV11" s="394"/>
      <c r="IFW11" s="394"/>
      <c r="IFX11" s="395"/>
      <c r="IFY11" s="394"/>
      <c r="IFZ11" s="394"/>
      <c r="IGA11" s="394"/>
      <c r="IGB11" s="394"/>
      <c r="IGC11" s="394"/>
      <c r="IGD11" s="394"/>
      <c r="IGE11" s="394"/>
      <c r="IGF11" s="395"/>
      <c r="IGG11" s="394"/>
      <c r="IGH11" s="394"/>
      <c r="IGI11" s="394"/>
      <c r="IGJ11" s="394"/>
      <c r="IGK11" s="394"/>
      <c r="IGL11" s="394"/>
      <c r="IGM11" s="394"/>
      <c r="IGN11" s="395"/>
      <c r="IGO11" s="394"/>
      <c r="IGP11" s="394"/>
      <c r="IGQ11" s="394"/>
      <c r="IGR11" s="394"/>
      <c r="IGS11" s="394"/>
      <c r="IGT11" s="394"/>
      <c r="IGU11" s="394"/>
      <c r="IGV11" s="395"/>
      <c r="IGW11" s="394"/>
      <c r="IGX11" s="394"/>
      <c r="IGY11" s="394"/>
      <c r="IGZ11" s="394"/>
      <c r="IHA11" s="394"/>
      <c r="IHB11" s="394"/>
      <c r="IHC11" s="394"/>
      <c r="IHD11" s="395"/>
      <c r="IHE11" s="394"/>
      <c r="IHF11" s="394"/>
      <c r="IHG11" s="394"/>
      <c r="IHH11" s="394"/>
      <c r="IHI11" s="394"/>
      <c r="IHJ11" s="394"/>
      <c r="IHK11" s="394"/>
      <c r="IHL11" s="395"/>
      <c r="IHM11" s="394"/>
      <c r="IHN11" s="394"/>
      <c r="IHO11" s="394"/>
      <c r="IHP11" s="394"/>
      <c r="IHQ11" s="394"/>
      <c r="IHR11" s="394"/>
      <c r="IHS11" s="394"/>
      <c r="IHT11" s="395"/>
      <c r="IHU11" s="394"/>
      <c r="IHV11" s="394"/>
      <c r="IHW11" s="394"/>
      <c r="IHX11" s="394"/>
      <c r="IHY11" s="394"/>
      <c r="IHZ11" s="394"/>
      <c r="IIA11" s="394"/>
      <c r="IIB11" s="395"/>
      <c r="IIC11" s="394"/>
      <c r="IID11" s="394"/>
      <c r="IIE11" s="394"/>
      <c r="IIF11" s="394"/>
      <c r="IIG11" s="394"/>
      <c r="IIH11" s="394"/>
      <c r="III11" s="394"/>
      <c r="IIJ11" s="395"/>
      <c r="IIK11" s="394"/>
      <c r="IIL11" s="394"/>
      <c r="IIM11" s="394"/>
      <c r="IIN11" s="394"/>
      <c r="IIO11" s="394"/>
      <c r="IIP11" s="394"/>
      <c r="IIQ11" s="394"/>
      <c r="IIR11" s="395"/>
      <c r="IIS11" s="394"/>
      <c r="IIT11" s="394"/>
      <c r="IIU11" s="394"/>
      <c r="IIV11" s="394"/>
      <c r="IIW11" s="394"/>
      <c r="IIX11" s="394"/>
      <c r="IIY11" s="394"/>
      <c r="IIZ11" s="395"/>
      <c r="IJA11" s="394"/>
      <c r="IJB11" s="394"/>
      <c r="IJC11" s="394"/>
      <c r="IJD11" s="394"/>
      <c r="IJE11" s="394"/>
      <c r="IJF11" s="394"/>
      <c r="IJG11" s="394"/>
      <c r="IJH11" s="395"/>
      <c r="IJI11" s="394"/>
      <c r="IJJ11" s="394"/>
      <c r="IJK11" s="394"/>
      <c r="IJL11" s="394"/>
      <c r="IJM11" s="394"/>
      <c r="IJN11" s="394"/>
      <c r="IJO11" s="394"/>
      <c r="IJP11" s="395"/>
      <c r="IJQ11" s="394"/>
      <c r="IJR11" s="394"/>
      <c r="IJS11" s="394"/>
      <c r="IJT11" s="394"/>
      <c r="IJU11" s="394"/>
      <c r="IJV11" s="394"/>
      <c r="IJW11" s="394"/>
      <c r="IJX11" s="395"/>
      <c r="IJY11" s="394"/>
      <c r="IJZ11" s="394"/>
      <c r="IKA11" s="394"/>
      <c r="IKB11" s="394"/>
      <c r="IKC11" s="394"/>
      <c r="IKD11" s="394"/>
      <c r="IKE11" s="394"/>
      <c r="IKF11" s="395"/>
      <c r="IKG11" s="394"/>
      <c r="IKH11" s="394"/>
      <c r="IKI11" s="394"/>
      <c r="IKJ11" s="394"/>
      <c r="IKK11" s="394"/>
      <c r="IKL11" s="394"/>
      <c r="IKM11" s="394"/>
      <c r="IKN11" s="395"/>
      <c r="IKO11" s="394"/>
      <c r="IKP11" s="394"/>
      <c r="IKQ11" s="394"/>
      <c r="IKR11" s="394"/>
      <c r="IKS11" s="394"/>
      <c r="IKT11" s="394"/>
      <c r="IKU11" s="394"/>
      <c r="IKV11" s="395"/>
      <c r="IKW11" s="394"/>
      <c r="IKX11" s="394"/>
      <c r="IKY11" s="394"/>
      <c r="IKZ11" s="394"/>
      <c r="ILA11" s="394"/>
      <c r="ILB11" s="394"/>
      <c r="ILC11" s="394"/>
      <c r="ILD11" s="395"/>
      <c r="ILE11" s="394"/>
      <c r="ILF11" s="394"/>
      <c r="ILG11" s="394"/>
      <c r="ILH11" s="394"/>
      <c r="ILI11" s="394"/>
      <c r="ILJ11" s="394"/>
      <c r="ILK11" s="394"/>
      <c r="ILL11" s="395"/>
      <c r="ILM11" s="394"/>
      <c r="ILN11" s="394"/>
      <c r="ILO11" s="394"/>
      <c r="ILP11" s="394"/>
      <c r="ILQ11" s="394"/>
      <c r="ILR11" s="394"/>
      <c r="ILS11" s="394"/>
      <c r="ILT11" s="395"/>
      <c r="ILU11" s="394"/>
      <c r="ILV11" s="394"/>
      <c r="ILW11" s="394"/>
      <c r="ILX11" s="394"/>
      <c r="ILY11" s="394"/>
      <c r="ILZ11" s="394"/>
      <c r="IMA11" s="394"/>
      <c r="IMB11" s="395"/>
      <c r="IMC11" s="394"/>
      <c r="IMD11" s="394"/>
      <c r="IME11" s="394"/>
      <c r="IMF11" s="394"/>
      <c r="IMG11" s="394"/>
      <c r="IMH11" s="394"/>
      <c r="IMI11" s="394"/>
      <c r="IMJ11" s="395"/>
      <c r="IMK11" s="394"/>
      <c r="IML11" s="394"/>
      <c r="IMM11" s="394"/>
      <c r="IMN11" s="394"/>
      <c r="IMO11" s="394"/>
      <c r="IMP11" s="394"/>
      <c r="IMQ11" s="394"/>
      <c r="IMR11" s="395"/>
      <c r="IMS11" s="394"/>
      <c r="IMT11" s="394"/>
      <c r="IMU11" s="394"/>
      <c r="IMV11" s="394"/>
      <c r="IMW11" s="394"/>
      <c r="IMX11" s="394"/>
      <c r="IMY11" s="394"/>
      <c r="IMZ11" s="395"/>
      <c r="INA11" s="394"/>
      <c r="INB11" s="394"/>
      <c r="INC11" s="394"/>
      <c r="IND11" s="394"/>
      <c r="INE11" s="394"/>
      <c r="INF11" s="394"/>
      <c r="ING11" s="394"/>
      <c r="INH11" s="395"/>
      <c r="INI11" s="394"/>
      <c r="INJ11" s="394"/>
      <c r="INK11" s="394"/>
      <c r="INL11" s="394"/>
      <c r="INM11" s="394"/>
      <c r="INN11" s="394"/>
      <c r="INO11" s="394"/>
      <c r="INP11" s="395"/>
      <c r="INQ11" s="394"/>
      <c r="INR11" s="394"/>
      <c r="INS11" s="394"/>
      <c r="INT11" s="394"/>
      <c r="INU11" s="394"/>
      <c r="INV11" s="394"/>
      <c r="INW11" s="394"/>
      <c r="INX11" s="395"/>
      <c r="INY11" s="394"/>
      <c r="INZ11" s="394"/>
      <c r="IOA11" s="394"/>
      <c r="IOB11" s="394"/>
      <c r="IOC11" s="394"/>
      <c r="IOD11" s="394"/>
      <c r="IOE11" s="394"/>
      <c r="IOF11" s="395"/>
      <c r="IOG11" s="394"/>
      <c r="IOH11" s="394"/>
      <c r="IOI11" s="394"/>
      <c r="IOJ11" s="394"/>
      <c r="IOK11" s="394"/>
      <c r="IOL11" s="394"/>
      <c r="IOM11" s="394"/>
      <c r="ION11" s="395"/>
      <c r="IOO11" s="394"/>
      <c r="IOP11" s="394"/>
      <c r="IOQ11" s="394"/>
      <c r="IOR11" s="394"/>
      <c r="IOS11" s="394"/>
      <c r="IOT11" s="394"/>
      <c r="IOU11" s="394"/>
      <c r="IOV11" s="395"/>
      <c r="IOW11" s="394"/>
      <c r="IOX11" s="394"/>
      <c r="IOY11" s="394"/>
      <c r="IOZ11" s="394"/>
      <c r="IPA11" s="394"/>
      <c r="IPB11" s="394"/>
      <c r="IPC11" s="394"/>
      <c r="IPD11" s="395"/>
      <c r="IPE11" s="394"/>
      <c r="IPF11" s="394"/>
      <c r="IPG11" s="394"/>
      <c r="IPH11" s="394"/>
      <c r="IPI11" s="394"/>
      <c r="IPJ11" s="394"/>
      <c r="IPK11" s="394"/>
      <c r="IPL11" s="395"/>
      <c r="IPM11" s="394"/>
      <c r="IPN11" s="394"/>
      <c r="IPO11" s="394"/>
      <c r="IPP11" s="394"/>
      <c r="IPQ11" s="394"/>
      <c r="IPR11" s="394"/>
      <c r="IPS11" s="394"/>
      <c r="IPT11" s="395"/>
      <c r="IPU11" s="394"/>
      <c r="IPV11" s="394"/>
      <c r="IPW11" s="394"/>
      <c r="IPX11" s="394"/>
      <c r="IPY11" s="394"/>
      <c r="IPZ11" s="394"/>
      <c r="IQA11" s="394"/>
      <c r="IQB11" s="395"/>
      <c r="IQC11" s="394"/>
      <c r="IQD11" s="394"/>
      <c r="IQE11" s="394"/>
      <c r="IQF11" s="394"/>
      <c r="IQG11" s="394"/>
      <c r="IQH11" s="394"/>
      <c r="IQI11" s="394"/>
      <c r="IQJ11" s="395"/>
      <c r="IQK11" s="394"/>
      <c r="IQL11" s="394"/>
      <c r="IQM11" s="394"/>
      <c r="IQN11" s="394"/>
      <c r="IQO11" s="394"/>
      <c r="IQP11" s="394"/>
      <c r="IQQ11" s="394"/>
      <c r="IQR11" s="395"/>
      <c r="IQS11" s="394"/>
      <c r="IQT11" s="394"/>
      <c r="IQU11" s="394"/>
      <c r="IQV11" s="394"/>
      <c r="IQW11" s="394"/>
      <c r="IQX11" s="394"/>
      <c r="IQY11" s="394"/>
      <c r="IQZ11" s="395"/>
      <c r="IRA11" s="394"/>
      <c r="IRB11" s="394"/>
      <c r="IRC11" s="394"/>
      <c r="IRD11" s="394"/>
      <c r="IRE11" s="394"/>
      <c r="IRF11" s="394"/>
      <c r="IRG11" s="394"/>
      <c r="IRH11" s="395"/>
      <c r="IRI11" s="394"/>
      <c r="IRJ11" s="394"/>
      <c r="IRK11" s="394"/>
      <c r="IRL11" s="394"/>
      <c r="IRM11" s="394"/>
      <c r="IRN11" s="394"/>
      <c r="IRO11" s="394"/>
      <c r="IRP11" s="395"/>
      <c r="IRQ11" s="394"/>
      <c r="IRR11" s="394"/>
      <c r="IRS11" s="394"/>
      <c r="IRT11" s="394"/>
      <c r="IRU11" s="394"/>
      <c r="IRV11" s="394"/>
      <c r="IRW11" s="394"/>
      <c r="IRX11" s="395"/>
      <c r="IRY11" s="394"/>
      <c r="IRZ11" s="394"/>
      <c r="ISA11" s="394"/>
      <c r="ISB11" s="394"/>
      <c r="ISC11" s="394"/>
      <c r="ISD11" s="394"/>
      <c r="ISE11" s="394"/>
      <c r="ISF11" s="395"/>
      <c r="ISG11" s="394"/>
      <c r="ISH11" s="394"/>
      <c r="ISI11" s="394"/>
      <c r="ISJ11" s="394"/>
      <c r="ISK11" s="394"/>
      <c r="ISL11" s="394"/>
      <c r="ISM11" s="394"/>
      <c r="ISN11" s="395"/>
      <c r="ISO11" s="394"/>
      <c r="ISP11" s="394"/>
      <c r="ISQ11" s="394"/>
      <c r="ISR11" s="394"/>
      <c r="ISS11" s="394"/>
      <c r="IST11" s="394"/>
      <c r="ISU11" s="394"/>
      <c r="ISV11" s="395"/>
      <c r="ISW11" s="394"/>
      <c r="ISX11" s="394"/>
      <c r="ISY11" s="394"/>
      <c r="ISZ11" s="394"/>
      <c r="ITA11" s="394"/>
      <c r="ITB11" s="394"/>
      <c r="ITC11" s="394"/>
      <c r="ITD11" s="395"/>
      <c r="ITE11" s="394"/>
      <c r="ITF11" s="394"/>
      <c r="ITG11" s="394"/>
      <c r="ITH11" s="394"/>
      <c r="ITI11" s="394"/>
      <c r="ITJ11" s="394"/>
      <c r="ITK11" s="394"/>
      <c r="ITL11" s="395"/>
      <c r="ITM11" s="394"/>
      <c r="ITN11" s="394"/>
      <c r="ITO11" s="394"/>
      <c r="ITP11" s="394"/>
      <c r="ITQ11" s="394"/>
      <c r="ITR11" s="394"/>
      <c r="ITS11" s="394"/>
      <c r="ITT11" s="395"/>
      <c r="ITU11" s="394"/>
      <c r="ITV11" s="394"/>
      <c r="ITW11" s="394"/>
      <c r="ITX11" s="394"/>
      <c r="ITY11" s="394"/>
      <c r="ITZ11" s="394"/>
      <c r="IUA11" s="394"/>
      <c r="IUB11" s="395"/>
      <c r="IUC11" s="394"/>
      <c r="IUD11" s="394"/>
      <c r="IUE11" s="394"/>
      <c r="IUF11" s="394"/>
      <c r="IUG11" s="394"/>
      <c r="IUH11" s="394"/>
      <c r="IUI11" s="394"/>
      <c r="IUJ11" s="395"/>
      <c r="IUK11" s="394"/>
      <c r="IUL11" s="394"/>
      <c r="IUM11" s="394"/>
      <c r="IUN11" s="394"/>
      <c r="IUO11" s="394"/>
      <c r="IUP11" s="394"/>
      <c r="IUQ11" s="394"/>
      <c r="IUR11" s="395"/>
      <c r="IUS11" s="394"/>
      <c r="IUT11" s="394"/>
      <c r="IUU11" s="394"/>
      <c r="IUV11" s="394"/>
      <c r="IUW11" s="394"/>
      <c r="IUX11" s="394"/>
      <c r="IUY11" s="394"/>
      <c r="IUZ11" s="395"/>
      <c r="IVA11" s="394"/>
      <c r="IVB11" s="394"/>
      <c r="IVC11" s="394"/>
      <c r="IVD11" s="394"/>
      <c r="IVE11" s="394"/>
      <c r="IVF11" s="394"/>
      <c r="IVG11" s="394"/>
      <c r="IVH11" s="395"/>
      <c r="IVI11" s="394"/>
      <c r="IVJ11" s="394"/>
      <c r="IVK11" s="394"/>
      <c r="IVL11" s="394"/>
      <c r="IVM11" s="394"/>
      <c r="IVN11" s="394"/>
      <c r="IVO11" s="394"/>
      <c r="IVP11" s="395"/>
      <c r="IVQ11" s="394"/>
      <c r="IVR11" s="394"/>
      <c r="IVS11" s="394"/>
      <c r="IVT11" s="394"/>
      <c r="IVU11" s="394"/>
      <c r="IVV11" s="394"/>
      <c r="IVW11" s="394"/>
      <c r="IVX11" s="395"/>
      <c r="IVY11" s="394"/>
      <c r="IVZ11" s="394"/>
      <c r="IWA11" s="394"/>
      <c r="IWB11" s="394"/>
      <c r="IWC11" s="394"/>
      <c r="IWD11" s="394"/>
      <c r="IWE11" s="394"/>
      <c r="IWF11" s="395"/>
      <c r="IWG11" s="394"/>
      <c r="IWH11" s="394"/>
      <c r="IWI11" s="394"/>
      <c r="IWJ11" s="394"/>
      <c r="IWK11" s="394"/>
      <c r="IWL11" s="394"/>
      <c r="IWM11" s="394"/>
      <c r="IWN11" s="395"/>
      <c r="IWO11" s="394"/>
      <c r="IWP11" s="394"/>
      <c r="IWQ11" s="394"/>
      <c r="IWR11" s="394"/>
      <c r="IWS11" s="394"/>
      <c r="IWT11" s="394"/>
      <c r="IWU11" s="394"/>
      <c r="IWV11" s="395"/>
      <c r="IWW11" s="394"/>
      <c r="IWX11" s="394"/>
      <c r="IWY11" s="394"/>
      <c r="IWZ11" s="394"/>
      <c r="IXA11" s="394"/>
      <c r="IXB11" s="394"/>
      <c r="IXC11" s="394"/>
      <c r="IXD11" s="395"/>
      <c r="IXE11" s="394"/>
      <c r="IXF11" s="394"/>
      <c r="IXG11" s="394"/>
      <c r="IXH11" s="394"/>
      <c r="IXI11" s="394"/>
      <c r="IXJ11" s="394"/>
      <c r="IXK11" s="394"/>
      <c r="IXL11" s="395"/>
      <c r="IXM11" s="394"/>
      <c r="IXN11" s="394"/>
      <c r="IXO11" s="394"/>
      <c r="IXP11" s="394"/>
      <c r="IXQ11" s="394"/>
      <c r="IXR11" s="394"/>
      <c r="IXS11" s="394"/>
      <c r="IXT11" s="395"/>
      <c r="IXU11" s="394"/>
      <c r="IXV11" s="394"/>
      <c r="IXW11" s="394"/>
      <c r="IXX11" s="394"/>
      <c r="IXY11" s="394"/>
      <c r="IXZ11" s="394"/>
      <c r="IYA11" s="394"/>
      <c r="IYB11" s="395"/>
      <c r="IYC11" s="394"/>
      <c r="IYD11" s="394"/>
      <c r="IYE11" s="394"/>
      <c r="IYF11" s="394"/>
      <c r="IYG11" s="394"/>
      <c r="IYH11" s="394"/>
      <c r="IYI11" s="394"/>
      <c r="IYJ11" s="395"/>
      <c r="IYK11" s="394"/>
      <c r="IYL11" s="394"/>
      <c r="IYM11" s="394"/>
      <c r="IYN11" s="394"/>
      <c r="IYO11" s="394"/>
      <c r="IYP11" s="394"/>
      <c r="IYQ11" s="394"/>
      <c r="IYR11" s="395"/>
      <c r="IYS11" s="394"/>
      <c r="IYT11" s="394"/>
      <c r="IYU11" s="394"/>
      <c r="IYV11" s="394"/>
      <c r="IYW11" s="394"/>
      <c r="IYX11" s="394"/>
      <c r="IYY11" s="394"/>
      <c r="IYZ11" s="395"/>
      <c r="IZA11" s="394"/>
      <c r="IZB11" s="394"/>
      <c r="IZC11" s="394"/>
      <c r="IZD11" s="394"/>
      <c r="IZE11" s="394"/>
      <c r="IZF11" s="394"/>
      <c r="IZG11" s="394"/>
      <c r="IZH11" s="395"/>
      <c r="IZI11" s="394"/>
      <c r="IZJ11" s="394"/>
      <c r="IZK11" s="394"/>
      <c r="IZL11" s="394"/>
      <c r="IZM11" s="394"/>
      <c r="IZN11" s="394"/>
      <c r="IZO11" s="394"/>
      <c r="IZP11" s="395"/>
      <c r="IZQ11" s="394"/>
      <c r="IZR11" s="394"/>
      <c r="IZS11" s="394"/>
      <c r="IZT11" s="394"/>
      <c r="IZU11" s="394"/>
      <c r="IZV11" s="394"/>
      <c r="IZW11" s="394"/>
      <c r="IZX11" s="395"/>
      <c r="IZY11" s="394"/>
      <c r="IZZ11" s="394"/>
      <c r="JAA11" s="394"/>
      <c r="JAB11" s="394"/>
      <c r="JAC11" s="394"/>
      <c r="JAD11" s="394"/>
      <c r="JAE11" s="394"/>
      <c r="JAF11" s="395"/>
      <c r="JAG11" s="394"/>
      <c r="JAH11" s="394"/>
      <c r="JAI11" s="394"/>
      <c r="JAJ11" s="394"/>
      <c r="JAK11" s="394"/>
      <c r="JAL11" s="394"/>
      <c r="JAM11" s="394"/>
      <c r="JAN11" s="395"/>
      <c r="JAO11" s="394"/>
      <c r="JAP11" s="394"/>
      <c r="JAQ11" s="394"/>
      <c r="JAR11" s="394"/>
      <c r="JAS11" s="394"/>
      <c r="JAT11" s="394"/>
      <c r="JAU11" s="394"/>
      <c r="JAV11" s="395"/>
      <c r="JAW11" s="394"/>
      <c r="JAX11" s="394"/>
      <c r="JAY11" s="394"/>
      <c r="JAZ11" s="394"/>
      <c r="JBA11" s="394"/>
      <c r="JBB11" s="394"/>
      <c r="JBC11" s="394"/>
      <c r="JBD11" s="395"/>
      <c r="JBE11" s="394"/>
      <c r="JBF11" s="394"/>
      <c r="JBG11" s="394"/>
      <c r="JBH11" s="394"/>
      <c r="JBI11" s="394"/>
      <c r="JBJ11" s="394"/>
      <c r="JBK11" s="394"/>
      <c r="JBL11" s="395"/>
      <c r="JBM11" s="394"/>
      <c r="JBN11" s="394"/>
      <c r="JBO11" s="394"/>
      <c r="JBP11" s="394"/>
      <c r="JBQ11" s="394"/>
      <c r="JBR11" s="394"/>
      <c r="JBS11" s="394"/>
      <c r="JBT11" s="395"/>
      <c r="JBU11" s="394"/>
      <c r="JBV11" s="394"/>
      <c r="JBW11" s="394"/>
      <c r="JBX11" s="394"/>
      <c r="JBY11" s="394"/>
      <c r="JBZ11" s="394"/>
      <c r="JCA11" s="394"/>
      <c r="JCB11" s="395"/>
      <c r="JCC11" s="394"/>
      <c r="JCD11" s="394"/>
      <c r="JCE11" s="394"/>
      <c r="JCF11" s="394"/>
      <c r="JCG11" s="394"/>
      <c r="JCH11" s="394"/>
      <c r="JCI11" s="394"/>
      <c r="JCJ11" s="395"/>
      <c r="JCK11" s="394"/>
      <c r="JCL11" s="394"/>
      <c r="JCM11" s="394"/>
      <c r="JCN11" s="394"/>
      <c r="JCO11" s="394"/>
      <c r="JCP11" s="394"/>
      <c r="JCQ11" s="394"/>
      <c r="JCR11" s="395"/>
      <c r="JCS11" s="394"/>
      <c r="JCT11" s="394"/>
      <c r="JCU11" s="394"/>
      <c r="JCV11" s="394"/>
      <c r="JCW11" s="394"/>
      <c r="JCX11" s="394"/>
      <c r="JCY11" s="394"/>
      <c r="JCZ11" s="395"/>
      <c r="JDA11" s="394"/>
      <c r="JDB11" s="394"/>
      <c r="JDC11" s="394"/>
      <c r="JDD11" s="394"/>
      <c r="JDE11" s="394"/>
      <c r="JDF11" s="394"/>
      <c r="JDG11" s="394"/>
      <c r="JDH11" s="395"/>
      <c r="JDI11" s="394"/>
      <c r="JDJ11" s="394"/>
      <c r="JDK11" s="394"/>
      <c r="JDL11" s="394"/>
      <c r="JDM11" s="394"/>
      <c r="JDN11" s="394"/>
      <c r="JDO11" s="394"/>
      <c r="JDP11" s="395"/>
      <c r="JDQ11" s="394"/>
      <c r="JDR11" s="394"/>
      <c r="JDS11" s="394"/>
      <c r="JDT11" s="394"/>
      <c r="JDU11" s="394"/>
      <c r="JDV11" s="394"/>
      <c r="JDW11" s="394"/>
      <c r="JDX11" s="395"/>
      <c r="JDY11" s="394"/>
      <c r="JDZ11" s="394"/>
      <c r="JEA11" s="394"/>
      <c r="JEB11" s="394"/>
      <c r="JEC11" s="394"/>
      <c r="JED11" s="394"/>
      <c r="JEE11" s="394"/>
      <c r="JEF11" s="395"/>
      <c r="JEG11" s="394"/>
      <c r="JEH11" s="394"/>
      <c r="JEI11" s="394"/>
      <c r="JEJ11" s="394"/>
      <c r="JEK11" s="394"/>
      <c r="JEL11" s="394"/>
      <c r="JEM11" s="394"/>
      <c r="JEN11" s="395"/>
      <c r="JEO11" s="394"/>
      <c r="JEP11" s="394"/>
      <c r="JEQ11" s="394"/>
      <c r="JER11" s="394"/>
      <c r="JES11" s="394"/>
      <c r="JET11" s="394"/>
      <c r="JEU11" s="394"/>
      <c r="JEV11" s="395"/>
      <c r="JEW11" s="394"/>
      <c r="JEX11" s="394"/>
      <c r="JEY11" s="394"/>
      <c r="JEZ11" s="394"/>
      <c r="JFA11" s="394"/>
      <c r="JFB11" s="394"/>
      <c r="JFC11" s="394"/>
      <c r="JFD11" s="395"/>
      <c r="JFE11" s="394"/>
      <c r="JFF11" s="394"/>
      <c r="JFG11" s="394"/>
      <c r="JFH11" s="394"/>
      <c r="JFI11" s="394"/>
      <c r="JFJ11" s="394"/>
      <c r="JFK11" s="394"/>
      <c r="JFL11" s="395"/>
      <c r="JFM11" s="394"/>
      <c r="JFN11" s="394"/>
      <c r="JFO11" s="394"/>
      <c r="JFP11" s="394"/>
      <c r="JFQ11" s="394"/>
      <c r="JFR11" s="394"/>
      <c r="JFS11" s="394"/>
      <c r="JFT11" s="395"/>
      <c r="JFU11" s="394"/>
      <c r="JFV11" s="394"/>
      <c r="JFW11" s="394"/>
      <c r="JFX11" s="394"/>
      <c r="JFY11" s="394"/>
      <c r="JFZ11" s="394"/>
      <c r="JGA11" s="394"/>
      <c r="JGB11" s="395"/>
      <c r="JGC11" s="394"/>
      <c r="JGD11" s="394"/>
      <c r="JGE11" s="394"/>
      <c r="JGF11" s="394"/>
      <c r="JGG11" s="394"/>
      <c r="JGH11" s="394"/>
      <c r="JGI11" s="394"/>
      <c r="JGJ11" s="395"/>
      <c r="JGK11" s="394"/>
      <c r="JGL11" s="394"/>
      <c r="JGM11" s="394"/>
      <c r="JGN11" s="394"/>
      <c r="JGO11" s="394"/>
      <c r="JGP11" s="394"/>
      <c r="JGQ11" s="394"/>
      <c r="JGR11" s="395"/>
      <c r="JGS11" s="394"/>
      <c r="JGT11" s="394"/>
      <c r="JGU11" s="394"/>
      <c r="JGV11" s="394"/>
      <c r="JGW11" s="394"/>
      <c r="JGX11" s="394"/>
      <c r="JGY11" s="394"/>
      <c r="JGZ11" s="395"/>
      <c r="JHA11" s="394"/>
      <c r="JHB11" s="394"/>
      <c r="JHC11" s="394"/>
      <c r="JHD11" s="394"/>
      <c r="JHE11" s="394"/>
      <c r="JHF11" s="394"/>
      <c r="JHG11" s="394"/>
      <c r="JHH11" s="395"/>
      <c r="JHI11" s="394"/>
      <c r="JHJ11" s="394"/>
      <c r="JHK11" s="394"/>
      <c r="JHL11" s="394"/>
      <c r="JHM11" s="394"/>
      <c r="JHN11" s="394"/>
      <c r="JHO11" s="394"/>
      <c r="JHP11" s="395"/>
      <c r="JHQ11" s="394"/>
      <c r="JHR11" s="394"/>
      <c r="JHS11" s="394"/>
      <c r="JHT11" s="394"/>
      <c r="JHU11" s="394"/>
      <c r="JHV11" s="394"/>
      <c r="JHW11" s="394"/>
      <c r="JHX11" s="395"/>
      <c r="JHY11" s="394"/>
      <c r="JHZ11" s="394"/>
      <c r="JIA11" s="394"/>
      <c r="JIB11" s="394"/>
      <c r="JIC11" s="394"/>
      <c r="JID11" s="394"/>
      <c r="JIE11" s="394"/>
      <c r="JIF11" s="395"/>
      <c r="JIG11" s="394"/>
      <c r="JIH11" s="394"/>
      <c r="JII11" s="394"/>
      <c r="JIJ11" s="394"/>
      <c r="JIK11" s="394"/>
      <c r="JIL11" s="394"/>
      <c r="JIM11" s="394"/>
      <c r="JIN11" s="395"/>
      <c r="JIO11" s="394"/>
      <c r="JIP11" s="394"/>
      <c r="JIQ11" s="394"/>
      <c r="JIR11" s="394"/>
      <c r="JIS11" s="394"/>
      <c r="JIT11" s="394"/>
      <c r="JIU11" s="394"/>
      <c r="JIV11" s="395"/>
      <c r="JIW11" s="394"/>
      <c r="JIX11" s="394"/>
      <c r="JIY11" s="394"/>
      <c r="JIZ11" s="394"/>
      <c r="JJA11" s="394"/>
      <c r="JJB11" s="394"/>
      <c r="JJC11" s="394"/>
      <c r="JJD11" s="395"/>
      <c r="JJE11" s="394"/>
      <c r="JJF11" s="394"/>
      <c r="JJG11" s="394"/>
      <c r="JJH11" s="394"/>
      <c r="JJI11" s="394"/>
      <c r="JJJ11" s="394"/>
      <c r="JJK11" s="394"/>
      <c r="JJL11" s="395"/>
      <c r="JJM11" s="394"/>
      <c r="JJN11" s="394"/>
      <c r="JJO11" s="394"/>
      <c r="JJP11" s="394"/>
      <c r="JJQ11" s="394"/>
      <c r="JJR11" s="394"/>
      <c r="JJS11" s="394"/>
      <c r="JJT11" s="395"/>
      <c r="JJU11" s="394"/>
      <c r="JJV11" s="394"/>
      <c r="JJW11" s="394"/>
      <c r="JJX11" s="394"/>
      <c r="JJY11" s="394"/>
      <c r="JJZ11" s="394"/>
      <c r="JKA11" s="394"/>
      <c r="JKB11" s="395"/>
      <c r="JKC11" s="394"/>
      <c r="JKD11" s="394"/>
      <c r="JKE11" s="394"/>
      <c r="JKF11" s="394"/>
      <c r="JKG11" s="394"/>
      <c r="JKH11" s="394"/>
      <c r="JKI11" s="394"/>
      <c r="JKJ11" s="395"/>
      <c r="JKK11" s="394"/>
      <c r="JKL11" s="394"/>
      <c r="JKM11" s="394"/>
      <c r="JKN11" s="394"/>
      <c r="JKO11" s="394"/>
      <c r="JKP11" s="394"/>
      <c r="JKQ11" s="394"/>
      <c r="JKR11" s="395"/>
      <c r="JKS11" s="394"/>
      <c r="JKT11" s="394"/>
      <c r="JKU11" s="394"/>
      <c r="JKV11" s="394"/>
      <c r="JKW11" s="394"/>
      <c r="JKX11" s="394"/>
      <c r="JKY11" s="394"/>
      <c r="JKZ11" s="395"/>
      <c r="JLA11" s="394"/>
      <c r="JLB11" s="394"/>
      <c r="JLC11" s="394"/>
      <c r="JLD11" s="394"/>
      <c r="JLE11" s="394"/>
      <c r="JLF11" s="394"/>
      <c r="JLG11" s="394"/>
      <c r="JLH11" s="395"/>
      <c r="JLI11" s="394"/>
      <c r="JLJ11" s="394"/>
      <c r="JLK11" s="394"/>
      <c r="JLL11" s="394"/>
      <c r="JLM11" s="394"/>
      <c r="JLN11" s="394"/>
      <c r="JLO11" s="394"/>
      <c r="JLP11" s="395"/>
      <c r="JLQ11" s="394"/>
      <c r="JLR11" s="394"/>
      <c r="JLS11" s="394"/>
      <c r="JLT11" s="394"/>
      <c r="JLU11" s="394"/>
      <c r="JLV11" s="394"/>
      <c r="JLW11" s="394"/>
      <c r="JLX11" s="395"/>
      <c r="JLY11" s="394"/>
      <c r="JLZ11" s="394"/>
      <c r="JMA11" s="394"/>
      <c r="JMB11" s="394"/>
      <c r="JMC11" s="394"/>
      <c r="JMD11" s="394"/>
      <c r="JME11" s="394"/>
      <c r="JMF11" s="395"/>
      <c r="JMG11" s="394"/>
      <c r="JMH11" s="394"/>
      <c r="JMI11" s="394"/>
      <c r="JMJ11" s="394"/>
      <c r="JMK11" s="394"/>
      <c r="JML11" s="394"/>
      <c r="JMM11" s="394"/>
      <c r="JMN11" s="395"/>
      <c r="JMO11" s="394"/>
      <c r="JMP11" s="394"/>
      <c r="JMQ11" s="394"/>
      <c r="JMR11" s="394"/>
      <c r="JMS11" s="394"/>
      <c r="JMT11" s="394"/>
      <c r="JMU11" s="394"/>
      <c r="JMV11" s="395"/>
      <c r="JMW11" s="394"/>
      <c r="JMX11" s="394"/>
      <c r="JMY11" s="394"/>
      <c r="JMZ11" s="394"/>
      <c r="JNA11" s="394"/>
      <c r="JNB11" s="394"/>
      <c r="JNC11" s="394"/>
      <c r="JND11" s="395"/>
      <c r="JNE11" s="394"/>
      <c r="JNF11" s="394"/>
      <c r="JNG11" s="394"/>
      <c r="JNH11" s="394"/>
      <c r="JNI11" s="394"/>
      <c r="JNJ11" s="394"/>
      <c r="JNK11" s="394"/>
      <c r="JNL11" s="395"/>
      <c r="JNM11" s="394"/>
      <c r="JNN11" s="394"/>
      <c r="JNO11" s="394"/>
      <c r="JNP11" s="394"/>
      <c r="JNQ11" s="394"/>
      <c r="JNR11" s="394"/>
      <c r="JNS11" s="394"/>
      <c r="JNT11" s="395"/>
      <c r="JNU11" s="394"/>
      <c r="JNV11" s="394"/>
      <c r="JNW11" s="394"/>
      <c r="JNX11" s="394"/>
      <c r="JNY11" s="394"/>
      <c r="JNZ11" s="394"/>
      <c r="JOA11" s="394"/>
      <c r="JOB11" s="395"/>
      <c r="JOC11" s="394"/>
      <c r="JOD11" s="394"/>
      <c r="JOE11" s="394"/>
      <c r="JOF11" s="394"/>
      <c r="JOG11" s="394"/>
      <c r="JOH11" s="394"/>
      <c r="JOI11" s="394"/>
      <c r="JOJ11" s="395"/>
      <c r="JOK11" s="394"/>
      <c r="JOL11" s="394"/>
      <c r="JOM11" s="394"/>
      <c r="JON11" s="394"/>
      <c r="JOO11" s="394"/>
      <c r="JOP11" s="394"/>
      <c r="JOQ11" s="394"/>
      <c r="JOR11" s="395"/>
      <c r="JOS11" s="394"/>
      <c r="JOT11" s="394"/>
      <c r="JOU11" s="394"/>
      <c r="JOV11" s="394"/>
      <c r="JOW11" s="394"/>
      <c r="JOX11" s="394"/>
      <c r="JOY11" s="394"/>
      <c r="JOZ11" s="395"/>
      <c r="JPA11" s="394"/>
      <c r="JPB11" s="394"/>
      <c r="JPC11" s="394"/>
      <c r="JPD11" s="394"/>
      <c r="JPE11" s="394"/>
      <c r="JPF11" s="394"/>
      <c r="JPG11" s="394"/>
      <c r="JPH11" s="395"/>
      <c r="JPI11" s="394"/>
      <c r="JPJ11" s="394"/>
      <c r="JPK11" s="394"/>
      <c r="JPL11" s="394"/>
      <c r="JPM11" s="394"/>
      <c r="JPN11" s="394"/>
      <c r="JPO11" s="394"/>
      <c r="JPP11" s="395"/>
      <c r="JPQ11" s="394"/>
      <c r="JPR11" s="394"/>
      <c r="JPS11" s="394"/>
      <c r="JPT11" s="394"/>
      <c r="JPU11" s="394"/>
      <c r="JPV11" s="394"/>
      <c r="JPW11" s="394"/>
      <c r="JPX11" s="395"/>
      <c r="JPY11" s="394"/>
      <c r="JPZ11" s="394"/>
      <c r="JQA11" s="394"/>
      <c r="JQB11" s="394"/>
      <c r="JQC11" s="394"/>
      <c r="JQD11" s="394"/>
      <c r="JQE11" s="394"/>
      <c r="JQF11" s="395"/>
      <c r="JQG11" s="394"/>
      <c r="JQH11" s="394"/>
      <c r="JQI11" s="394"/>
      <c r="JQJ11" s="394"/>
      <c r="JQK11" s="394"/>
      <c r="JQL11" s="394"/>
      <c r="JQM11" s="394"/>
      <c r="JQN11" s="395"/>
      <c r="JQO11" s="394"/>
      <c r="JQP11" s="394"/>
      <c r="JQQ11" s="394"/>
      <c r="JQR11" s="394"/>
      <c r="JQS11" s="394"/>
      <c r="JQT11" s="394"/>
      <c r="JQU11" s="394"/>
      <c r="JQV11" s="395"/>
      <c r="JQW11" s="394"/>
      <c r="JQX11" s="394"/>
      <c r="JQY11" s="394"/>
      <c r="JQZ11" s="394"/>
      <c r="JRA11" s="394"/>
      <c r="JRB11" s="394"/>
      <c r="JRC11" s="394"/>
      <c r="JRD11" s="395"/>
      <c r="JRE11" s="394"/>
      <c r="JRF11" s="394"/>
      <c r="JRG11" s="394"/>
      <c r="JRH11" s="394"/>
      <c r="JRI11" s="394"/>
      <c r="JRJ11" s="394"/>
      <c r="JRK11" s="394"/>
      <c r="JRL11" s="395"/>
      <c r="JRM11" s="394"/>
      <c r="JRN11" s="394"/>
      <c r="JRO11" s="394"/>
      <c r="JRP11" s="394"/>
      <c r="JRQ11" s="394"/>
      <c r="JRR11" s="394"/>
      <c r="JRS11" s="394"/>
      <c r="JRT11" s="395"/>
      <c r="JRU11" s="394"/>
      <c r="JRV11" s="394"/>
      <c r="JRW11" s="394"/>
      <c r="JRX11" s="394"/>
      <c r="JRY11" s="394"/>
      <c r="JRZ11" s="394"/>
      <c r="JSA11" s="394"/>
      <c r="JSB11" s="395"/>
      <c r="JSC11" s="394"/>
      <c r="JSD11" s="394"/>
      <c r="JSE11" s="394"/>
      <c r="JSF11" s="394"/>
      <c r="JSG11" s="394"/>
      <c r="JSH11" s="394"/>
      <c r="JSI11" s="394"/>
      <c r="JSJ11" s="395"/>
      <c r="JSK11" s="394"/>
      <c r="JSL11" s="394"/>
      <c r="JSM11" s="394"/>
      <c r="JSN11" s="394"/>
      <c r="JSO11" s="394"/>
      <c r="JSP11" s="394"/>
      <c r="JSQ11" s="394"/>
      <c r="JSR11" s="395"/>
      <c r="JSS11" s="394"/>
      <c r="JST11" s="394"/>
      <c r="JSU11" s="394"/>
      <c r="JSV11" s="394"/>
      <c r="JSW11" s="394"/>
      <c r="JSX11" s="394"/>
      <c r="JSY11" s="394"/>
      <c r="JSZ11" s="395"/>
      <c r="JTA11" s="394"/>
      <c r="JTB11" s="394"/>
      <c r="JTC11" s="394"/>
      <c r="JTD11" s="394"/>
      <c r="JTE11" s="394"/>
      <c r="JTF11" s="394"/>
      <c r="JTG11" s="394"/>
      <c r="JTH11" s="395"/>
      <c r="JTI11" s="394"/>
      <c r="JTJ11" s="394"/>
      <c r="JTK11" s="394"/>
      <c r="JTL11" s="394"/>
      <c r="JTM11" s="394"/>
      <c r="JTN11" s="394"/>
      <c r="JTO11" s="394"/>
      <c r="JTP11" s="395"/>
      <c r="JTQ11" s="394"/>
      <c r="JTR11" s="394"/>
      <c r="JTS11" s="394"/>
      <c r="JTT11" s="394"/>
      <c r="JTU11" s="394"/>
      <c r="JTV11" s="394"/>
      <c r="JTW11" s="394"/>
      <c r="JTX11" s="395"/>
      <c r="JTY11" s="394"/>
      <c r="JTZ11" s="394"/>
      <c r="JUA11" s="394"/>
      <c r="JUB11" s="394"/>
      <c r="JUC11" s="394"/>
      <c r="JUD11" s="394"/>
      <c r="JUE11" s="394"/>
      <c r="JUF11" s="395"/>
      <c r="JUG11" s="394"/>
      <c r="JUH11" s="394"/>
      <c r="JUI11" s="394"/>
      <c r="JUJ11" s="394"/>
      <c r="JUK11" s="394"/>
      <c r="JUL11" s="394"/>
      <c r="JUM11" s="394"/>
      <c r="JUN11" s="395"/>
      <c r="JUO11" s="394"/>
      <c r="JUP11" s="394"/>
      <c r="JUQ11" s="394"/>
      <c r="JUR11" s="394"/>
      <c r="JUS11" s="394"/>
      <c r="JUT11" s="394"/>
      <c r="JUU11" s="394"/>
      <c r="JUV11" s="395"/>
      <c r="JUW11" s="394"/>
      <c r="JUX11" s="394"/>
      <c r="JUY11" s="394"/>
      <c r="JUZ11" s="394"/>
      <c r="JVA11" s="394"/>
      <c r="JVB11" s="394"/>
      <c r="JVC11" s="394"/>
      <c r="JVD11" s="395"/>
      <c r="JVE11" s="394"/>
      <c r="JVF11" s="394"/>
      <c r="JVG11" s="394"/>
      <c r="JVH11" s="394"/>
      <c r="JVI11" s="394"/>
      <c r="JVJ11" s="394"/>
      <c r="JVK11" s="394"/>
      <c r="JVL11" s="395"/>
      <c r="JVM11" s="394"/>
      <c r="JVN11" s="394"/>
      <c r="JVO11" s="394"/>
      <c r="JVP11" s="394"/>
      <c r="JVQ11" s="394"/>
      <c r="JVR11" s="394"/>
      <c r="JVS11" s="394"/>
      <c r="JVT11" s="395"/>
      <c r="JVU11" s="394"/>
      <c r="JVV11" s="394"/>
      <c r="JVW11" s="394"/>
      <c r="JVX11" s="394"/>
      <c r="JVY11" s="394"/>
      <c r="JVZ11" s="394"/>
      <c r="JWA11" s="394"/>
      <c r="JWB11" s="395"/>
      <c r="JWC11" s="394"/>
      <c r="JWD11" s="394"/>
      <c r="JWE11" s="394"/>
      <c r="JWF11" s="394"/>
      <c r="JWG11" s="394"/>
      <c r="JWH11" s="394"/>
      <c r="JWI11" s="394"/>
      <c r="JWJ11" s="395"/>
      <c r="JWK11" s="394"/>
      <c r="JWL11" s="394"/>
      <c r="JWM11" s="394"/>
      <c r="JWN11" s="394"/>
      <c r="JWO11" s="394"/>
      <c r="JWP11" s="394"/>
      <c r="JWQ11" s="394"/>
      <c r="JWR11" s="395"/>
      <c r="JWS11" s="394"/>
      <c r="JWT11" s="394"/>
      <c r="JWU11" s="394"/>
      <c r="JWV11" s="394"/>
      <c r="JWW11" s="394"/>
      <c r="JWX11" s="394"/>
      <c r="JWY11" s="394"/>
      <c r="JWZ11" s="395"/>
      <c r="JXA11" s="394"/>
      <c r="JXB11" s="394"/>
      <c r="JXC11" s="394"/>
      <c r="JXD11" s="394"/>
      <c r="JXE11" s="394"/>
      <c r="JXF11" s="394"/>
      <c r="JXG11" s="394"/>
      <c r="JXH11" s="395"/>
      <c r="JXI11" s="394"/>
      <c r="JXJ11" s="394"/>
      <c r="JXK11" s="394"/>
      <c r="JXL11" s="394"/>
      <c r="JXM11" s="394"/>
      <c r="JXN11" s="394"/>
      <c r="JXO11" s="394"/>
      <c r="JXP11" s="395"/>
      <c r="JXQ11" s="394"/>
      <c r="JXR11" s="394"/>
      <c r="JXS11" s="394"/>
      <c r="JXT11" s="394"/>
      <c r="JXU11" s="394"/>
      <c r="JXV11" s="394"/>
      <c r="JXW11" s="394"/>
      <c r="JXX11" s="395"/>
      <c r="JXY11" s="394"/>
      <c r="JXZ11" s="394"/>
      <c r="JYA11" s="394"/>
      <c r="JYB11" s="394"/>
      <c r="JYC11" s="394"/>
      <c r="JYD11" s="394"/>
      <c r="JYE11" s="394"/>
      <c r="JYF11" s="395"/>
      <c r="JYG11" s="394"/>
      <c r="JYH11" s="394"/>
      <c r="JYI11" s="394"/>
      <c r="JYJ11" s="394"/>
      <c r="JYK11" s="394"/>
      <c r="JYL11" s="394"/>
      <c r="JYM11" s="394"/>
      <c r="JYN11" s="395"/>
      <c r="JYO11" s="394"/>
      <c r="JYP11" s="394"/>
      <c r="JYQ11" s="394"/>
      <c r="JYR11" s="394"/>
      <c r="JYS11" s="394"/>
      <c r="JYT11" s="394"/>
      <c r="JYU11" s="394"/>
      <c r="JYV11" s="395"/>
      <c r="JYW11" s="394"/>
      <c r="JYX11" s="394"/>
      <c r="JYY11" s="394"/>
      <c r="JYZ11" s="394"/>
      <c r="JZA11" s="394"/>
      <c r="JZB11" s="394"/>
      <c r="JZC11" s="394"/>
      <c r="JZD11" s="395"/>
      <c r="JZE11" s="394"/>
      <c r="JZF11" s="394"/>
      <c r="JZG11" s="394"/>
      <c r="JZH11" s="394"/>
      <c r="JZI11" s="394"/>
      <c r="JZJ11" s="394"/>
      <c r="JZK11" s="394"/>
      <c r="JZL11" s="395"/>
      <c r="JZM11" s="394"/>
      <c r="JZN11" s="394"/>
      <c r="JZO11" s="394"/>
      <c r="JZP11" s="394"/>
      <c r="JZQ11" s="394"/>
      <c r="JZR11" s="394"/>
      <c r="JZS11" s="394"/>
      <c r="JZT11" s="395"/>
      <c r="JZU11" s="394"/>
      <c r="JZV11" s="394"/>
      <c r="JZW11" s="394"/>
      <c r="JZX11" s="394"/>
      <c r="JZY11" s="394"/>
      <c r="JZZ11" s="394"/>
      <c r="KAA11" s="394"/>
      <c r="KAB11" s="395"/>
      <c r="KAC11" s="394"/>
      <c r="KAD11" s="394"/>
      <c r="KAE11" s="394"/>
      <c r="KAF11" s="394"/>
      <c r="KAG11" s="394"/>
      <c r="KAH11" s="394"/>
      <c r="KAI11" s="394"/>
      <c r="KAJ11" s="395"/>
      <c r="KAK11" s="394"/>
      <c r="KAL11" s="394"/>
      <c r="KAM11" s="394"/>
      <c r="KAN11" s="394"/>
      <c r="KAO11" s="394"/>
      <c r="KAP11" s="394"/>
      <c r="KAQ11" s="394"/>
      <c r="KAR11" s="395"/>
      <c r="KAS11" s="394"/>
      <c r="KAT11" s="394"/>
      <c r="KAU11" s="394"/>
      <c r="KAV11" s="394"/>
      <c r="KAW11" s="394"/>
      <c r="KAX11" s="394"/>
      <c r="KAY11" s="394"/>
      <c r="KAZ11" s="395"/>
      <c r="KBA11" s="394"/>
      <c r="KBB11" s="394"/>
      <c r="KBC11" s="394"/>
      <c r="KBD11" s="394"/>
      <c r="KBE11" s="394"/>
      <c r="KBF11" s="394"/>
      <c r="KBG11" s="394"/>
      <c r="KBH11" s="395"/>
      <c r="KBI11" s="394"/>
      <c r="KBJ11" s="394"/>
      <c r="KBK11" s="394"/>
      <c r="KBL11" s="394"/>
      <c r="KBM11" s="394"/>
      <c r="KBN11" s="394"/>
      <c r="KBO11" s="394"/>
      <c r="KBP11" s="395"/>
      <c r="KBQ11" s="394"/>
      <c r="KBR11" s="394"/>
      <c r="KBS11" s="394"/>
      <c r="KBT11" s="394"/>
      <c r="KBU11" s="394"/>
      <c r="KBV11" s="394"/>
      <c r="KBW11" s="394"/>
      <c r="KBX11" s="395"/>
      <c r="KBY11" s="394"/>
      <c r="KBZ11" s="394"/>
      <c r="KCA11" s="394"/>
      <c r="KCB11" s="394"/>
      <c r="KCC11" s="394"/>
      <c r="KCD11" s="394"/>
      <c r="KCE11" s="394"/>
      <c r="KCF11" s="395"/>
      <c r="KCG11" s="394"/>
      <c r="KCH11" s="394"/>
      <c r="KCI11" s="394"/>
      <c r="KCJ11" s="394"/>
      <c r="KCK11" s="394"/>
      <c r="KCL11" s="394"/>
      <c r="KCM11" s="394"/>
      <c r="KCN11" s="395"/>
      <c r="KCO11" s="394"/>
      <c r="KCP11" s="394"/>
      <c r="KCQ11" s="394"/>
      <c r="KCR11" s="394"/>
      <c r="KCS11" s="394"/>
      <c r="KCT11" s="394"/>
      <c r="KCU11" s="394"/>
      <c r="KCV11" s="395"/>
      <c r="KCW11" s="394"/>
      <c r="KCX11" s="394"/>
      <c r="KCY11" s="394"/>
      <c r="KCZ11" s="394"/>
      <c r="KDA11" s="394"/>
      <c r="KDB11" s="394"/>
      <c r="KDC11" s="394"/>
      <c r="KDD11" s="395"/>
      <c r="KDE11" s="394"/>
      <c r="KDF11" s="394"/>
      <c r="KDG11" s="394"/>
      <c r="KDH11" s="394"/>
      <c r="KDI11" s="394"/>
      <c r="KDJ11" s="394"/>
      <c r="KDK11" s="394"/>
      <c r="KDL11" s="395"/>
      <c r="KDM11" s="394"/>
      <c r="KDN11" s="394"/>
      <c r="KDO11" s="394"/>
      <c r="KDP11" s="394"/>
      <c r="KDQ11" s="394"/>
      <c r="KDR11" s="394"/>
      <c r="KDS11" s="394"/>
      <c r="KDT11" s="395"/>
      <c r="KDU11" s="394"/>
      <c r="KDV11" s="394"/>
      <c r="KDW11" s="394"/>
      <c r="KDX11" s="394"/>
      <c r="KDY11" s="394"/>
      <c r="KDZ11" s="394"/>
      <c r="KEA11" s="394"/>
      <c r="KEB11" s="395"/>
      <c r="KEC11" s="394"/>
      <c r="KED11" s="394"/>
      <c r="KEE11" s="394"/>
      <c r="KEF11" s="394"/>
      <c r="KEG11" s="394"/>
      <c r="KEH11" s="394"/>
      <c r="KEI11" s="394"/>
      <c r="KEJ11" s="395"/>
      <c r="KEK11" s="394"/>
      <c r="KEL11" s="394"/>
      <c r="KEM11" s="394"/>
      <c r="KEN11" s="394"/>
      <c r="KEO11" s="394"/>
      <c r="KEP11" s="394"/>
      <c r="KEQ11" s="394"/>
      <c r="KER11" s="395"/>
      <c r="KES11" s="394"/>
      <c r="KET11" s="394"/>
      <c r="KEU11" s="394"/>
      <c r="KEV11" s="394"/>
      <c r="KEW11" s="394"/>
      <c r="KEX11" s="394"/>
      <c r="KEY11" s="394"/>
      <c r="KEZ11" s="395"/>
      <c r="KFA11" s="394"/>
      <c r="KFB11" s="394"/>
      <c r="KFC11" s="394"/>
      <c r="KFD11" s="394"/>
      <c r="KFE11" s="394"/>
      <c r="KFF11" s="394"/>
      <c r="KFG11" s="394"/>
      <c r="KFH11" s="395"/>
      <c r="KFI11" s="394"/>
      <c r="KFJ11" s="394"/>
      <c r="KFK11" s="394"/>
      <c r="KFL11" s="394"/>
      <c r="KFM11" s="394"/>
      <c r="KFN11" s="394"/>
      <c r="KFO11" s="394"/>
      <c r="KFP11" s="395"/>
      <c r="KFQ11" s="394"/>
      <c r="KFR11" s="394"/>
      <c r="KFS11" s="394"/>
      <c r="KFT11" s="394"/>
      <c r="KFU11" s="394"/>
      <c r="KFV11" s="394"/>
      <c r="KFW11" s="394"/>
      <c r="KFX11" s="395"/>
      <c r="KFY11" s="394"/>
      <c r="KFZ11" s="394"/>
      <c r="KGA11" s="394"/>
      <c r="KGB11" s="394"/>
      <c r="KGC11" s="394"/>
      <c r="KGD11" s="394"/>
      <c r="KGE11" s="394"/>
      <c r="KGF11" s="395"/>
      <c r="KGG11" s="394"/>
      <c r="KGH11" s="394"/>
      <c r="KGI11" s="394"/>
      <c r="KGJ11" s="394"/>
      <c r="KGK11" s="394"/>
      <c r="KGL11" s="394"/>
      <c r="KGM11" s="394"/>
      <c r="KGN11" s="395"/>
      <c r="KGO11" s="394"/>
      <c r="KGP11" s="394"/>
      <c r="KGQ11" s="394"/>
      <c r="KGR11" s="394"/>
      <c r="KGS11" s="394"/>
      <c r="KGT11" s="394"/>
      <c r="KGU11" s="394"/>
      <c r="KGV11" s="395"/>
      <c r="KGW11" s="394"/>
      <c r="KGX11" s="394"/>
      <c r="KGY11" s="394"/>
      <c r="KGZ11" s="394"/>
      <c r="KHA11" s="394"/>
      <c r="KHB11" s="394"/>
      <c r="KHC11" s="394"/>
      <c r="KHD11" s="395"/>
      <c r="KHE11" s="394"/>
      <c r="KHF11" s="394"/>
      <c r="KHG11" s="394"/>
      <c r="KHH11" s="394"/>
      <c r="KHI11" s="394"/>
      <c r="KHJ11" s="394"/>
      <c r="KHK11" s="394"/>
      <c r="KHL11" s="395"/>
      <c r="KHM11" s="394"/>
      <c r="KHN11" s="394"/>
      <c r="KHO11" s="394"/>
      <c r="KHP11" s="394"/>
      <c r="KHQ11" s="394"/>
      <c r="KHR11" s="394"/>
      <c r="KHS11" s="394"/>
      <c r="KHT11" s="395"/>
      <c r="KHU11" s="394"/>
      <c r="KHV11" s="394"/>
      <c r="KHW11" s="394"/>
      <c r="KHX11" s="394"/>
      <c r="KHY11" s="394"/>
      <c r="KHZ11" s="394"/>
      <c r="KIA11" s="394"/>
      <c r="KIB11" s="395"/>
      <c r="KIC11" s="394"/>
      <c r="KID11" s="394"/>
      <c r="KIE11" s="394"/>
      <c r="KIF11" s="394"/>
      <c r="KIG11" s="394"/>
      <c r="KIH11" s="394"/>
      <c r="KII11" s="394"/>
      <c r="KIJ11" s="395"/>
      <c r="KIK11" s="394"/>
      <c r="KIL11" s="394"/>
      <c r="KIM11" s="394"/>
      <c r="KIN11" s="394"/>
      <c r="KIO11" s="394"/>
      <c r="KIP11" s="394"/>
      <c r="KIQ11" s="394"/>
      <c r="KIR11" s="395"/>
      <c r="KIS11" s="394"/>
      <c r="KIT11" s="394"/>
      <c r="KIU11" s="394"/>
      <c r="KIV11" s="394"/>
      <c r="KIW11" s="394"/>
      <c r="KIX11" s="394"/>
      <c r="KIY11" s="394"/>
      <c r="KIZ11" s="395"/>
      <c r="KJA11" s="394"/>
      <c r="KJB11" s="394"/>
      <c r="KJC11" s="394"/>
      <c r="KJD11" s="394"/>
      <c r="KJE11" s="394"/>
      <c r="KJF11" s="394"/>
      <c r="KJG11" s="394"/>
      <c r="KJH11" s="395"/>
      <c r="KJI11" s="394"/>
      <c r="KJJ11" s="394"/>
      <c r="KJK11" s="394"/>
      <c r="KJL11" s="394"/>
      <c r="KJM11" s="394"/>
      <c r="KJN11" s="394"/>
      <c r="KJO11" s="394"/>
      <c r="KJP11" s="395"/>
      <c r="KJQ11" s="394"/>
      <c r="KJR11" s="394"/>
      <c r="KJS11" s="394"/>
      <c r="KJT11" s="394"/>
      <c r="KJU11" s="394"/>
      <c r="KJV11" s="394"/>
      <c r="KJW11" s="394"/>
      <c r="KJX11" s="395"/>
      <c r="KJY11" s="394"/>
      <c r="KJZ11" s="394"/>
      <c r="KKA11" s="394"/>
      <c r="KKB11" s="394"/>
      <c r="KKC11" s="394"/>
      <c r="KKD11" s="394"/>
      <c r="KKE11" s="394"/>
      <c r="KKF11" s="395"/>
      <c r="KKG11" s="394"/>
      <c r="KKH11" s="394"/>
      <c r="KKI11" s="394"/>
      <c r="KKJ11" s="394"/>
      <c r="KKK11" s="394"/>
      <c r="KKL11" s="394"/>
      <c r="KKM11" s="394"/>
      <c r="KKN11" s="395"/>
      <c r="KKO11" s="394"/>
      <c r="KKP11" s="394"/>
      <c r="KKQ11" s="394"/>
      <c r="KKR11" s="394"/>
      <c r="KKS11" s="394"/>
      <c r="KKT11" s="394"/>
      <c r="KKU11" s="394"/>
      <c r="KKV11" s="395"/>
      <c r="KKW11" s="394"/>
      <c r="KKX11" s="394"/>
      <c r="KKY11" s="394"/>
      <c r="KKZ11" s="394"/>
      <c r="KLA11" s="394"/>
      <c r="KLB11" s="394"/>
      <c r="KLC11" s="394"/>
      <c r="KLD11" s="395"/>
      <c r="KLE11" s="394"/>
      <c r="KLF11" s="394"/>
      <c r="KLG11" s="394"/>
      <c r="KLH11" s="394"/>
      <c r="KLI11" s="394"/>
      <c r="KLJ11" s="394"/>
      <c r="KLK11" s="394"/>
      <c r="KLL11" s="395"/>
      <c r="KLM11" s="394"/>
      <c r="KLN11" s="394"/>
      <c r="KLO11" s="394"/>
      <c r="KLP11" s="394"/>
      <c r="KLQ11" s="394"/>
      <c r="KLR11" s="394"/>
      <c r="KLS11" s="394"/>
      <c r="KLT11" s="395"/>
      <c r="KLU11" s="394"/>
      <c r="KLV11" s="394"/>
      <c r="KLW11" s="394"/>
      <c r="KLX11" s="394"/>
      <c r="KLY11" s="394"/>
      <c r="KLZ11" s="394"/>
      <c r="KMA11" s="394"/>
      <c r="KMB11" s="395"/>
      <c r="KMC11" s="394"/>
      <c r="KMD11" s="394"/>
      <c r="KME11" s="394"/>
      <c r="KMF11" s="394"/>
      <c r="KMG11" s="394"/>
      <c r="KMH11" s="394"/>
      <c r="KMI11" s="394"/>
      <c r="KMJ11" s="395"/>
      <c r="KMK11" s="394"/>
      <c r="KML11" s="394"/>
      <c r="KMM11" s="394"/>
      <c r="KMN11" s="394"/>
      <c r="KMO11" s="394"/>
      <c r="KMP11" s="394"/>
      <c r="KMQ11" s="394"/>
      <c r="KMR11" s="395"/>
      <c r="KMS11" s="394"/>
      <c r="KMT11" s="394"/>
      <c r="KMU11" s="394"/>
      <c r="KMV11" s="394"/>
      <c r="KMW11" s="394"/>
      <c r="KMX11" s="394"/>
      <c r="KMY11" s="394"/>
      <c r="KMZ11" s="395"/>
      <c r="KNA11" s="394"/>
      <c r="KNB11" s="394"/>
      <c r="KNC11" s="394"/>
      <c r="KND11" s="394"/>
      <c r="KNE11" s="394"/>
      <c r="KNF11" s="394"/>
      <c r="KNG11" s="394"/>
      <c r="KNH11" s="395"/>
      <c r="KNI11" s="394"/>
      <c r="KNJ11" s="394"/>
      <c r="KNK11" s="394"/>
      <c r="KNL11" s="394"/>
      <c r="KNM11" s="394"/>
      <c r="KNN11" s="394"/>
      <c r="KNO11" s="394"/>
      <c r="KNP11" s="395"/>
      <c r="KNQ11" s="394"/>
      <c r="KNR11" s="394"/>
      <c r="KNS11" s="394"/>
      <c r="KNT11" s="394"/>
      <c r="KNU11" s="394"/>
      <c r="KNV11" s="394"/>
      <c r="KNW11" s="394"/>
      <c r="KNX11" s="395"/>
      <c r="KNY11" s="394"/>
      <c r="KNZ11" s="394"/>
      <c r="KOA11" s="394"/>
      <c r="KOB11" s="394"/>
      <c r="KOC11" s="394"/>
      <c r="KOD11" s="394"/>
      <c r="KOE11" s="394"/>
      <c r="KOF11" s="395"/>
      <c r="KOG11" s="394"/>
      <c r="KOH11" s="394"/>
      <c r="KOI11" s="394"/>
      <c r="KOJ11" s="394"/>
      <c r="KOK11" s="394"/>
      <c r="KOL11" s="394"/>
      <c r="KOM11" s="394"/>
      <c r="KON11" s="395"/>
      <c r="KOO11" s="394"/>
      <c r="KOP11" s="394"/>
      <c r="KOQ11" s="394"/>
      <c r="KOR11" s="394"/>
      <c r="KOS11" s="394"/>
      <c r="KOT11" s="394"/>
      <c r="KOU11" s="394"/>
      <c r="KOV11" s="395"/>
      <c r="KOW11" s="394"/>
      <c r="KOX11" s="394"/>
      <c r="KOY11" s="394"/>
      <c r="KOZ11" s="394"/>
      <c r="KPA11" s="394"/>
      <c r="KPB11" s="394"/>
      <c r="KPC11" s="394"/>
      <c r="KPD11" s="395"/>
      <c r="KPE11" s="394"/>
      <c r="KPF11" s="394"/>
      <c r="KPG11" s="394"/>
      <c r="KPH11" s="394"/>
      <c r="KPI11" s="394"/>
      <c r="KPJ11" s="394"/>
      <c r="KPK11" s="394"/>
      <c r="KPL11" s="395"/>
      <c r="KPM11" s="394"/>
      <c r="KPN11" s="394"/>
      <c r="KPO11" s="394"/>
      <c r="KPP11" s="394"/>
      <c r="KPQ11" s="394"/>
      <c r="KPR11" s="394"/>
      <c r="KPS11" s="394"/>
      <c r="KPT11" s="395"/>
      <c r="KPU11" s="394"/>
      <c r="KPV11" s="394"/>
      <c r="KPW11" s="394"/>
      <c r="KPX11" s="394"/>
      <c r="KPY11" s="394"/>
      <c r="KPZ11" s="394"/>
      <c r="KQA11" s="394"/>
      <c r="KQB11" s="395"/>
      <c r="KQC11" s="394"/>
      <c r="KQD11" s="394"/>
      <c r="KQE11" s="394"/>
      <c r="KQF11" s="394"/>
      <c r="KQG11" s="394"/>
      <c r="KQH11" s="394"/>
      <c r="KQI11" s="394"/>
      <c r="KQJ11" s="395"/>
      <c r="KQK11" s="394"/>
      <c r="KQL11" s="394"/>
      <c r="KQM11" s="394"/>
      <c r="KQN11" s="394"/>
      <c r="KQO11" s="394"/>
      <c r="KQP11" s="394"/>
      <c r="KQQ11" s="394"/>
      <c r="KQR11" s="395"/>
      <c r="KQS11" s="394"/>
      <c r="KQT11" s="394"/>
      <c r="KQU11" s="394"/>
      <c r="KQV11" s="394"/>
      <c r="KQW11" s="394"/>
      <c r="KQX11" s="394"/>
      <c r="KQY11" s="394"/>
      <c r="KQZ11" s="395"/>
      <c r="KRA11" s="394"/>
      <c r="KRB11" s="394"/>
      <c r="KRC11" s="394"/>
      <c r="KRD11" s="394"/>
      <c r="KRE11" s="394"/>
      <c r="KRF11" s="394"/>
      <c r="KRG11" s="394"/>
      <c r="KRH11" s="395"/>
      <c r="KRI11" s="394"/>
      <c r="KRJ11" s="394"/>
      <c r="KRK11" s="394"/>
      <c r="KRL11" s="394"/>
      <c r="KRM11" s="394"/>
      <c r="KRN11" s="394"/>
      <c r="KRO11" s="394"/>
      <c r="KRP11" s="395"/>
      <c r="KRQ11" s="394"/>
      <c r="KRR11" s="394"/>
      <c r="KRS11" s="394"/>
      <c r="KRT11" s="394"/>
      <c r="KRU11" s="394"/>
      <c r="KRV11" s="394"/>
      <c r="KRW11" s="394"/>
      <c r="KRX11" s="395"/>
      <c r="KRY11" s="394"/>
      <c r="KRZ11" s="394"/>
      <c r="KSA11" s="394"/>
      <c r="KSB11" s="394"/>
      <c r="KSC11" s="394"/>
      <c r="KSD11" s="394"/>
      <c r="KSE11" s="394"/>
      <c r="KSF11" s="395"/>
      <c r="KSG11" s="394"/>
      <c r="KSH11" s="394"/>
      <c r="KSI11" s="394"/>
      <c r="KSJ11" s="394"/>
      <c r="KSK11" s="394"/>
      <c r="KSL11" s="394"/>
      <c r="KSM11" s="394"/>
      <c r="KSN11" s="395"/>
      <c r="KSO11" s="394"/>
      <c r="KSP11" s="394"/>
      <c r="KSQ11" s="394"/>
      <c r="KSR11" s="394"/>
      <c r="KSS11" s="394"/>
      <c r="KST11" s="394"/>
      <c r="KSU11" s="394"/>
      <c r="KSV11" s="395"/>
      <c r="KSW11" s="394"/>
      <c r="KSX11" s="394"/>
      <c r="KSY11" s="394"/>
      <c r="KSZ11" s="394"/>
      <c r="KTA11" s="394"/>
      <c r="KTB11" s="394"/>
      <c r="KTC11" s="394"/>
      <c r="KTD11" s="395"/>
      <c r="KTE11" s="394"/>
      <c r="KTF11" s="394"/>
      <c r="KTG11" s="394"/>
      <c r="KTH11" s="394"/>
      <c r="KTI11" s="394"/>
      <c r="KTJ11" s="394"/>
      <c r="KTK11" s="394"/>
      <c r="KTL11" s="395"/>
      <c r="KTM11" s="394"/>
      <c r="KTN11" s="394"/>
      <c r="KTO11" s="394"/>
      <c r="KTP11" s="394"/>
      <c r="KTQ11" s="394"/>
      <c r="KTR11" s="394"/>
      <c r="KTS11" s="394"/>
      <c r="KTT11" s="395"/>
      <c r="KTU11" s="394"/>
      <c r="KTV11" s="394"/>
      <c r="KTW11" s="394"/>
      <c r="KTX11" s="394"/>
      <c r="KTY11" s="394"/>
      <c r="KTZ11" s="394"/>
      <c r="KUA11" s="394"/>
      <c r="KUB11" s="395"/>
      <c r="KUC11" s="394"/>
      <c r="KUD11" s="394"/>
      <c r="KUE11" s="394"/>
      <c r="KUF11" s="394"/>
      <c r="KUG11" s="394"/>
      <c r="KUH11" s="394"/>
      <c r="KUI11" s="394"/>
      <c r="KUJ11" s="395"/>
      <c r="KUK11" s="394"/>
      <c r="KUL11" s="394"/>
      <c r="KUM11" s="394"/>
      <c r="KUN11" s="394"/>
      <c r="KUO11" s="394"/>
      <c r="KUP11" s="394"/>
      <c r="KUQ11" s="394"/>
      <c r="KUR11" s="395"/>
      <c r="KUS11" s="394"/>
      <c r="KUT11" s="394"/>
      <c r="KUU11" s="394"/>
      <c r="KUV11" s="394"/>
      <c r="KUW11" s="394"/>
      <c r="KUX11" s="394"/>
      <c r="KUY11" s="394"/>
      <c r="KUZ11" s="395"/>
      <c r="KVA11" s="394"/>
      <c r="KVB11" s="394"/>
      <c r="KVC11" s="394"/>
      <c r="KVD11" s="394"/>
      <c r="KVE11" s="394"/>
      <c r="KVF11" s="394"/>
      <c r="KVG11" s="394"/>
      <c r="KVH11" s="395"/>
      <c r="KVI11" s="394"/>
      <c r="KVJ11" s="394"/>
      <c r="KVK11" s="394"/>
      <c r="KVL11" s="394"/>
      <c r="KVM11" s="394"/>
      <c r="KVN11" s="394"/>
      <c r="KVO11" s="394"/>
      <c r="KVP11" s="395"/>
      <c r="KVQ11" s="394"/>
      <c r="KVR11" s="394"/>
      <c r="KVS11" s="394"/>
      <c r="KVT11" s="394"/>
      <c r="KVU11" s="394"/>
      <c r="KVV11" s="394"/>
      <c r="KVW11" s="394"/>
      <c r="KVX11" s="395"/>
      <c r="KVY11" s="394"/>
      <c r="KVZ11" s="394"/>
      <c r="KWA11" s="394"/>
      <c r="KWB11" s="394"/>
      <c r="KWC11" s="394"/>
      <c r="KWD11" s="394"/>
      <c r="KWE11" s="394"/>
      <c r="KWF11" s="395"/>
      <c r="KWG11" s="394"/>
      <c r="KWH11" s="394"/>
      <c r="KWI11" s="394"/>
      <c r="KWJ11" s="394"/>
      <c r="KWK11" s="394"/>
      <c r="KWL11" s="394"/>
      <c r="KWM11" s="394"/>
      <c r="KWN11" s="395"/>
      <c r="KWO11" s="394"/>
      <c r="KWP11" s="394"/>
      <c r="KWQ11" s="394"/>
      <c r="KWR11" s="394"/>
      <c r="KWS11" s="394"/>
      <c r="KWT11" s="394"/>
      <c r="KWU11" s="394"/>
      <c r="KWV11" s="395"/>
      <c r="KWW11" s="394"/>
      <c r="KWX11" s="394"/>
      <c r="KWY11" s="394"/>
      <c r="KWZ11" s="394"/>
      <c r="KXA11" s="394"/>
      <c r="KXB11" s="394"/>
      <c r="KXC11" s="394"/>
      <c r="KXD11" s="395"/>
      <c r="KXE11" s="394"/>
      <c r="KXF11" s="394"/>
      <c r="KXG11" s="394"/>
      <c r="KXH11" s="394"/>
      <c r="KXI11" s="394"/>
      <c r="KXJ11" s="394"/>
      <c r="KXK11" s="394"/>
      <c r="KXL11" s="395"/>
      <c r="KXM11" s="394"/>
      <c r="KXN11" s="394"/>
      <c r="KXO11" s="394"/>
      <c r="KXP11" s="394"/>
      <c r="KXQ11" s="394"/>
      <c r="KXR11" s="394"/>
      <c r="KXS11" s="394"/>
      <c r="KXT11" s="395"/>
      <c r="KXU11" s="394"/>
      <c r="KXV11" s="394"/>
      <c r="KXW11" s="394"/>
      <c r="KXX11" s="394"/>
      <c r="KXY11" s="394"/>
      <c r="KXZ11" s="394"/>
      <c r="KYA11" s="394"/>
      <c r="KYB11" s="395"/>
      <c r="KYC11" s="394"/>
      <c r="KYD11" s="394"/>
      <c r="KYE11" s="394"/>
      <c r="KYF11" s="394"/>
      <c r="KYG11" s="394"/>
      <c r="KYH11" s="394"/>
      <c r="KYI11" s="394"/>
      <c r="KYJ11" s="395"/>
      <c r="KYK11" s="394"/>
      <c r="KYL11" s="394"/>
      <c r="KYM11" s="394"/>
      <c r="KYN11" s="394"/>
      <c r="KYO11" s="394"/>
      <c r="KYP11" s="394"/>
      <c r="KYQ11" s="394"/>
      <c r="KYR11" s="395"/>
      <c r="KYS11" s="394"/>
      <c r="KYT11" s="394"/>
      <c r="KYU11" s="394"/>
      <c r="KYV11" s="394"/>
      <c r="KYW11" s="394"/>
      <c r="KYX11" s="394"/>
      <c r="KYY11" s="394"/>
      <c r="KYZ11" s="395"/>
      <c r="KZA11" s="394"/>
      <c r="KZB11" s="394"/>
      <c r="KZC11" s="394"/>
      <c r="KZD11" s="394"/>
      <c r="KZE11" s="394"/>
      <c r="KZF11" s="394"/>
      <c r="KZG11" s="394"/>
      <c r="KZH11" s="395"/>
      <c r="KZI11" s="394"/>
      <c r="KZJ11" s="394"/>
      <c r="KZK11" s="394"/>
      <c r="KZL11" s="394"/>
      <c r="KZM11" s="394"/>
      <c r="KZN11" s="394"/>
      <c r="KZO11" s="394"/>
      <c r="KZP11" s="395"/>
      <c r="KZQ11" s="394"/>
      <c r="KZR11" s="394"/>
      <c r="KZS11" s="394"/>
      <c r="KZT11" s="394"/>
      <c r="KZU11" s="394"/>
      <c r="KZV11" s="394"/>
      <c r="KZW11" s="394"/>
      <c r="KZX11" s="395"/>
      <c r="KZY11" s="394"/>
      <c r="KZZ11" s="394"/>
      <c r="LAA11" s="394"/>
      <c r="LAB11" s="394"/>
      <c r="LAC11" s="394"/>
      <c r="LAD11" s="394"/>
      <c r="LAE11" s="394"/>
      <c r="LAF11" s="395"/>
      <c r="LAG11" s="394"/>
      <c r="LAH11" s="394"/>
      <c r="LAI11" s="394"/>
      <c r="LAJ11" s="394"/>
      <c r="LAK11" s="394"/>
      <c r="LAL11" s="394"/>
      <c r="LAM11" s="394"/>
      <c r="LAN11" s="395"/>
      <c r="LAO11" s="394"/>
      <c r="LAP11" s="394"/>
      <c r="LAQ11" s="394"/>
      <c r="LAR11" s="394"/>
      <c r="LAS11" s="394"/>
      <c r="LAT11" s="394"/>
      <c r="LAU11" s="394"/>
      <c r="LAV11" s="395"/>
      <c r="LAW11" s="394"/>
      <c r="LAX11" s="394"/>
      <c r="LAY11" s="394"/>
      <c r="LAZ11" s="394"/>
      <c r="LBA11" s="394"/>
      <c r="LBB11" s="394"/>
      <c r="LBC11" s="394"/>
      <c r="LBD11" s="395"/>
      <c r="LBE11" s="394"/>
      <c r="LBF11" s="394"/>
      <c r="LBG11" s="394"/>
      <c r="LBH11" s="394"/>
      <c r="LBI11" s="394"/>
      <c r="LBJ11" s="394"/>
      <c r="LBK11" s="394"/>
      <c r="LBL11" s="395"/>
      <c r="LBM11" s="394"/>
      <c r="LBN11" s="394"/>
      <c r="LBO11" s="394"/>
      <c r="LBP11" s="394"/>
      <c r="LBQ11" s="394"/>
      <c r="LBR11" s="394"/>
      <c r="LBS11" s="394"/>
      <c r="LBT11" s="395"/>
      <c r="LBU11" s="394"/>
      <c r="LBV11" s="394"/>
      <c r="LBW11" s="394"/>
      <c r="LBX11" s="394"/>
      <c r="LBY11" s="394"/>
      <c r="LBZ11" s="394"/>
      <c r="LCA11" s="394"/>
      <c r="LCB11" s="395"/>
      <c r="LCC11" s="394"/>
      <c r="LCD11" s="394"/>
      <c r="LCE11" s="394"/>
      <c r="LCF11" s="394"/>
      <c r="LCG11" s="394"/>
      <c r="LCH11" s="394"/>
      <c r="LCI11" s="394"/>
      <c r="LCJ11" s="395"/>
      <c r="LCK11" s="394"/>
      <c r="LCL11" s="394"/>
      <c r="LCM11" s="394"/>
      <c r="LCN11" s="394"/>
      <c r="LCO11" s="394"/>
      <c r="LCP11" s="394"/>
      <c r="LCQ11" s="394"/>
      <c r="LCR11" s="395"/>
      <c r="LCS11" s="394"/>
      <c r="LCT11" s="394"/>
      <c r="LCU11" s="394"/>
      <c r="LCV11" s="394"/>
      <c r="LCW11" s="394"/>
      <c r="LCX11" s="394"/>
      <c r="LCY11" s="394"/>
      <c r="LCZ11" s="395"/>
      <c r="LDA11" s="394"/>
      <c r="LDB11" s="394"/>
      <c r="LDC11" s="394"/>
      <c r="LDD11" s="394"/>
      <c r="LDE11" s="394"/>
      <c r="LDF11" s="394"/>
      <c r="LDG11" s="394"/>
      <c r="LDH11" s="395"/>
      <c r="LDI11" s="394"/>
      <c r="LDJ11" s="394"/>
      <c r="LDK11" s="394"/>
      <c r="LDL11" s="394"/>
      <c r="LDM11" s="394"/>
      <c r="LDN11" s="394"/>
      <c r="LDO11" s="394"/>
      <c r="LDP11" s="395"/>
      <c r="LDQ11" s="394"/>
      <c r="LDR11" s="394"/>
      <c r="LDS11" s="394"/>
      <c r="LDT11" s="394"/>
      <c r="LDU11" s="394"/>
      <c r="LDV11" s="394"/>
      <c r="LDW11" s="394"/>
      <c r="LDX11" s="395"/>
      <c r="LDY11" s="394"/>
      <c r="LDZ11" s="394"/>
      <c r="LEA11" s="394"/>
      <c r="LEB11" s="394"/>
      <c r="LEC11" s="394"/>
      <c r="LED11" s="394"/>
      <c r="LEE11" s="394"/>
      <c r="LEF11" s="395"/>
      <c r="LEG11" s="394"/>
      <c r="LEH11" s="394"/>
      <c r="LEI11" s="394"/>
      <c r="LEJ11" s="394"/>
      <c r="LEK11" s="394"/>
      <c r="LEL11" s="394"/>
      <c r="LEM11" s="394"/>
      <c r="LEN11" s="395"/>
      <c r="LEO11" s="394"/>
      <c r="LEP11" s="394"/>
      <c r="LEQ11" s="394"/>
      <c r="LER11" s="394"/>
      <c r="LES11" s="394"/>
      <c r="LET11" s="394"/>
      <c r="LEU11" s="394"/>
      <c r="LEV11" s="395"/>
      <c r="LEW11" s="394"/>
      <c r="LEX11" s="394"/>
      <c r="LEY11" s="394"/>
      <c r="LEZ11" s="394"/>
      <c r="LFA11" s="394"/>
      <c r="LFB11" s="394"/>
      <c r="LFC11" s="394"/>
      <c r="LFD11" s="395"/>
      <c r="LFE11" s="394"/>
      <c r="LFF11" s="394"/>
      <c r="LFG11" s="394"/>
      <c r="LFH11" s="394"/>
      <c r="LFI11" s="394"/>
      <c r="LFJ11" s="394"/>
      <c r="LFK11" s="394"/>
      <c r="LFL11" s="395"/>
      <c r="LFM11" s="394"/>
      <c r="LFN11" s="394"/>
      <c r="LFO11" s="394"/>
      <c r="LFP11" s="394"/>
      <c r="LFQ11" s="394"/>
      <c r="LFR11" s="394"/>
      <c r="LFS11" s="394"/>
      <c r="LFT11" s="395"/>
      <c r="LFU11" s="394"/>
      <c r="LFV11" s="394"/>
      <c r="LFW11" s="394"/>
      <c r="LFX11" s="394"/>
      <c r="LFY11" s="394"/>
      <c r="LFZ11" s="394"/>
      <c r="LGA11" s="394"/>
      <c r="LGB11" s="395"/>
      <c r="LGC11" s="394"/>
      <c r="LGD11" s="394"/>
      <c r="LGE11" s="394"/>
      <c r="LGF11" s="394"/>
      <c r="LGG11" s="394"/>
      <c r="LGH11" s="394"/>
      <c r="LGI11" s="394"/>
      <c r="LGJ11" s="395"/>
      <c r="LGK11" s="394"/>
      <c r="LGL11" s="394"/>
      <c r="LGM11" s="394"/>
      <c r="LGN11" s="394"/>
      <c r="LGO11" s="394"/>
      <c r="LGP11" s="394"/>
      <c r="LGQ11" s="394"/>
      <c r="LGR11" s="395"/>
      <c r="LGS11" s="394"/>
      <c r="LGT11" s="394"/>
      <c r="LGU11" s="394"/>
      <c r="LGV11" s="394"/>
      <c r="LGW11" s="394"/>
      <c r="LGX11" s="394"/>
      <c r="LGY11" s="394"/>
      <c r="LGZ11" s="395"/>
      <c r="LHA11" s="394"/>
      <c r="LHB11" s="394"/>
      <c r="LHC11" s="394"/>
      <c r="LHD11" s="394"/>
      <c r="LHE11" s="394"/>
      <c r="LHF11" s="394"/>
      <c r="LHG11" s="394"/>
      <c r="LHH11" s="395"/>
      <c r="LHI11" s="394"/>
      <c r="LHJ11" s="394"/>
      <c r="LHK11" s="394"/>
      <c r="LHL11" s="394"/>
      <c r="LHM11" s="394"/>
      <c r="LHN11" s="394"/>
      <c r="LHO11" s="394"/>
      <c r="LHP11" s="395"/>
      <c r="LHQ11" s="394"/>
      <c r="LHR11" s="394"/>
      <c r="LHS11" s="394"/>
      <c r="LHT11" s="394"/>
      <c r="LHU11" s="394"/>
      <c r="LHV11" s="394"/>
      <c r="LHW11" s="394"/>
      <c r="LHX11" s="395"/>
      <c r="LHY11" s="394"/>
      <c r="LHZ11" s="394"/>
      <c r="LIA11" s="394"/>
      <c r="LIB11" s="394"/>
      <c r="LIC11" s="394"/>
      <c r="LID11" s="394"/>
      <c r="LIE11" s="394"/>
      <c r="LIF11" s="395"/>
      <c r="LIG11" s="394"/>
      <c r="LIH11" s="394"/>
      <c r="LII11" s="394"/>
      <c r="LIJ11" s="394"/>
      <c r="LIK11" s="394"/>
      <c r="LIL11" s="394"/>
      <c r="LIM11" s="394"/>
      <c r="LIN11" s="395"/>
      <c r="LIO11" s="394"/>
      <c r="LIP11" s="394"/>
      <c r="LIQ11" s="394"/>
      <c r="LIR11" s="394"/>
      <c r="LIS11" s="394"/>
      <c r="LIT11" s="394"/>
      <c r="LIU11" s="394"/>
      <c r="LIV11" s="395"/>
      <c r="LIW11" s="394"/>
      <c r="LIX11" s="394"/>
      <c r="LIY11" s="394"/>
      <c r="LIZ11" s="394"/>
      <c r="LJA11" s="394"/>
      <c r="LJB11" s="394"/>
      <c r="LJC11" s="394"/>
      <c r="LJD11" s="395"/>
      <c r="LJE11" s="394"/>
      <c r="LJF11" s="394"/>
      <c r="LJG11" s="394"/>
      <c r="LJH11" s="394"/>
      <c r="LJI11" s="394"/>
      <c r="LJJ11" s="394"/>
      <c r="LJK11" s="394"/>
      <c r="LJL11" s="395"/>
      <c r="LJM11" s="394"/>
      <c r="LJN11" s="394"/>
      <c r="LJO11" s="394"/>
      <c r="LJP11" s="394"/>
      <c r="LJQ11" s="394"/>
      <c r="LJR11" s="394"/>
      <c r="LJS11" s="394"/>
      <c r="LJT11" s="395"/>
      <c r="LJU11" s="394"/>
      <c r="LJV11" s="394"/>
      <c r="LJW11" s="394"/>
      <c r="LJX11" s="394"/>
      <c r="LJY11" s="394"/>
      <c r="LJZ11" s="394"/>
      <c r="LKA11" s="394"/>
      <c r="LKB11" s="395"/>
      <c r="LKC11" s="394"/>
      <c r="LKD11" s="394"/>
      <c r="LKE11" s="394"/>
      <c r="LKF11" s="394"/>
      <c r="LKG11" s="394"/>
      <c r="LKH11" s="394"/>
      <c r="LKI11" s="394"/>
      <c r="LKJ11" s="395"/>
      <c r="LKK11" s="394"/>
      <c r="LKL11" s="394"/>
      <c r="LKM11" s="394"/>
      <c r="LKN11" s="394"/>
      <c r="LKO11" s="394"/>
      <c r="LKP11" s="394"/>
      <c r="LKQ11" s="394"/>
      <c r="LKR11" s="395"/>
      <c r="LKS11" s="394"/>
      <c r="LKT11" s="394"/>
      <c r="LKU11" s="394"/>
      <c r="LKV11" s="394"/>
      <c r="LKW11" s="394"/>
      <c r="LKX11" s="394"/>
      <c r="LKY11" s="394"/>
      <c r="LKZ11" s="395"/>
      <c r="LLA11" s="394"/>
      <c r="LLB11" s="394"/>
      <c r="LLC11" s="394"/>
      <c r="LLD11" s="394"/>
      <c r="LLE11" s="394"/>
      <c r="LLF11" s="394"/>
      <c r="LLG11" s="394"/>
      <c r="LLH11" s="395"/>
      <c r="LLI11" s="394"/>
      <c r="LLJ11" s="394"/>
      <c r="LLK11" s="394"/>
      <c r="LLL11" s="394"/>
      <c r="LLM11" s="394"/>
      <c r="LLN11" s="394"/>
      <c r="LLO11" s="394"/>
      <c r="LLP11" s="395"/>
      <c r="LLQ11" s="394"/>
      <c r="LLR11" s="394"/>
      <c r="LLS11" s="394"/>
      <c r="LLT11" s="394"/>
      <c r="LLU11" s="394"/>
      <c r="LLV11" s="394"/>
      <c r="LLW11" s="394"/>
      <c r="LLX11" s="395"/>
      <c r="LLY11" s="394"/>
      <c r="LLZ11" s="394"/>
      <c r="LMA11" s="394"/>
      <c r="LMB11" s="394"/>
      <c r="LMC11" s="394"/>
      <c r="LMD11" s="394"/>
      <c r="LME11" s="394"/>
      <c r="LMF11" s="395"/>
      <c r="LMG11" s="394"/>
      <c r="LMH11" s="394"/>
      <c r="LMI11" s="394"/>
      <c r="LMJ11" s="394"/>
      <c r="LMK11" s="394"/>
      <c r="LML11" s="394"/>
      <c r="LMM11" s="394"/>
      <c r="LMN11" s="395"/>
      <c r="LMO11" s="394"/>
      <c r="LMP11" s="394"/>
      <c r="LMQ11" s="394"/>
      <c r="LMR11" s="394"/>
      <c r="LMS11" s="394"/>
      <c r="LMT11" s="394"/>
      <c r="LMU11" s="394"/>
      <c r="LMV11" s="395"/>
      <c r="LMW11" s="394"/>
      <c r="LMX11" s="394"/>
      <c r="LMY11" s="394"/>
      <c r="LMZ11" s="394"/>
      <c r="LNA11" s="394"/>
      <c r="LNB11" s="394"/>
      <c r="LNC11" s="394"/>
      <c r="LND11" s="395"/>
      <c r="LNE11" s="394"/>
      <c r="LNF11" s="394"/>
      <c r="LNG11" s="394"/>
      <c r="LNH11" s="394"/>
      <c r="LNI11" s="394"/>
      <c r="LNJ11" s="394"/>
      <c r="LNK11" s="394"/>
      <c r="LNL11" s="395"/>
      <c r="LNM11" s="394"/>
      <c r="LNN11" s="394"/>
      <c r="LNO11" s="394"/>
      <c r="LNP11" s="394"/>
      <c r="LNQ11" s="394"/>
      <c r="LNR11" s="394"/>
      <c r="LNS11" s="394"/>
      <c r="LNT11" s="395"/>
      <c r="LNU11" s="394"/>
      <c r="LNV11" s="394"/>
      <c r="LNW11" s="394"/>
      <c r="LNX11" s="394"/>
      <c r="LNY11" s="394"/>
      <c r="LNZ11" s="394"/>
      <c r="LOA11" s="394"/>
      <c r="LOB11" s="395"/>
      <c r="LOC11" s="394"/>
      <c r="LOD11" s="394"/>
      <c r="LOE11" s="394"/>
      <c r="LOF11" s="394"/>
      <c r="LOG11" s="394"/>
      <c r="LOH11" s="394"/>
      <c r="LOI11" s="394"/>
      <c r="LOJ11" s="395"/>
      <c r="LOK11" s="394"/>
      <c r="LOL11" s="394"/>
      <c r="LOM11" s="394"/>
      <c r="LON11" s="394"/>
      <c r="LOO11" s="394"/>
      <c r="LOP11" s="394"/>
      <c r="LOQ11" s="394"/>
      <c r="LOR11" s="395"/>
      <c r="LOS11" s="394"/>
      <c r="LOT11" s="394"/>
      <c r="LOU11" s="394"/>
      <c r="LOV11" s="394"/>
      <c r="LOW11" s="394"/>
      <c r="LOX11" s="394"/>
      <c r="LOY11" s="394"/>
      <c r="LOZ11" s="395"/>
      <c r="LPA11" s="394"/>
      <c r="LPB11" s="394"/>
      <c r="LPC11" s="394"/>
      <c r="LPD11" s="394"/>
      <c r="LPE11" s="394"/>
      <c r="LPF11" s="394"/>
      <c r="LPG11" s="394"/>
      <c r="LPH11" s="395"/>
      <c r="LPI11" s="394"/>
      <c r="LPJ11" s="394"/>
      <c r="LPK11" s="394"/>
      <c r="LPL11" s="394"/>
      <c r="LPM11" s="394"/>
      <c r="LPN11" s="394"/>
      <c r="LPO11" s="394"/>
      <c r="LPP11" s="395"/>
      <c r="LPQ11" s="394"/>
      <c r="LPR11" s="394"/>
      <c r="LPS11" s="394"/>
      <c r="LPT11" s="394"/>
      <c r="LPU11" s="394"/>
      <c r="LPV11" s="394"/>
      <c r="LPW11" s="394"/>
      <c r="LPX11" s="395"/>
      <c r="LPY11" s="394"/>
      <c r="LPZ11" s="394"/>
      <c r="LQA11" s="394"/>
      <c r="LQB11" s="394"/>
      <c r="LQC11" s="394"/>
      <c r="LQD11" s="394"/>
      <c r="LQE11" s="394"/>
      <c r="LQF11" s="395"/>
      <c r="LQG11" s="394"/>
      <c r="LQH11" s="394"/>
      <c r="LQI11" s="394"/>
      <c r="LQJ11" s="394"/>
      <c r="LQK11" s="394"/>
      <c r="LQL11" s="394"/>
      <c r="LQM11" s="394"/>
      <c r="LQN11" s="395"/>
      <c r="LQO11" s="394"/>
      <c r="LQP11" s="394"/>
      <c r="LQQ11" s="394"/>
      <c r="LQR11" s="394"/>
      <c r="LQS11" s="394"/>
      <c r="LQT11" s="394"/>
      <c r="LQU11" s="394"/>
      <c r="LQV11" s="395"/>
      <c r="LQW11" s="394"/>
      <c r="LQX11" s="394"/>
      <c r="LQY11" s="394"/>
      <c r="LQZ11" s="394"/>
      <c r="LRA11" s="394"/>
      <c r="LRB11" s="394"/>
      <c r="LRC11" s="394"/>
      <c r="LRD11" s="395"/>
      <c r="LRE11" s="394"/>
      <c r="LRF11" s="394"/>
      <c r="LRG11" s="394"/>
      <c r="LRH11" s="394"/>
      <c r="LRI11" s="394"/>
      <c r="LRJ11" s="394"/>
      <c r="LRK11" s="394"/>
      <c r="LRL11" s="395"/>
      <c r="LRM11" s="394"/>
      <c r="LRN11" s="394"/>
      <c r="LRO11" s="394"/>
      <c r="LRP11" s="394"/>
      <c r="LRQ11" s="394"/>
      <c r="LRR11" s="394"/>
      <c r="LRS11" s="394"/>
      <c r="LRT11" s="395"/>
      <c r="LRU11" s="394"/>
      <c r="LRV11" s="394"/>
      <c r="LRW11" s="394"/>
      <c r="LRX11" s="394"/>
      <c r="LRY11" s="394"/>
      <c r="LRZ11" s="394"/>
      <c r="LSA11" s="394"/>
      <c r="LSB11" s="395"/>
      <c r="LSC11" s="394"/>
      <c r="LSD11" s="394"/>
      <c r="LSE11" s="394"/>
      <c r="LSF11" s="394"/>
      <c r="LSG11" s="394"/>
      <c r="LSH11" s="394"/>
      <c r="LSI11" s="394"/>
      <c r="LSJ11" s="395"/>
      <c r="LSK11" s="394"/>
      <c r="LSL11" s="394"/>
      <c r="LSM11" s="394"/>
      <c r="LSN11" s="394"/>
      <c r="LSO11" s="394"/>
      <c r="LSP11" s="394"/>
      <c r="LSQ11" s="394"/>
      <c r="LSR11" s="395"/>
      <c r="LSS11" s="394"/>
      <c r="LST11" s="394"/>
      <c r="LSU11" s="394"/>
      <c r="LSV11" s="394"/>
      <c r="LSW11" s="394"/>
      <c r="LSX11" s="394"/>
      <c r="LSY11" s="394"/>
      <c r="LSZ11" s="395"/>
      <c r="LTA11" s="394"/>
      <c r="LTB11" s="394"/>
      <c r="LTC11" s="394"/>
      <c r="LTD11" s="394"/>
      <c r="LTE11" s="394"/>
      <c r="LTF11" s="394"/>
      <c r="LTG11" s="394"/>
      <c r="LTH11" s="395"/>
      <c r="LTI11" s="394"/>
      <c r="LTJ11" s="394"/>
      <c r="LTK11" s="394"/>
      <c r="LTL11" s="394"/>
      <c r="LTM11" s="394"/>
      <c r="LTN11" s="394"/>
      <c r="LTO11" s="394"/>
      <c r="LTP11" s="395"/>
      <c r="LTQ11" s="394"/>
      <c r="LTR11" s="394"/>
      <c r="LTS11" s="394"/>
      <c r="LTT11" s="394"/>
      <c r="LTU11" s="394"/>
      <c r="LTV11" s="394"/>
      <c r="LTW11" s="394"/>
      <c r="LTX11" s="395"/>
      <c r="LTY11" s="394"/>
      <c r="LTZ11" s="394"/>
      <c r="LUA11" s="394"/>
      <c r="LUB11" s="394"/>
      <c r="LUC11" s="394"/>
      <c r="LUD11" s="394"/>
      <c r="LUE11" s="394"/>
      <c r="LUF11" s="395"/>
      <c r="LUG11" s="394"/>
      <c r="LUH11" s="394"/>
      <c r="LUI11" s="394"/>
      <c r="LUJ11" s="394"/>
      <c r="LUK11" s="394"/>
      <c r="LUL11" s="394"/>
      <c r="LUM11" s="394"/>
      <c r="LUN11" s="395"/>
      <c r="LUO11" s="394"/>
      <c r="LUP11" s="394"/>
      <c r="LUQ11" s="394"/>
      <c r="LUR11" s="394"/>
      <c r="LUS11" s="394"/>
      <c r="LUT11" s="394"/>
      <c r="LUU11" s="394"/>
      <c r="LUV11" s="395"/>
      <c r="LUW11" s="394"/>
      <c r="LUX11" s="394"/>
      <c r="LUY11" s="394"/>
      <c r="LUZ11" s="394"/>
      <c r="LVA11" s="394"/>
      <c r="LVB11" s="394"/>
      <c r="LVC11" s="394"/>
      <c r="LVD11" s="395"/>
      <c r="LVE11" s="394"/>
      <c r="LVF11" s="394"/>
      <c r="LVG11" s="394"/>
      <c r="LVH11" s="394"/>
      <c r="LVI11" s="394"/>
      <c r="LVJ11" s="394"/>
      <c r="LVK11" s="394"/>
      <c r="LVL11" s="395"/>
      <c r="LVM11" s="394"/>
      <c r="LVN11" s="394"/>
      <c r="LVO11" s="394"/>
      <c r="LVP11" s="394"/>
      <c r="LVQ11" s="394"/>
      <c r="LVR11" s="394"/>
      <c r="LVS11" s="394"/>
      <c r="LVT11" s="395"/>
      <c r="LVU11" s="394"/>
      <c r="LVV11" s="394"/>
      <c r="LVW11" s="394"/>
      <c r="LVX11" s="394"/>
      <c r="LVY11" s="394"/>
      <c r="LVZ11" s="394"/>
      <c r="LWA11" s="394"/>
      <c r="LWB11" s="395"/>
      <c r="LWC11" s="394"/>
      <c r="LWD11" s="394"/>
      <c r="LWE11" s="394"/>
      <c r="LWF11" s="394"/>
      <c r="LWG11" s="394"/>
      <c r="LWH11" s="394"/>
      <c r="LWI11" s="394"/>
      <c r="LWJ11" s="395"/>
      <c r="LWK11" s="394"/>
      <c r="LWL11" s="394"/>
      <c r="LWM11" s="394"/>
      <c r="LWN11" s="394"/>
      <c r="LWO11" s="394"/>
      <c r="LWP11" s="394"/>
      <c r="LWQ11" s="394"/>
      <c r="LWR11" s="395"/>
      <c r="LWS11" s="394"/>
      <c r="LWT11" s="394"/>
      <c r="LWU11" s="394"/>
      <c r="LWV11" s="394"/>
      <c r="LWW11" s="394"/>
      <c r="LWX11" s="394"/>
      <c r="LWY11" s="394"/>
      <c r="LWZ11" s="395"/>
      <c r="LXA11" s="394"/>
      <c r="LXB11" s="394"/>
      <c r="LXC11" s="394"/>
      <c r="LXD11" s="394"/>
      <c r="LXE11" s="394"/>
      <c r="LXF11" s="394"/>
      <c r="LXG11" s="394"/>
      <c r="LXH11" s="395"/>
      <c r="LXI11" s="394"/>
      <c r="LXJ11" s="394"/>
      <c r="LXK11" s="394"/>
      <c r="LXL11" s="394"/>
      <c r="LXM11" s="394"/>
      <c r="LXN11" s="394"/>
      <c r="LXO11" s="394"/>
      <c r="LXP11" s="395"/>
      <c r="LXQ11" s="394"/>
      <c r="LXR11" s="394"/>
      <c r="LXS11" s="394"/>
      <c r="LXT11" s="394"/>
      <c r="LXU11" s="394"/>
      <c r="LXV11" s="394"/>
      <c r="LXW11" s="394"/>
      <c r="LXX11" s="395"/>
      <c r="LXY11" s="394"/>
      <c r="LXZ11" s="394"/>
      <c r="LYA11" s="394"/>
      <c r="LYB11" s="394"/>
      <c r="LYC11" s="394"/>
      <c r="LYD11" s="394"/>
      <c r="LYE11" s="394"/>
      <c r="LYF11" s="395"/>
      <c r="LYG11" s="394"/>
      <c r="LYH11" s="394"/>
      <c r="LYI11" s="394"/>
      <c r="LYJ11" s="394"/>
      <c r="LYK11" s="394"/>
      <c r="LYL11" s="394"/>
      <c r="LYM11" s="394"/>
      <c r="LYN11" s="395"/>
      <c r="LYO11" s="394"/>
      <c r="LYP11" s="394"/>
      <c r="LYQ11" s="394"/>
      <c r="LYR11" s="394"/>
      <c r="LYS11" s="394"/>
      <c r="LYT11" s="394"/>
      <c r="LYU11" s="394"/>
      <c r="LYV11" s="395"/>
      <c r="LYW11" s="394"/>
      <c r="LYX11" s="394"/>
      <c r="LYY11" s="394"/>
      <c r="LYZ11" s="394"/>
      <c r="LZA11" s="394"/>
      <c r="LZB11" s="394"/>
      <c r="LZC11" s="394"/>
      <c r="LZD11" s="395"/>
      <c r="LZE11" s="394"/>
      <c r="LZF11" s="394"/>
      <c r="LZG11" s="394"/>
      <c r="LZH11" s="394"/>
      <c r="LZI11" s="394"/>
      <c r="LZJ11" s="394"/>
      <c r="LZK11" s="394"/>
      <c r="LZL11" s="395"/>
      <c r="LZM11" s="394"/>
      <c r="LZN11" s="394"/>
      <c r="LZO11" s="394"/>
      <c r="LZP11" s="394"/>
      <c r="LZQ11" s="394"/>
      <c r="LZR11" s="394"/>
      <c r="LZS11" s="394"/>
      <c r="LZT11" s="395"/>
      <c r="LZU11" s="394"/>
      <c r="LZV11" s="394"/>
      <c r="LZW11" s="394"/>
      <c r="LZX11" s="394"/>
      <c r="LZY11" s="394"/>
      <c r="LZZ11" s="394"/>
      <c r="MAA11" s="394"/>
      <c r="MAB11" s="395"/>
      <c r="MAC11" s="394"/>
      <c r="MAD11" s="394"/>
      <c r="MAE11" s="394"/>
      <c r="MAF11" s="394"/>
      <c r="MAG11" s="394"/>
      <c r="MAH11" s="394"/>
      <c r="MAI11" s="394"/>
      <c r="MAJ11" s="395"/>
      <c r="MAK11" s="394"/>
      <c r="MAL11" s="394"/>
      <c r="MAM11" s="394"/>
      <c r="MAN11" s="394"/>
      <c r="MAO11" s="394"/>
      <c r="MAP11" s="394"/>
      <c r="MAQ11" s="394"/>
      <c r="MAR11" s="395"/>
      <c r="MAS11" s="394"/>
      <c r="MAT11" s="394"/>
      <c r="MAU11" s="394"/>
      <c r="MAV11" s="394"/>
      <c r="MAW11" s="394"/>
      <c r="MAX11" s="394"/>
      <c r="MAY11" s="394"/>
      <c r="MAZ11" s="395"/>
      <c r="MBA11" s="394"/>
      <c r="MBB11" s="394"/>
      <c r="MBC11" s="394"/>
      <c r="MBD11" s="394"/>
      <c r="MBE11" s="394"/>
      <c r="MBF11" s="394"/>
      <c r="MBG11" s="394"/>
      <c r="MBH11" s="395"/>
      <c r="MBI11" s="394"/>
      <c r="MBJ11" s="394"/>
      <c r="MBK11" s="394"/>
      <c r="MBL11" s="394"/>
      <c r="MBM11" s="394"/>
      <c r="MBN11" s="394"/>
      <c r="MBO11" s="394"/>
      <c r="MBP11" s="395"/>
      <c r="MBQ11" s="394"/>
      <c r="MBR11" s="394"/>
      <c r="MBS11" s="394"/>
      <c r="MBT11" s="394"/>
      <c r="MBU11" s="394"/>
      <c r="MBV11" s="394"/>
      <c r="MBW11" s="394"/>
      <c r="MBX11" s="395"/>
      <c r="MBY11" s="394"/>
      <c r="MBZ11" s="394"/>
      <c r="MCA11" s="394"/>
      <c r="MCB11" s="394"/>
      <c r="MCC11" s="394"/>
      <c r="MCD11" s="394"/>
      <c r="MCE11" s="394"/>
      <c r="MCF11" s="395"/>
      <c r="MCG11" s="394"/>
      <c r="MCH11" s="394"/>
      <c r="MCI11" s="394"/>
      <c r="MCJ11" s="394"/>
      <c r="MCK11" s="394"/>
      <c r="MCL11" s="394"/>
      <c r="MCM11" s="394"/>
      <c r="MCN11" s="395"/>
      <c r="MCO11" s="394"/>
      <c r="MCP11" s="394"/>
      <c r="MCQ11" s="394"/>
      <c r="MCR11" s="394"/>
      <c r="MCS11" s="394"/>
      <c r="MCT11" s="394"/>
      <c r="MCU11" s="394"/>
      <c r="MCV11" s="395"/>
      <c r="MCW11" s="394"/>
      <c r="MCX11" s="394"/>
      <c r="MCY11" s="394"/>
      <c r="MCZ11" s="394"/>
      <c r="MDA11" s="394"/>
      <c r="MDB11" s="394"/>
      <c r="MDC11" s="394"/>
      <c r="MDD11" s="395"/>
      <c r="MDE11" s="394"/>
      <c r="MDF11" s="394"/>
      <c r="MDG11" s="394"/>
      <c r="MDH11" s="394"/>
      <c r="MDI11" s="394"/>
      <c r="MDJ11" s="394"/>
      <c r="MDK11" s="394"/>
      <c r="MDL11" s="395"/>
      <c r="MDM11" s="394"/>
      <c r="MDN11" s="394"/>
      <c r="MDO11" s="394"/>
      <c r="MDP11" s="394"/>
      <c r="MDQ11" s="394"/>
      <c r="MDR11" s="394"/>
      <c r="MDS11" s="394"/>
      <c r="MDT11" s="395"/>
      <c r="MDU11" s="394"/>
      <c r="MDV11" s="394"/>
      <c r="MDW11" s="394"/>
      <c r="MDX11" s="394"/>
      <c r="MDY11" s="394"/>
      <c r="MDZ11" s="394"/>
      <c r="MEA11" s="394"/>
      <c r="MEB11" s="395"/>
      <c r="MEC11" s="394"/>
      <c r="MED11" s="394"/>
      <c r="MEE11" s="394"/>
      <c r="MEF11" s="394"/>
      <c r="MEG11" s="394"/>
      <c r="MEH11" s="394"/>
      <c r="MEI11" s="394"/>
      <c r="MEJ11" s="395"/>
      <c r="MEK11" s="394"/>
      <c r="MEL11" s="394"/>
      <c r="MEM11" s="394"/>
      <c r="MEN11" s="394"/>
      <c r="MEO11" s="394"/>
      <c r="MEP11" s="394"/>
      <c r="MEQ11" s="394"/>
      <c r="MER11" s="395"/>
      <c r="MES11" s="394"/>
      <c r="MET11" s="394"/>
      <c r="MEU11" s="394"/>
      <c r="MEV11" s="394"/>
      <c r="MEW11" s="394"/>
      <c r="MEX11" s="394"/>
      <c r="MEY11" s="394"/>
      <c r="MEZ11" s="395"/>
      <c r="MFA11" s="394"/>
      <c r="MFB11" s="394"/>
      <c r="MFC11" s="394"/>
      <c r="MFD11" s="394"/>
      <c r="MFE11" s="394"/>
      <c r="MFF11" s="394"/>
      <c r="MFG11" s="394"/>
      <c r="MFH11" s="395"/>
      <c r="MFI11" s="394"/>
      <c r="MFJ11" s="394"/>
      <c r="MFK11" s="394"/>
      <c r="MFL11" s="394"/>
      <c r="MFM11" s="394"/>
      <c r="MFN11" s="394"/>
      <c r="MFO11" s="394"/>
      <c r="MFP11" s="395"/>
      <c r="MFQ11" s="394"/>
      <c r="MFR11" s="394"/>
      <c r="MFS11" s="394"/>
      <c r="MFT11" s="394"/>
      <c r="MFU11" s="394"/>
      <c r="MFV11" s="394"/>
      <c r="MFW11" s="394"/>
      <c r="MFX11" s="395"/>
      <c r="MFY11" s="394"/>
      <c r="MFZ11" s="394"/>
      <c r="MGA11" s="394"/>
      <c r="MGB11" s="394"/>
      <c r="MGC11" s="394"/>
      <c r="MGD11" s="394"/>
      <c r="MGE11" s="394"/>
      <c r="MGF11" s="395"/>
      <c r="MGG11" s="394"/>
      <c r="MGH11" s="394"/>
      <c r="MGI11" s="394"/>
      <c r="MGJ11" s="394"/>
      <c r="MGK11" s="394"/>
      <c r="MGL11" s="394"/>
      <c r="MGM11" s="394"/>
      <c r="MGN11" s="395"/>
      <c r="MGO11" s="394"/>
      <c r="MGP11" s="394"/>
      <c r="MGQ11" s="394"/>
      <c r="MGR11" s="394"/>
      <c r="MGS11" s="394"/>
      <c r="MGT11" s="394"/>
      <c r="MGU11" s="394"/>
      <c r="MGV11" s="395"/>
      <c r="MGW11" s="394"/>
      <c r="MGX11" s="394"/>
      <c r="MGY11" s="394"/>
      <c r="MGZ11" s="394"/>
      <c r="MHA11" s="394"/>
      <c r="MHB11" s="394"/>
      <c r="MHC11" s="394"/>
      <c r="MHD11" s="395"/>
      <c r="MHE11" s="394"/>
      <c r="MHF11" s="394"/>
      <c r="MHG11" s="394"/>
      <c r="MHH11" s="394"/>
      <c r="MHI11" s="394"/>
      <c r="MHJ11" s="394"/>
      <c r="MHK11" s="394"/>
      <c r="MHL11" s="395"/>
      <c r="MHM11" s="394"/>
      <c r="MHN11" s="394"/>
      <c r="MHO11" s="394"/>
      <c r="MHP11" s="394"/>
      <c r="MHQ11" s="394"/>
      <c r="MHR11" s="394"/>
      <c r="MHS11" s="394"/>
      <c r="MHT11" s="395"/>
      <c r="MHU11" s="394"/>
      <c r="MHV11" s="394"/>
      <c r="MHW11" s="394"/>
      <c r="MHX11" s="394"/>
      <c r="MHY11" s="394"/>
      <c r="MHZ11" s="394"/>
      <c r="MIA11" s="394"/>
      <c r="MIB11" s="395"/>
      <c r="MIC11" s="394"/>
      <c r="MID11" s="394"/>
      <c r="MIE11" s="394"/>
      <c r="MIF11" s="394"/>
      <c r="MIG11" s="394"/>
      <c r="MIH11" s="394"/>
      <c r="MII11" s="394"/>
      <c r="MIJ11" s="395"/>
      <c r="MIK11" s="394"/>
      <c r="MIL11" s="394"/>
      <c r="MIM11" s="394"/>
      <c r="MIN11" s="394"/>
      <c r="MIO11" s="394"/>
      <c r="MIP11" s="394"/>
      <c r="MIQ11" s="394"/>
      <c r="MIR11" s="395"/>
      <c r="MIS11" s="394"/>
      <c r="MIT11" s="394"/>
      <c r="MIU11" s="394"/>
      <c r="MIV11" s="394"/>
      <c r="MIW11" s="394"/>
      <c r="MIX11" s="394"/>
      <c r="MIY11" s="394"/>
      <c r="MIZ11" s="395"/>
      <c r="MJA11" s="394"/>
      <c r="MJB11" s="394"/>
      <c r="MJC11" s="394"/>
      <c r="MJD11" s="394"/>
      <c r="MJE11" s="394"/>
      <c r="MJF11" s="394"/>
      <c r="MJG11" s="394"/>
      <c r="MJH11" s="395"/>
      <c r="MJI11" s="394"/>
      <c r="MJJ11" s="394"/>
      <c r="MJK11" s="394"/>
      <c r="MJL11" s="394"/>
      <c r="MJM11" s="394"/>
      <c r="MJN11" s="394"/>
      <c r="MJO11" s="394"/>
      <c r="MJP11" s="395"/>
      <c r="MJQ11" s="394"/>
      <c r="MJR11" s="394"/>
      <c r="MJS11" s="394"/>
      <c r="MJT11" s="394"/>
      <c r="MJU11" s="394"/>
      <c r="MJV11" s="394"/>
      <c r="MJW11" s="394"/>
      <c r="MJX11" s="395"/>
      <c r="MJY11" s="394"/>
      <c r="MJZ11" s="394"/>
      <c r="MKA11" s="394"/>
      <c r="MKB11" s="394"/>
      <c r="MKC11" s="394"/>
      <c r="MKD11" s="394"/>
      <c r="MKE11" s="394"/>
      <c r="MKF11" s="395"/>
      <c r="MKG11" s="394"/>
      <c r="MKH11" s="394"/>
      <c r="MKI11" s="394"/>
      <c r="MKJ11" s="394"/>
      <c r="MKK11" s="394"/>
      <c r="MKL11" s="394"/>
      <c r="MKM11" s="394"/>
      <c r="MKN11" s="395"/>
      <c r="MKO11" s="394"/>
      <c r="MKP11" s="394"/>
      <c r="MKQ11" s="394"/>
      <c r="MKR11" s="394"/>
      <c r="MKS11" s="394"/>
      <c r="MKT11" s="394"/>
      <c r="MKU11" s="394"/>
      <c r="MKV11" s="395"/>
      <c r="MKW11" s="394"/>
      <c r="MKX11" s="394"/>
      <c r="MKY11" s="394"/>
      <c r="MKZ11" s="394"/>
      <c r="MLA11" s="394"/>
      <c r="MLB11" s="394"/>
      <c r="MLC11" s="394"/>
      <c r="MLD11" s="395"/>
      <c r="MLE11" s="394"/>
      <c r="MLF11" s="394"/>
      <c r="MLG11" s="394"/>
      <c r="MLH11" s="394"/>
      <c r="MLI11" s="394"/>
      <c r="MLJ11" s="394"/>
      <c r="MLK11" s="394"/>
      <c r="MLL11" s="395"/>
      <c r="MLM11" s="394"/>
      <c r="MLN11" s="394"/>
      <c r="MLO11" s="394"/>
      <c r="MLP11" s="394"/>
      <c r="MLQ11" s="394"/>
      <c r="MLR11" s="394"/>
      <c r="MLS11" s="394"/>
      <c r="MLT11" s="395"/>
      <c r="MLU11" s="394"/>
      <c r="MLV11" s="394"/>
      <c r="MLW11" s="394"/>
      <c r="MLX11" s="394"/>
      <c r="MLY11" s="394"/>
      <c r="MLZ11" s="394"/>
      <c r="MMA11" s="394"/>
      <c r="MMB11" s="395"/>
      <c r="MMC11" s="394"/>
      <c r="MMD11" s="394"/>
      <c r="MME11" s="394"/>
      <c r="MMF11" s="394"/>
      <c r="MMG11" s="394"/>
      <c r="MMH11" s="394"/>
      <c r="MMI11" s="394"/>
      <c r="MMJ11" s="395"/>
      <c r="MMK11" s="394"/>
      <c r="MML11" s="394"/>
      <c r="MMM11" s="394"/>
      <c r="MMN11" s="394"/>
      <c r="MMO11" s="394"/>
      <c r="MMP11" s="394"/>
      <c r="MMQ11" s="394"/>
      <c r="MMR11" s="395"/>
      <c r="MMS11" s="394"/>
      <c r="MMT11" s="394"/>
      <c r="MMU11" s="394"/>
      <c r="MMV11" s="394"/>
      <c r="MMW11" s="394"/>
      <c r="MMX11" s="394"/>
      <c r="MMY11" s="394"/>
      <c r="MMZ11" s="395"/>
      <c r="MNA11" s="394"/>
      <c r="MNB11" s="394"/>
      <c r="MNC11" s="394"/>
      <c r="MND11" s="394"/>
      <c r="MNE11" s="394"/>
      <c r="MNF11" s="394"/>
      <c r="MNG11" s="394"/>
      <c r="MNH11" s="395"/>
      <c r="MNI11" s="394"/>
      <c r="MNJ11" s="394"/>
      <c r="MNK11" s="394"/>
      <c r="MNL11" s="394"/>
      <c r="MNM11" s="394"/>
      <c r="MNN11" s="394"/>
      <c r="MNO11" s="394"/>
      <c r="MNP11" s="395"/>
      <c r="MNQ11" s="394"/>
      <c r="MNR11" s="394"/>
      <c r="MNS11" s="394"/>
      <c r="MNT11" s="394"/>
      <c r="MNU11" s="394"/>
      <c r="MNV11" s="394"/>
      <c r="MNW11" s="394"/>
      <c r="MNX11" s="395"/>
      <c r="MNY11" s="394"/>
      <c r="MNZ11" s="394"/>
      <c r="MOA11" s="394"/>
      <c r="MOB11" s="394"/>
      <c r="MOC11" s="394"/>
      <c r="MOD11" s="394"/>
      <c r="MOE11" s="394"/>
      <c r="MOF11" s="395"/>
      <c r="MOG11" s="394"/>
      <c r="MOH11" s="394"/>
      <c r="MOI11" s="394"/>
      <c r="MOJ11" s="394"/>
      <c r="MOK11" s="394"/>
      <c r="MOL11" s="394"/>
      <c r="MOM11" s="394"/>
      <c r="MON11" s="395"/>
      <c r="MOO11" s="394"/>
      <c r="MOP11" s="394"/>
      <c r="MOQ11" s="394"/>
      <c r="MOR11" s="394"/>
      <c r="MOS11" s="394"/>
      <c r="MOT11" s="394"/>
      <c r="MOU11" s="394"/>
      <c r="MOV11" s="395"/>
      <c r="MOW11" s="394"/>
      <c r="MOX11" s="394"/>
      <c r="MOY11" s="394"/>
      <c r="MOZ11" s="394"/>
      <c r="MPA11" s="394"/>
      <c r="MPB11" s="394"/>
      <c r="MPC11" s="394"/>
      <c r="MPD11" s="395"/>
      <c r="MPE11" s="394"/>
      <c r="MPF11" s="394"/>
      <c r="MPG11" s="394"/>
      <c r="MPH11" s="394"/>
      <c r="MPI11" s="394"/>
      <c r="MPJ11" s="394"/>
      <c r="MPK11" s="394"/>
      <c r="MPL11" s="395"/>
      <c r="MPM11" s="394"/>
      <c r="MPN11" s="394"/>
      <c r="MPO11" s="394"/>
      <c r="MPP11" s="394"/>
      <c r="MPQ11" s="394"/>
      <c r="MPR11" s="394"/>
      <c r="MPS11" s="394"/>
      <c r="MPT11" s="395"/>
      <c r="MPU11" s="394"/>
      <c r="MPV11" s="394"/>
      <c r="MPW11" s="394"/>
      <c r="MPX11" s="394"/>
      <c r="MPY11" s="394"/>
      <c r="MPZ11" s="394"/>
      <c r="MQA11" s="394"/>
      <c r="MQB11" s="395"/>
      <c r="MQC11" s="394"/>
      <c r="MQD11" s="394"/>
      <c r="MQE11" s="394"/>
      <c r="MQF11" s="394"/>
      <c r="MQG11" s="394"/>
      <c r="MQH11" s="394"/>
      <c r="MQI11" s="394"/>
      <c r="MQJ11" s="395"/>
      <c r="MQK11" s="394"/>
      <c r="MQL11" s="394"/>
      <c r="MQM11" s="394"/>
      <c r="MQN11" s="394"/>
      <c r="MQO11" s="394"/>
      <c r="MQP11" s="394"/>
      <c r="MQQ11" s="394"/>
      <c r="MQR11" s="395"/>
      <c r="MQS11" s="394"/>
      <c r="MQT11" s="394"/>
      <c r="MQU11" s="394"/>
      <c r="MQV11" s="394"/>
      <c r="MQW11" s="394"/>
      <c r="MQX11" s="394"/>
      <c r="MQY11" s="394"/>
      <c r="MQZ11" s="395"/>
      <c r="MRA11" s="394"/>
      <c r="MRB11" s="394"/>
      <c r="MRC11" s="394"/>
      <c r="MRD11" s="394"/>
      <c r="MRE11" s="394"/>
      <c r="MRF11" s="394"/>
      <c r="MRG11" s="394"/>
      <c r="MRH11" s="395"/>
      <c r="MRI11" s="394"/>
      <c r="MRJ11" s="394"/>
      <c r="MRK11" s="394"/>
      <c r="MRL11" s="394"/>
      <c r="MRM11" s="394"/>
      <c r="MRN11" s="394"/>
      <c r="MRO11" s="394"/>
      <c r="MRP11" s="395"/>
      <c r="MRQ11" s="394"/>
      <c r="MRR11" s="394"/>
      <c r="MRS11" s="394"/>
      <c r="MRT11" s="394"/>
      <c r="MRU11" s="394"/>
      <c r="MRV11" s="394"/>
      <c r="MRW11" s="394"/>
      <c r="MRX11" s="395"/>
      <c r="MRY11" s="394"/>
      <c r="MRZ11" s="394"/>
      <c r="MSA11" s="394"/>
      <c r="MSB11" s="394"/>
      <c r="MSC11" s="394"/>
      <c r="MSD11" s="394"/>
      <c r="MSE11" s="394"/>
      <c r="MSF11" s="395"/>
      <c r="MSG11" s="394"/>
      <c r="MSH11" s="394"/>
      <c r="MSI11" s="394"/>
      <c r="MSJ11" s="394"/>
      <c r="MSK11" s="394"/>
      <c r="MSL11" s="394"/>
      <c r="MSM11" s="394"/>
      <c r="MSN11" s="395"/>
      <c r="MSO11" s="394"/>
      <c r="MSP11" s="394"/>
      <c r="MSQ11" s="394"/>
      <c r="MSR11" s="394"/>
      <c r="MSS11" s="394"/>
      <c r="MST11" s="394"/>
      <c r="MSU11" s="394"/>
      <c r="MSV11" s="395"/>
      <c r="MSW11" s="394"/>
      <c r="MSX11" s="394"/>
      <c r="MSY11" s="394"/>
      <c r="MSZ11" s="394"/>
      <c r="MTA11" s="394"/>
      <c r="MTB11" s="394"/>
      <c r="MTC11" s="394"/>
      <c r="MTD11" s="395"/>
      <c r="MTE11" s="394"/>
      <c r="MTF11" s="394"/>
      <c r="MTG11" s="394"/>
      <c r="MTH11" s="394"/>
      <c r="MTI11" s="394"/>
      <c r="MTJ11" s="394"/>
      <c r="MTK11" s="394"/>
      <c r="MTL11" s="395"/>
      <c r="MTM11" s="394"/>
      <c r="MTN11" s="394"/>
      <c r="MTO11" s="394"/>
      <c r="MTP11" s="394"/>
      <c r="MTQ11" s="394"/>
      <c r="MTR11" s="394"/>
      <c r="MTS11" s="394"/>
      <c r="MTT11" s="395"/>
      <c r="MTU11" s="394"/>
      <c r="MTV11" s="394"/>
      <c r="MTW11" s="394"/>
      <c r="MTX11" s="394"/>
      <c r="MTY11" s="394"/>
      <c r="MTZ11" s="394"/>
      <c r="MUA11" s="394"/>
      <c r="MUB11" s="395"/>
      <c r="MUC11" s="394"/>
      <c r="MUD11" s="394"/>
      <c r="MUE11" s="394"/>
      <c r="MUF11" s="394"/>
      <c r="MUG11" s="394"/>
      <c r="MUH11" s="394"/>
      <c r="MUI11" s="394"/>
      <c r="MUJ11" s="395"/>
      <c r="MUK11" s="394"/>
      <c r="MUL11" s="394"/>
      <c r="MUM11" s="394"/>
      <c r="MUN11" s="394"/>
      <c r="MUO11" s="394"/>
      <c r="MUP11" s="394"/>
      <c r="MUQ11" s="394"/>
      <c r="MUR11" s="395"/>
      <c r="MUS11" s="394"/>
      <c r="MUT11" s="394"/>
      <c r="MUU11" s="394"/>
      <c r="MUV11" s="394"/>
      <c r="MUW11" s="394"/>
      <c r="MUX11" s="394"/>
      <c r="MUY11" s="394"/>
      <c r="MUZ11" s="395"/>
      <c r="MVA11" s="394"/>
      <c r="MVB11" s="394"/>
      <c r="MVC11" s="394"/>
      <c r="MVD11" s="394"/>
      <c r="MVE11" s="394"/>
      <c r="MVF11" s="394"/>
      <c r="MVG11" s="394"/>
      <c r="MVH11" s="395"/>
      <c r="MVI11" s="394"/>
      <c r="MVJ11" s="394"/>
      <c r="MVK11" s="394"/>
      <c r="MVL11" s="394"/>
      <c r="MVM11" s="394"/>
      <c r="MVN11" s="394"/>
      <c r="MVO11" s="394"/>
      <c r="MVP11" s="395"/>
      <c r="MVQ11" s="394"/>
      <c r="MVR11" s="394"/>
      <c r="MVS11" s="394"/>
      <c r="MVT11" s="394"/>
      <c r="MVU11" s="394"/>
      <c r="MVV11" s="394"/>
      <c r="MVW11" s="394"/>
      <c r="MVX11" s="395"/>
      <c r="MVY11" s="394"/>
      <c r="MVZ11" s="394"/>
      <c r="MWA11" s="394"/>
      <c r="MWB11" s="394"/>
      <c r="MWC11" s="394"/>
      <c r="MWD11" s="394"/>
      <c r="MWE11" s="394"/>
      <c r="MWF11" s="395"/>
      <c r="MWG11" s="394"/>
      <c r="MWH11" s="394"/>
      <c r="MWI11" s="394"/>
      <c r="MWJ11" s="394"/>
      <c r="MWK11" s="394"/>
      <c r="MWL11" s="394"/>
      <c r="MWM11" s="394"/>
      <c r="MWN11" s="395"/>
      <c r="MWO11" s="394"/>
      <c r="MWP11" s="394"/>
      <c r="MWQ11" s="394"/>
      <c r="MWR11" s="394"/>
      <c r="MWS11" s="394"/>
      <c r="MWT11" s="394"/>
      <c r="MWU11" s="394"/>
      <c r="MWV11" s="395"/>
      <c r="MWW11" s="394"/>
      <c r="MWX11" s="394"/>
      <c r="MWY11" s="394"/>
      <c r="MWZ11" s="394"/>
      <c r="MXA11" s="394"/>
      <c r="MXB11" s="394"/>
      <c r="MXC11" s="394"/>
      <c r="MXD11" s="395"/>
      <c r="MXE11" s="394"/>
      <c r="MXF11" s="394"/>
      <c r="MXG11" s="394"/>
      <c r="MXH11" s="394"/>
      <c r="MXI11" s="394"/>
      <c r="MXJ11" s="394"/>
      <c r="MXK11" s="394"/>
      <c r="MXL11" s="395"/>
      <c r="MXM11" s="394"/>
      <c r="MXN11" s="394"/>
      <c r="MXO11" s="394"/>
      <c r="MXP11" s="394"/>
      <c r="MXQ11" s="394"/>
      <c r="MXR11" s="394"/>
      <c r="MXS11" s="394"/>
      <c r="MXT11" s="395"/>
      <c r="MXU11" s="394"/>
      <c r="MXV11" s="394"/>
      <c r="MXW11" s="394"/>
      <c r="MXX11" s="394"/>
      <c r="MXY11" s="394"/>
      <c r="MXZ11" s="394"/>
      <c r="MYA11" s="394"/>
      <c r="MYB11" s="395"/>
      <c r="MYC11" s="394"/>
      <c r="MYD11" s="394"/>
      <c r="MYE11" s="394"/>
      <c r="MYF11" s="394"/>
      <c r="MYG11" s="394"/>
      <c r="MYH11" s="394"/>
      <c r="MYI11" s="394"/>
      <c r="MYJ11" s="395"/>
      <c r="MYK11" s="394"/>
      <c r="MYL11" s="394"/>
      <c r="MYM11" s="394"/>
      <c r="MYN11" s="394"/>
      <c r="MYO11" s="394"/>
      <c r="MYP11" s="394"/>
      <c r="MYQ11" s="394"/>
      <c r="MYR11" s="395"/>
      <c r="MYS11" s="394"/>
      <c r="MYT11" s="394"/>
      <c r="MYU11" s="394"/>
      <c r="MYV11" s="394"/>
      <c r="MYW11" s="394"/>
      <c r="MYX11" s="394"/>
      <c r="MYY11" s="394"/>
      <c r="MYZ11" s="395"/>
      <c r="MZA11" s="394"/>
      <c r="MZB11" s="394"/>
      <c r="MZC11" s="394"/>
      <c r="MZD11" s="394"/>
      <c r="MZE11" s="394"/>
      <c r="MZF11" s="394"/>
      <c r="MZG11" s="394"/>
      <c r="MZH11" s="395"/>
      <c r="MZI11" s="394"/>
      <c r="MZJ11" s="394"/>
      <c r="MZK11" s="394"/>
      <c r="MZL11" s="394"/>
      <c r="MZM11" s="394"/>
      <c r="MZN11" s="394"/>
      <c r="MZO11" s="394"/>
      <c r="MZP11" s="395"/>
      <c r="MZQ11" s="394"/>
      <c r="MZR11" s="394"/>
      <c r="MZS11" s="394"/>
      <c r="MZT11" s="394"/>
      <c r="MZU11" s="394"/>
      <c r="MZV11" s="394"/>
      <c r="MZW11" s="394"/>
      <c r="MZX11" s="395"/>
      <c r="MZY11" s="394"/>
      <c r="MZZ11" s="394"/>
      <c r="NAA11" s="394"/>
      <c r="NAB11" s="394"/>
      <c r="NAC11" s="394"/>
      <c r="NAD11" s="394"/>
      <c r="NAE11" s="394"/>
      <c r="NAF11" s="395"/>
      <c r="NAG11" s="394"/>
      <c r="NAH11" s="394"/>
      <c r="NAI11" s="394"/>
      <c r="NAJ11" s="394"/>
      <c r="NAK11" s="394"/>
      <c r="NAL11" s="394"/>
      <c r="NAM11" s="394"/>
      <c r="NAN11" s="395"/>
      <c r="NAO11" s="394"/>
      <c r="NAP11" s="394"/>
      <c r="NAQ11" s="394"/>
      <c r="NAR11" s="394"/>
      <c r="NAS11" s="394"/>
      <c r="NAT11" s="394"/>
      <c r="NAU11" s="394"/>
      <c r="NAV11" s="395"/>
      <c r="NAW11" s="394"/>
      <c r="NAX11" s="394"/>
      <c r="NAY11" s="394"/>
      <c r="NAZ11" s="394"/>
      <c r="NBA11" s="394"/>
      <c r="NBB11" s="394"/>
      <c r="NBC11" s="394"/>
      <c r="NBD11" s="395"/>
      <c r="NBE11" s="394"/>
      <c r="NBF11" s="394"/>
      <c r="NBG11" s="394"/>
      <c r="NBH11" s="394"/>
      <c r="NBI11" s="394"/>
      <c r="NBJ11" s="394"/>
      <c r="NBK11" s="394"/>
      <c r="NBL11" s="395"/>
      <c r="NBM11" s="394"/>
      <c r="NBN11" s="394"/>
      <c r="NBO11" s="394"/>
      <c r="NBP11" s="394"/>
      <c r="NBQ11" s="394"/>
      <c r="NBR11" s="394"/>
      <c r="NBS11" s="394"/>
      <c r="NBT11" s="395"/>
      <c r="NBU11" s="394"/>
      <c r="NBV11" s="394"/>
      <c r="NBW11" s="394"/>
      <c r="NBX11" s="394"/>
      <c r="NBY11" s="394"/>
      <c r="NBZ11" s="394"/>
      <c r="NCA11" s="394"/>
      <c r="NCB11" s="395"/>
      <c r="NCC11" s="394"/>
      <c r="NCD11" s="394"/>
      <c r="NCE11" s="394"/>
      <c r="NCF11" s="394"/>
      <c r="NCG11" s="394"/>
      <c r="NCH11" s="394"/>
      <c r="NCI11" s="394"/>
      <c r="NCJ11" s="395"/>
      <c r="NCK11" s="394"/>
      <c r="NCL11" s="394"/>
      <c r="NCM11" s="394"/>
      <c r="NCN11" s="394"/>
      <c r="NCO11" s="394"/>
      <c r="NCP11" s="394"/>
      <c r="NCQ11" s="394"/>
      <c r="NCR11" s="395"/>
      <c r="NCS11" s="394"/>
      <c r="NCT11" s="394"/>
      <c r="NCU11" s="394"/>
      <c r="NCV11" s="394"/>
      <c r="NCW11" s="394"/>
      <c r="NCX11" s="394"/>
      <c r="NCY11" s="394"/>
      <c r="NCZ11" s="395"/>
      <c r="NDA11" s="394"/>
      <c r="NDB11" s="394"/>
      <c r="NDC11" s="394"/>
      <c r="NDD11" s="394"/>
      <c r="NDE11" s="394"/>
      <c r="NDF11" s="394"/>
      <c r="NDG11" s="394"/>
      <c r="NDH11" s="395"/>
      <c r="NDI11" s="394"/>
      <c r="NDJ11" s="394"/>
      <c r="NDK11" s="394"/>
      <c r="NDL11" s="394"/>
      <c r="NDM11" s="394"/>
      <c r="NDN11" s="394"/>
      <c r="NDO11" s="394"/>
      <c r="NDP11" s="395"/>
      <c r="NDQ11" s="394"/>
      <c r="NDR11" s="394"/>
      <c r="NDS11" s="394"/>
      <c r="NDT11" s="394"/>
      <c r="NDU11" s="394"/>
      <c r="NDV11" s="394"/>
      <c r="NDW11" s="394"/>
      <c r="NDX11" s="395"/>
      <c r="NDY11" s="394"/>
      <c r="NDZ11" s="394"/>
      <c r="NEA11" s="394"/>
      <c r="NEB11" s="394"/>
      <c r="NEC11" s="394"/>
      <c r="NED11" s="394"/>
      <c r="NEE11" s="394"/>
      <c r="NEF11" s="395"/>
      <c r="NEG11" s="394"/>
      <c r="NEH11" s="394"/>
      <c r="NEI11" s="394"/>
      <c r="NEJ11" s="394"/>
      <c r="NEK11" s="394"/>
      <c r="NEL11" s="394"/>
      <c r="NEM11" s="394"/>
      <c r="NEN11" s="395"/>
      <c r="NEO11" s="394"/>
      <c r="NEP11" s="394"/>
      <c r="NEQ11" s="394"/>
      <c r="NER11" s="394"/>
      <c r="NES11" s="394"/>
      <c r="NET11" s="394"/>
      <c r="NEU11" s="394"/>
      <c r="NEV11" s="395"/>
      <c r="NEW11" s="394"/>
      <c r="NEX11" s="394"/>
      <c r="NEY11" s="394"/>
      <c r="NEZ11" s="394"/>
      <c r="NFA11" s="394"/>
      <c r="NFB11" s="394"/>
      <c r="NFC11" s="394"/>
      <c r="NFD11" s="395"/>
      <c r="NFE11" s="394"/>
      <c r="NFF11" s="394"/>
      <c r="NFG11" s="394"/>
      <c r="NFH11" s="394"/>
      <c r="NFI11" s="394"/>
      <c r="NFJ11" s="394"/>
      <c r="NFK11" s="394"/>
      <c r="NFL11" s="395"/>
      <c r="NFM11" s="394"/>
      <c r="NFN11" s="394"/>
      <c r="NFO11" s="394"/>
      <c r="NFP11" s="394"/>
      <c r="NFQ11" s="394"/>
      <c r="NFR11" s="394"/>
      <c r="NFS11" s="394"/>
      <c r="NFT11" s="395"/>
      <c r="NFU11" s="394"/>
      <c r="NFV11" s="394"/>
      <c r="NFW11" s="394"/>
      <c r="NFX11" s="394"/>
      <c r="NFY11" s="394"/>
      <c r="NFZ11" s="394"/>
      <c r="NGA11" s="394"/>
      <c r="NGB11" s="395"/>
      <c r="NGC11" s="394"/>
      <c r="NGD11" s="394"/>
      <c r="NGE11" s="394"/>
      <c r="NGF11" s="394"/>
      <c r="NGG11" s="394"/>
      <c r="NGH11" s="394"/>
      <c r="NGI11" s="394"/>
      <c r="NGJ11" s="395"/>
      <c r="NGK11" s="394"/>
      <c r="NGL11" s="394"/>
      <c r="NGM11" s="394"/>
      <c r="NGN11" s="394"/>
      <c r="NGO11" s="394"/>
      <c r="NGP11" s="394"/>
      <c r="NGQ11" s="394"/>
      <c r="NGR11" s="395"/>
      <c r="NGS11" s="394"/>
      <c r="NGT11" s="394"/>
      <c r="NGU11" s="394"/>
      <c r="NGV11" s="394"/>
      <c r="NGW11" s="394"/>
      <c r="NGX11" s="394"/>
      <c r="NGY11" s="394"/>
      <c r="NGZ11" s="395"/>
      <c r="NHA11" s="394"/>
      <c r="NHB11" s="394"/>
      <c r="NHC11" s="394"/>
      <c r="NHD11" s="394"/>
      <c r="NHE11" s="394"/>
      <c r="NHF11" s="394"/>
      <c r="NHG11" s="394"/>
      <c r="NHH11" s="395"/>
      <c r="NHI11" s="394"/>
      <c r="NHJ11" s="394"/>
      <c r="NHK11" s="394"/>
      <c r="NHL11" s="394"/>
      <c r="NHM11" s="394"/>
      <c r="NHN11" s="394"/>
      <c r="NHO11" s="394"/>
      <c r="NHP11" s="395"/>
      <c r="NHQ11" s="394"/>
      <c r="NHR11" s="394"/>
      <c r="NHS11" s="394"/>
      <c r="NHT11" s="394"/>
      <c r="NHU11" s="394"/>
      <c r="NHV11" s="394"/>
      <c r="NHW11" s="394"/>
      <c r="NHX11" s="395"/>
      <c r="NHY11" s="394"/>
      <c r="NHZ11" s="394"/>
      <c r="NIA11" s="394"/>
      <c r="NIB11" s="394"/>
      <c r="NIC11" s="394"/>
      <c r="NID11" s="394"/>
      <c r="NIE11" s="394"/>
      <c r="NIF11" s="395"/>
      <c r="NIG11" s="394"/>
      <c r="NIH11" s="394"/>
      <c r="NII11" s="394"/>
      <c r="NIJ11" s="394"/>
      <c r="NIK11" s="394"/>
      <c r="NIL11" s="394"/>
      <c r="NIM11" s="394"/>
      <c r="NIN11" s="395"/>
      <c r="NIO11" s="394"/>
      <c r="NIP11" s="394"/>
      <c r="NIQ11" s="394"/>
      <c r="NIR11" s="394"/>
      <c r="NIS11" s="394"/>
      <c r="NIT11" s="394"/>
      <c r="NIU11" s="394"/>
      <c r="NIV11" s="395"/>
      <c r="NIW11" s="394"/>
      <c r="NIX11" s="394"/>
      <c r="NIY11" s="394"/>
      <c r="NIZ11" s="394"/>
      <c r="NJA11" s="394"/>
      <c r="NJB11" s="394"/>
      <c r="NJC11" s="394"/>
      <c r="NJD11" s="395"/>
      <c r="NJE11" s="394"/>
      <c r="NJF11" s="394"/>
      <c r="NJG11" s="394"/>
      <c r="NJH11" s="394"/>
      <c r="NJI11" s="394"/>
      <c r="NJJ11" s="394"/>
      <c r="NJK11" s="394"/>
      <c r="NJL11" s="395"/>
      <c r="NJM11" s="394"/>
      <c r="NJN11" s="394"/>
      <c r="NJO11" s="394"/>
      <c r="NJP11" s="394"/>
      <c r="NJQ11" s="394"/>
      <c r="NJR11" s="394"/>
      <c r="NJS11" s="394"/>
      <c r="NJT11" s="395"/>
      <c r="NJU11" s="394"/>
      <c r="NJV11" s="394"/>
      <c r="NJW11" s="394"/>
      <c r="NJX11" s="394"/>
      <c r="NJY11" s="394"/>
      <c r="NJZ11" s="394"/>
      <c r="NKA11" s="394"/>
      <c r="NKB11" s="395"/>
      <c r="NKC11" s="394"/>
      <c r="NKD11" s="394"/>
      <c r="NKE11" s="394"/>
      <c r="NKF11" s="394"/>
      <c r="NKG11" s="394"/>
      <c r="NKH11" s="394"/>
      <c r="NKI11" s="394"/>
      <c r="NKJ11" s="395"/>
      <c r="NKK11" s="394"/>
      <c r="NKL11" s="394"/>
      <c r="NKM11" s="394"/>
      <c r="NKN11" s="394"/>
      <c r="NKO11" s="394"/>
      <c r="NKP11" s="394"/>
      <c r="NKQ11" s="394"/>
      <c r="NKR11" s="395"/>
      <c r="NKS11" s="394"/>
      <c r="NKT11" s="394"/>
      <c r="NKU11" s="394"/>
      <c r="NKV11" s="394"/>
      <c r="NKW11" s="394"/>
      <c r="NKX11" s="394"/>
      <c r="NKY11" s="394"/>
      <c r="NKZ11" s="395"/>
      <c r="NLA11" s="394"/>
      <c r="NLB11" s="394"/>
      <c r="NLC11" s="394"/>
      <c r="NLD11" s="394"/>
      <c r="NLE11" s="394"/>
      <c r="NLF11" s="394"/>
      <c r="NLG11" s="394"/>
      <c r="NLH11" s="395"/>
      <c r="NLI11" s="394"/>
      <c r="NLJ11" s="394"/>
      <c r="NLK11" s="394"/>
      <c r="NLL11" s="394"/>
      <c r="NLM11" s="394"/>
      <c r="NLN11" s="394"/>
      <c r="NLO11" s="394"/>
      <c r="NLP11" s="395"/>
      <c r="NLQ11" s="394"/>
      <c r="NLR11" s="394"/>
      <c r="NLS11" s="394"/>
      <c r="NLT11" s="394"/>
      <c r="NLU11" s="394"/>
      <c r="NLV11" s="394"/>
      <c r="NLW11" s="394"/>
      <c r="NLX11" s="395"/>
      <c r="NLY11" s="394"/>
      <c r="NLZ11" s="394"/>
      <c r="NMA11" s="394"/>
      <c r="NMB11" s="394"/>
      <c r="NMC11" s="394"/>
      <c r="NMD11" s="394"/>
      <c r="NME11" s="394"/>
      <c r="NMF11" s="395"/>
      <c r="NMG11" s="394"/>
      <c r="NMH11" s="394"/>
      <c r="NMI11" s="394"/>
      <c r="NMJ11" s="394"/>
      <c r="NMK11" s="394"/>
      <c r="NML11" s="394"/>
      <c r="NMM11" s="394"/>
      <c r="NMN11" s="395"/>
      <c r="NMO11" s="394"/>
      <c r="NMP11" s="394"/>
      <c r="NMQ11" s="394"/>
      <c r="NMR11" s="394"/>
      <c r="NMS11" s="394"/>
      <c r="NMT11" s="394"/>
      <c r="NMU11" s="394"/>
      <c r="NMV11" s="395"/>
      <c r="NMW11" s="394"/>
      <c r="NMX11" s="394"/>
      <c r="NMY11" s="394"/>
      <c r="NMZ11" s="394"/>
      <c r="NNA11" s="394"/>
      <c r="NNB11" s="394"/>
      <c r="NNC11" s="394"/>
      <c r="NND11" s="395"/>
      <c r="NNE11" s="394"/>
      <c r="NNF11" s="394"/>
      <c r="NNG11" s="394"/>
      <c r="NNH11" s="394"/>
      <c r="NNI11" s="394"/>
      <c r="NNJ11" s="394"/>
      <c r="NNK11" s="394"/>
      <c r="NNL11" s="395"/>
      <c r="NNM11" s="394"/>
      <c r="NNN11" s="394"/>
      <c r="NNO11" s="394"/>
      <c r="NNP11" s="394"/>
      <c r="NNQ11" s="394"/>
      <c r="NNR11" s="394"/>
      <c r="NNS11" s="394"/>
      <c r="NNT11" s="395"/>
      <c r="NNU11" s="394"/>
      <c r="NNV11" s="394"/>
      <c r="NNW11" s="394"/>
      <c r="NNX11" s="394"/>
      <c r="NNY11" s="394"/>
      <c r="NNZ11" s="394"/>
      <c r="NOA11" s="394"/>
      <c r="NOB11" s="395"/>
      <c r="NOC11" s="394"/>
      <c r="NOD11" s="394"/>
      <c r="NOE11" s="394"/>
      <c r="NOF11" s="394"/>
      <c r="NOG11" s="394"/>
      <c r="NOH11" s="394"/>
      <c r="NOI11" s="394"/>
      <c r="NOJ11" s="395"/>
      <c r="NOK11" s="394"/>
      <c r="NOL11" s="394"/>
      <c r="NOM11" s="394"/>
      <c r="NON11" s="394"/>
      <c r="NOO11" s="394"/>
      <c r="NOP11" s="394"/>
      <c r="NOQ11" s="394"/>
      <c r="NOR11" s="395"/>
      <c r="NOS11" s="394"/>
      <c r="NOT11" s="394"/>
      <c r="NOU11" s="394"/>
      <c r="NOV11" s="394"/>
      <c r="NOW11" s="394"/>
      <c r="NOX11" s="394"/>
      <c r="NOY11" s="394"/>
      <c r="NOZ11" s="395"/>
      <c r="NPA11" s="394"/>
      <c r="NPB11" s="394"/>
      <c r="NPC11" s="394"/>
      <c r="NPD11" s="394"/>
      <c r="NPE11" s="394"/>
      <c r="NPF11" s="394"/>
      <c r="NPG11" s="394"/>
      <c r="NPH11" s="395"/>
      <c r="NPI11" s="394"/>
      <c r="NPJ11" s="394"/>
      <c r="NPK11" s="394"/>
      <c r="NPL11" s="394"/>
      <c r="NPM11" s="394"/>
      <c r="NPN11" s="394"/>
      <c r="NPO11" s="394"/>
      <c r="NPP11" s="395"/>
      <c r="NPQ11" s="394"/>
      <c r="NPR11" s="394"/>
      <c r="NPS11" s="394"/>
      <c r="NPT11" s="394"/>
      <c r="NPU11" s="394"/>
      <c r="NPV11" s="394"/>
      <c r="NPW11" s="394"/>
      <c r="NPX11" s="395"/>
      <c r="NPY11" s="394"/>
      <c r="NPZ11" s="394"/>
      <c r="NQA11" s="394"/>
      <c r="NQB11" s="394"/>
      <c r="NQC11" s="394"/>
      <c r="NQD11" s="394"/>
      <c r="NQE11" s="394"/>
      <c r="NQF11" s="395"/>
      <c r="NQG11" s="394"/>
      <c r="NQH11" s="394"/>
      <c r="NQI11" s="394"/>
      <c r="NQJ11" s="394"/>
      <c r="NQK11" s="394"/>
      <c r="NQL11" s="394"/>
      <c r="NQM11" s="394"/>
      <c r="NQN11" s="395"/>
      <c r="NQO11" s="394"/>
      <c r="NQP11" s="394"/>
      <c r="NQQ11" s="394"/>
      <c r="NQR11" s="394"/>
      <c r="NQS11" s="394"/>
      <c r="NQT11" s="394"/>
      <c r="NQU11" s="394"/>
      <c r="NQV11" s="395"/>
      <c r="NQW11" s="394"/>
      <c r="NQX11" s="394"/>
      <c r="NQY11" s="394"/>
      <c r="NQZ11" s="394"/>
      <c r="NRA11" s="394"/>
      <c r="NRB11" s="394"/>
      <c r="NRC11" s="394"/>
      <c r="NRD11" s="395"/>
      <c r="NRE11" s="394"/>
      <c r="NRF11" s="394"/>
      <c r="NRG11" s="394"/>
      <c r="NRH11" s="394"/>
      <c r="NRI11" s="394"/>
      <c r="NRJ11" s="394"/>
      <c r="NRK11" s="394"/>
      <c r="NRL11" s="395"/>
      <c r="NRM11" s="394"/>
      <c r="NRN11" s="394"/>
      <c r="NRO11" s="394"/>
      <c r="NRP11" s="394"/>
      <c r="NRQ11" s="394"/>
      <c r="NRR11" s="394"/>
      <c r="NRS11" s="394"/>
      <c r="NRT11" s="395"/>
      <c r="NRU11" s="394"/>
      <c r="NRV11" s="394"/>
      <c r="NRW11" s="394"/>
      <c r="NRX11" s="394"/>
      <c r="NRY11" s="394"/>
      <c r="NRZ11" s="394"/>
      <c r="NSA11" s="394"/>
      <c r="NSB11" s="395"/>
      <c r="NSC11" s="394"/>
      <c r="NSD11" s="394"/>
      <c r="NSE11" s="394"/>
      <c r="NSF11" s="394"/>
      <c r="NSG11" s="394"/>
      <c r="NSH11" s="394"/>
      <c r="NSI11" s="394"/>
      <c r="NSJ11" s="395"/>
      <c r="NSK11" s="394"/>
      <c r="NSL11" s="394"/>
      <c r="NSM11" s="394"/>
      <c r="NSN11" s="394"/>
      <c r="NSO11" s="394"/>
      <c r="NSP11" s="394"/>
      <c r="NSQ11" s="394"/>
      <c r="NSR11" s="395"/>
      <c r="NSS11" s="394"/>
      <c r="NST11" s="394"/>
      <c r="NSU11" s="394"/>
      <c r="NSV11" s="394"/>
      <c r="NSW11" s="394"/>
      <c r="NSX11" s="394"/>
      <c r="NSY11" s="394"/>
      <c r="NSZ11" s="395"/>
      <c r="NTA11" s="394"/>
      <c r="NTB11" s="394"/>
      <c r="NTC11" s="394"/>
      <c r="NTD11" s="394"/>
      <c r="NTE11" s="394"/>
      <c r="NTF11" s="394"/>
      <c r="NTG11" s="394"/>
      <c r="NTH11" s="395"/>
      <c r="NTI11" s="394"/>
      <c r="NTJ11" s="394"/>
      <c r="NTK11" s="394"/>
      <c r="NTL11" s="394"/>
      <c r="NTM11" s="394"/>
      <c r="NTN11" s="394"/>
      <c r="NTO11" s="394"/>
      <c r="NTP11" s="395"/>
      <c r="NTQ11" s="394"/>
      <c r="NTR11" s="394"/>
      <c r="NTS11" s="394"/>
      <c r="NTT11" s="394"/>
      <c r="NTU11" s="394"/>
      <c r="NTV11" s="394"/>
      <c r="NTW11" s="394"/>
      <c r="NTX11" s="395"/>
      <c r="NTY11" s="394"/>
      <c r="NTZ11" s="394"/>
      <c r="NUA11" s="394"/>
      <c r="NUB11" s="394"/>
      <c r="NUC11" s="394"/>
      <c r="NUD11" s="394"/>
      <c r="NUE11" s="394"/>
      <c r="NUF11" s="395"/>
      <c r="NUG11" s="394"/>
      <c r="NUH11" s="394"/>
      <c r="NUI11" s="394"/>
      <c r="NUJ11" s="394"/>
      <c r="NUK11" s="394"/>
      <c r="NUL11" s="394"/>
      <c r="NUM11" s="394"/>
      <c r="NUN11" s="395"/>
      <c r="NUO11" s="394"/>
      <c r="NUP11" s="394"/>
      <c r="NUQ11" s="394"/>
      <c r="NUR11" s="394"/>
      <c r="NUS11" s="394"/>
      <c r="NUT11" s="394"/>
      <c r="NUU11" s="394"/>
      <c r="NUV11" s="395"/>
      <c r="NUW11" s="394"/>
      <c r="NUX11" s="394"/>
      <c r="NUY11" s="394"/>
      <c r="NUZ11" s="394"/>
      <c r="NVA11" s="394"/>
      <c r="NVB11" s="394"/>
      <c r="NVC11" s="394"/>
      <c r="NVD11" s="395"/>
      <c r="NVE11" s="394"/>
      <c r="NVF11" s="394"/>
      <c r="NVG11" s="394"/>
      <c r="NVH11" s="394"/>
      <c r="NVI11" s="394"/>
      <c r="NVJ11" s="394"/>
      <c r="NVK11" s="394"/>
      <c r="NVL11" s="395"/>
      <c r="NVM11" s="394"/>
      <c r="NVN11" s="394"/>
      <c r="NVO11" s="394"/>
      <c r="NVP11" s="394"/>
      <c r="NVQ11" s="394"/>
      <c r="NVR11" s="394"/>
      <c r="NVS11" s="394"/>
      <c r="NVT11" s="395"/>
      <c r="NVU11" s="394"/>
      <c r="NVV11" s="394"/>
      <c r="NVW11" s="394"/>
      <c r="NVX11" s="394"/>
      <c r="NVY11" s="394"/>
      <c r="NVZ11" s="394"/>
      <c r="NWA11" s="394"/>
      <c r="NWB11" s="395"/>
      <c r="NWC11" s="394"/>
      <c r="NWD11" s="394"/>
      <c r="NWE11" s="394"/>
      <c r="NWF11" s="394"/>
      <c r="NWG11" s="394"/>
      <c r="NWH11" s="394"/>
      <c r="NWI11" s="394"/>
      <c r="NWJ11" s="395"/>
      <c r="NWK11" s="394"/>
      <c r="NWL11" s="394"/>
      <c r="NWM11" s="394"/>
      <c r="NWN11" s="394"/>
      <c r="NWO11" s="394"/>
      <c r="NWP11" s="394"/>
      <c r="NWQ11" s="394"/>
      <c r="NWR11" s="395"/>
      <c r="NWS11" s="394"/>
      <c r="NWT11" s="394"/>
      <c r="NWU11" s="394"/>
      <c r="NWV11" s="394"/>
      <c r="NWW11" s="394"/>
      <c r="NWX11" s="394"/>
      <c r="NWY11" s="394"/>
      <c r="NWZ11" s="395"/>
      <c r="NXA11" s="394"/>
      <c r="NXB11" s="394"/>
      <c r="NXC11" s="394"/>
      <c r="NXD11" s="394"/>
      <c r="NXE11" s="394"/>
      <c r="NXF11" s="394"/>
      <c r="NXG11" s="394"/>
      <c r="NXH11" s="395"/>
      <c r="NXI11" s="394"/>
      <c r="NXJ11" s="394"/>
      <c r="NXK11" s="394"/>
      <c r="NXL11" s="394"/>
      <c r="NXM11" s="394"/>
      <c r="NXN11" s="394"/>
      <c r="NXO11" s="394"/>
      <c r="NXP11" s="395"/>
      <c r="NXQ11" s="394"/>
      <c r="NXR11" s="394"/>
      <c r="NXS11" s="394"/>
      <c r="NXT11" s="394"/>
      <c r="NXU11" s="394"/>
      <c r="NXV11" s="394"/>
      <c r="NXW11" s="394"/>
      <c r="NXX11" s="395"/>
      <c r="NXY11" s="394"/>
      <c r="NXZ11" s="394"/>
      <c r="NYA11" s="394"/>
      <c r="NYB11" s="394"/>
      <c r="NYC11" s="394"/>
      <c r="NYD11" s="394"/>
      <c r="NYE11" s="394"/>
      <c r="NYF11" s="395"/>
      <c r="NYG11" s="394"/>
      <c r="NYH11" s="394"/>
      <c r="NYI11" s="394"/>
      <c r="NYJ11" s="394"/>
      <c r="NYK11" s="394"/>
      <c r="NYL11" s="394"/>
      <c r="NYM11" s="394"/>
      <c r="NYN11" s="395"/>
      <c r="NYO11" s="394"/>
      <c r="NYP11" s="394"/>
      <c r="NYQ11" s="394"/>
      <c r="NYR11" s="394"/>
      <c r="NYS11" s="394"/>
      <c r="NYT11" s="394"/>
      <c r="NYU11" s="394"/>
      <c r="NYV11" s="395"/>
      <c r="NYW11" s="394"/>
      <c r="NYX11" s="394"/>
      <c r="NYY11" s="394"/>
      <c r="NYZ11" s="394"/>
      <c r="NZA11" s="394"/>
      <c r="NZB11" s="394"/>
      <c r="NZC11" s="394"/>
      <c r="NZD11" s="395"/>
      <c r="NZE11" s="394"/>
      <c r="NZF11" s="394"/>
      <c r="NZG11" s="394"/>
      <c r="NZH11" s="394"/>
      <c r="NZI11" s="394"/>
      <c r="NZJ11" s="394"/>
      <c r="NZK11" s="394"/>
      <c r="NZL11" s="395"/>
      <c r="NZM11" s="394"/>
      <c r="NZN11" s="394"/>
      <c r="NZO11" s="394"/>
      <c r="NZP11" s="394"/>
      <c r="NZQ11" s="394"/>
      <c r="NZR11" s="394"/>
      <c r="NZS11" s="394"/>
      <c r="NZT11" s="395"/>
      <c r="NZU11" s="394"/>
      <c r="NZV11" s="394"/>
      <c r="NZW11" s="394"/>
      <c r="NZX11" s="394"/>
      <c r="NZY11" s="394"/>
      <c r="NZZ11" s="394"/>
      <c r="OAA11" s="394"/>
      <c r="OAB11" s="395"/>
      <c r="OAC11" s="394"/>
      <c r="OAD11" s="394"/>
      <c r="OAE11" s="394"/>
      <c r="OAF11" s="394"/>
      <c r="OAG11" s="394"/>
      <c r="OAH11" s="394"/>
      <c r="OAI11" s="394"/>
      <c r="OAJ11" s="395"/>
      <c r="OAK11" s="394"/>
      <c r="OAL11" s="394"/>
      <c r="OAM11" s="394"/>
      <c r="OAN11" s="394"/>
      <c r="OAO11" s="394"/>
      <c r="OAP11" s="394"/>
      <c r="OAQ11" s="394"/>
      <c r="OAR11" s="395"/>
      <c r="OAS11" s="394"/>
      <c r="OAT11" s="394"/>
      <c r="OAU11" s="394"/>
      <c r="OAV11" s="394"/>
      <c r="OAW11" s="394"/>
      <c r="OAX11" s="394"/>
      <c r="OAY11" s="394"/>
      <c r="OAZ11" s="395"/>
      <c r="OBA11" s="394"/>
      <c r="OBB11" s="394"/>
      <c r="OBC11" s="394"/>
      <c r="OBD11" s="394"/>
      <c r="OBE11" s="394"/>
      <c r="OBF11" s="394"/>
      <c r="OBG11" s="394"/>
      <c r="OBH11" s="395"/>
      <c r="OBI11" s="394"/>
      <c r="OBJ11" s="394"/>
      <c r="OBK11" s="394"/>
      <c r="OBL11" s="394"/>
      <c r="OBM11" s="394"/>
      <c r="OBN11" s="394"/>
      <c r="OBO11" s="394"/>
      <c r="OBP11" s="395"/>
      <c r="OBQ11" s="394"/>
      <c r="OBR11" s="394"/>
      <c r="OBS11" s="394"/>
      <c r="OBT11" s="394"/>
      <c r="OBU11" s="394"/>
      <c r="OBV11" s="394"/>
      <c r="OBW11" s="394"/>
      <c r="OBX11" s="395"/>
      <c r="OBY11" s="394"/>
      <c r="OBZ11" s="394"/>
      <c r="OCA11" s="394"/>
      <c r="OCB11" s="394"/>
      <c r="OCC11" s="394"/>
      <c r="OCD11" s="394"/>
      <c r="OCE11" s="394"/>
      <c r="OCF11" s="395"/>
      <c r="OCG11" s="394"/>
      <c r="OCH11" s="394"/>
      <c r="OCI11" s="394"/>
      <c r="OCJ11" s="394"/>
      <c r="OCK11" s="394"/>
      <c r="OCL11" s="394"/>
      <c r="OCM11" s="394"/>
      <c r="OCN11" s="395"/>
      <c r="OCO11" s="394"/>
      <c r="OCP11" s="394"/>
      <c r="OCQ11" s="394"/>
      <c r="OCR11" s="394"/>
      <c r="OCS11" s="394"/>
      <c r="OCT11" s="394"/>
      <c r="OCU11" s="394"/>
      <c r="OCV11" s="395"/>
      <c r="OCW11" s="394"/>
      <c r="OCX11" s="394"/>
      <c r="OCY11" s="394"/>
      <c r="OCZ11" s="394"/>
      <c r="ODA11" s="394"/>
      <c r="ODB11" s="394"/>
      <c r="ODC11" s="394"/>
      <c r="ODD11" s="395"/>
      <c r="ODE11" s="394"/>
      <c r="ODF11" s="394"/>
      <c r="ODG11" s="394"/>
      <c r="ODH11" s="394"/>
      <c r="ODI11" s="394"/>
      <c r="ODJ11" s="394"/>
      <c r="ODK11" s="394"/>
      <c r="ODL11" s="395"/>
      <c r="ODM11" s="394"/>
      <c r="ODN11" s="394"/>
      <c r="ODO11" s="394"/>
      <c r="ODP11" s="394"/>
      <c r="ODQ11" s="394"/>
      <c r="ODR11" s="394"/>
      <c r="ODS11" s="394"/>
      <c r="ODT11" s="395"/>
      <c r="ODU11" s="394"/>
      <c r="ODV11" s="394"/>
      <c r="ODW11" s="394"/>
      <c r="ODX11" s="394"/>
      <c r="ODY11" s="394"/>
      <c r="ODZ11" s="394"/>
      <c r="OEA11" s="394"/>
      <c r="OEB11" s="395"/>
      <c r="OEC11" s="394"/>
      <c r="OED11" s="394"/>
      <c r="OEE11" s="394"/>
      <c r="OEF11" s="394"/>
      <c r="OEG11" s="394"/>
      <c r="OEH11" s="394"/>
      <c r="OEI11" s="394"/>
      <c r="OEJ11" s="395"/>
      <c r="OEK11" s="394"/>
      <c r="OEL11" s="394"/>
      <c r="OEM11" s="394"/>
      <c r="OEN11" s="394"/>
      <c r="OEO11" s="394"/>
      <c r="OEP11" s="394"/>
      <c r="OEQ11" s="394"/>
      <c r="OER11" s="395"/>
      <c r="OES11" s="394"/>
      <c r="OET11" s="394"/>
      <c r="OEU11" s="394"/>
      <c r="OEV11" s="394"/>
      <c r="OEW11" s="394"/>
      <c r="OEX11" s="394"/>
      <c r="OEY11" s="394"/>
      <c r="OEZ11" s="395"/>
      <c r="OFA11" s="394"/>
      <c r="OFB11" s="394"/>
      <c r="OFC11" s="394"/>
      <c r="OFD11" s="394"/>
      <c r="OFE11" s="394"/>
      <c r="OFF11" s="394"/>
      <c r="OFG11" s="394"/>
      <c r="OFH11" s="395"/>
      <c r="OFI11" s="394"/>
      <c r="OFJ11" s="394"/>
      <c r="OFK11" s="394"/>
      <c r="OFL11" s="394"/>
      <c r="OFM11" s="394"/>
      <c r="OFN11" s="394"/>
      <c r="OFO11" s="394"/>
      <c r="OFP11" s="395"/>
      <c r="OFQ11" s="394"/>
      <c r="OFR11" s="394"/>
      <c r="OFS11" s="394"/>
      <c r="OFT11" s="394"/>
      <c r="OFU11" s="394"/>
      <c r="OFV11" s="394"/>
      <c r="OFW11" s="394"/>
      <c r="OFX11" s="395"/>
      <c r="OFY11" s="394"/>
      <c r="OFZ11" s="394"/>
      <c r="OGA11" s="394"/>
      <c r="OGB11" s="394"/>
      <c r="OGC11" s="394"/>
      <c r="OGD11" s="394"/>
      <c r="OGE11" s="394"/>
      <c r="OGF11" s="395"/>
      <c r="OGG11" s="394"/>
      <c r="OGH11" s="394"/>
      <c r="OGI11" s="394"/>
      <c r="OGJ11" s="394"/>
      <c r="OGK11" s="394"/>
      <c r="OGL11" s="394"/>
      <c r="OGM11" s="394"/>
      <c r="OGN11" s="395"/>
      <c r="OGO11" s="394"/>
      <c r="OGP11" s="394"/>
      <c r="OGQ11" s="394"/>
      <c r="OGR11" s="394"/>
      <c r="OGS11" s="394"/>
      <c r="OGT11" s="394"/>
      <c r="OGU11" s="394"/>
      <c r="OGV11" s="395"/>
      <c r="OGW11" s="394"/>
      <c r="OGX11" s="394"/>
      <c r="OGY11" s="394"/>
      <c r="OGZ11" s="394"/>
      <c r="OHA11" s="394"/>
      <c r="OHB11" s="394"/>
      <c r="OHC11" s="394"/>
      <c r="OHD11" s="395"/>
      <c r="OHE11" s="394"/>
      <c r="OHF11" s="394"/>
      <c r="OHG11" s="394"/>
      <c r="OHH11" s="394"/>
      <c r="OHI11" s="394"/>
      <c r="OHJ11" s="394"/>
      <c r="OHK11" s="394"/>
      <c r="OHL11" s="395"/>
      <c r="OHM11" s="394"/>
      <c r="OHN11" s="394"/>
      <c r="OHO11" s="394"/>
      <c r="OHP11" s="394"/>
      <c r="OHQ11" s="394"/>
      <c r="OHR11" s="394"/>
      <c r="OHS11" s="394"/>
      <c r="OHT11" s="395"/>
      <c r="OHU11" s="394"/>
      <c r="OHV11" s="394"/>
      <c r="OHW11" s="394"/>
      <c r="OHX11" s="394"/>
      <c r="OHY11" s="394"/>
      <c r="OHZ11" s="394"/>
      <c r="OIA11" s="394"/>
      <c r="OIB11" s="395"/>
      <c r="OIC11" s="394"/>
      <c r="OID11" s="394"/>
      <c r="OIE11" s="394"/>
      <c r="OIF11" s="394"/>
      <c r="OIG11" s="394"/>
      <c r="OIH11" s="394"/>
      <c r="OII11" s="394"/>
      <c r="OIJ11" s="395"/>
      <c r="OIK11" s="394"/>
      <c r="OIL11" s="394"/>
      <c r="OIM11" s="394"/>
      <c r="OIN11" s="394"/>
      <c r="OIO11" s="394"/>
      <c r="OIP11" s="394"/>
      <c r="OIQ11" s="394"/>
      <c r="OIR11" s="395"/>
      <c r="OIS11" s="394"/>
      <c r="OIT11" s="394"/>
      <c r="OIU11" s="394"/>
      <c r="OIV11" s="394"/>
      <c r="OIW11" s="394"/>
      <c r="OIX11" s="394"/>
      <c r="OIY11" s="394"/>
      <c r="OIZ11" s="395"/>
      <c r="OJA11" s="394"/>
      <c r="OJB11" s="394"/>
      <c r="OJC11" s="394"/>
      <c r="OJD11" s="394"/>
      <c r="OJE11" s="394"/>
      <c r="OJF11" s="394"/>
      <c r="OJG11" s="394"/>
      <c r="OJH11" s="395"/>
      <c r="OJI11" s="394"/>
      <c r="OJJ11" s="394"/>
      <c r="OJK11" s="394"/>
      <c r="OJL11" s="394"/>
      <c r="OJM11" s="394"/>
      <c r="OJN11" s="394"/>
      <c r="OJO11" s="394"/>
      <c r="OJP11" s="395"/>
      <c r="OJQ11" s="394"/>
      <c r="OJR11" s="394"/>
      <c r="OJS11" s="394"/>
      <c r="OJT11" s="394"/>
      <c r="OJU11" s="394"/>
      <c r="OJV11" s="394"/>
      <c r="OJW11" s="394"/>
      <c r="OJX11" s="395"/>
      <c r="OJY11" s="394"/>
      <c r="OJZ11" s="394"/>
      <c r="OKA11" s="394"/>
      <c r="OKB11" s="394"/>
      <c r="OKC11" s="394"/>
      <c r="OKD11" s="394"/>
      <c r="OKE11" s="394"/>
      <c r="OKF11" s="395"/>
      <c r="OKG11" s="394"/>
      <c r="OKH11" s="394"/>
      <c r="OKI11" s="394"/>
      <c r="OKJ11" s="394"/>
      <c r="OKK11" s="394"/>
      <c r="OKL11" s="394"/>
      <c r="OKM11" s="394"/>
      <c r="OKN11" s="395"/>
      <c r="OKO11" s="394"/>
      <c r="OKP11" s="394"/>
      <c r="OKQ11" s="394"/>
      <c r="OKR11" s="394"/>
      <c r="OKS11" s="394"/>
      <c r="OKT11" s="394"/>
      <c r="OKU11" s="394"/>
      <c r="OKV11" s="395"/>
      <c r="OKW11" s="394"/>
      <c r="OKX11" s="394"/>
      <c r="OKY11" s="394"/>
      <c r="OKZ11" s="394"/>
      <c r="OLA11" s="394"/>
      <c r="OLB11" s="394"/>
      <c r="OLC11" s="394"/>
      <c r="OLD11" s="395"/>
      <c r="OLE11" s="394"/>
      <c r="OLF11" s="394"/>
      <c r="OLG11" s="394"/>
      <c r="OLH11" s="394"/>
      <c r="OLI11" s="394"/>
      <c r="OLJ11" s="394"/>
      <c r="OLK11" s="394"/>
      <c r="OLL11" s="395"/>
      <c r="OLM11" s="394"/>
      <c r="OLN11" s="394"/>
      <c r="OLO11" s="394"/>
      <c r="OLP11" s="394"/>
      <c r="OLQ11" s="394"/>
      <c r="OLR11" s="394"/>
      <c r="OLS11" s="394"/>
      <c r="OLT11" s="395"/>
      <c r="OLU11" s="394"/>
      <c r="OLV11" s="394"/>
      <c r="OLW11" s="394"/>
      <c r="OLX11" s="394"/>
      <c r="OLY11" s="394"/>
      <c r="OLZ11" s="394"/>
      <c r="OMA11" s="394"/>
      <c r="OMB11" s="395"/>
      <c r="OMC11" s="394"/>
      <c r="OMD11" s="394"/>
      <c r="OME11" s="394"/>
      <c r="OMF11" s="394"/>
      <c r="OMG11" s="394"/>
      <c r="OMH11" s="394"/>
      <c r="OMI11" s="394"/>
      <c r="OMJ11" s="395"/>
      <c r="OMK11" s="394"/>
      <c r="OML11" s="394"/>
      <c r="OMM11" s="394"/>
      <c r="OMN11" s="394"/>
      <c r="OMO11" s="394"/>
      <c r="OMP11" s="394"/>
      <c r="OMQ11" s="394"/>
      <c r="OMR11" s="395"/>
      <c r="OMS11" s="394"/>
      <c r="OMT11" s="394"/>
      <c r="OMU11" s="394"/>
      <c r="OMV11" s="394"/>
      <c r="OMW11" s="394"/>
      <c r="OMX11" s="394"/>
      <c r="OMY11" s="394"/>
      <c r="OMZ11" s="395"/>
      <c r="ONA11" s="394"/>
      <c r="ONB11" s="394"/>
      <c r="ONC11" s="394"/>
      <c r="OND11" s="394"/>
      <c r="ONE11" s="394"/>
      <c r="ONF11" s="394"/>
      <c r="ONG11" s="394"/>
      <c r="ONH11" s="395"/>
      <c r="ONI11" s="394"/>
      <c r="ONJ11" s="394"/>
      <c r="ONK11" s="394"/>
      <c r="ONL11" s="394"/>
      <c r="ONM11" s="394"/>
      <c r="ONN11" s="394"/>
      <c r="ONO11" s="394"/>
      <c r="ONP11" s="395"/>
      <c r="ONQ11" s="394"/>
      <c r="ONR11" s="394"/>
      <c r="ONS11" s="394"/>
      <c r="ONT11" s="394"/>
      <c r="ONU11" s="394"/>
      <c r="ONV11" s="394"/>
      <c r="ONW11" s="394"/>
      <c r="ONX11" s="395"/>
      <c r="ONY11" s="394"/>
      <c r="ONZ11" s="394"/>
      <c r="OOA11" s="394"/>
      <c r="OOB11" s="394"/>
      <c r="OOC11" s="394"/>
      <c r="OOD11" s="394"/>
      <c r="OOE11" s="394"/>
      <c r="OOF11" s="395"/>
      <c r="OOG11" s="394"/>
      <c r="OOH11" s="394"/>
      <c r="OOI11" s="394"/>
      <c r="OOJ11" s="394"/>
      <c r="OOK11" s="394"/>
      <c r="OOL11" s="394"/>
      <c r="OOM11" s="394"/>
      <c r="OON11" s="395"/>
      <c r="OOO11" s="394"/>
      <c r="OOP11" s="394"/>
      <c r="OOQ11" s="394"/>
      <c r="OOR11" s="394"/>
      <c r="OOS11" s="394"/>
      <c r="OOT11" s="394"/>
      <c r="OOU11" s="394"/>
      <c r="OOV11" s="395"/>
      <c r="OOW11" s="394"/>
      <c r="OOX11" s="394"/>
      <c r="OOY11" s="394"/>
      <c r="OOZ11" s="394"/>
      <c r="OPA11" s="394"/>
      <c r="OPB11" s="394"/>
      <c r="OPC11" s="394"/>
      <c r="OPD11" s="395"/>
      <c r="OPE11" s="394"/>
      <c r="OPF11" s="394"/>
      <c r="OPG11" s="394"/>
      <c r="OPH11" s="394"/>
      <c r="OPI11" s="394"/>
      <c r="OPJ11" s="394"/>
      <c r="OPK11" s="394"/>
      <c r="OPL11" s="395"/>
      <c r="OPM11" s="394"/>
      <c r="OPN11" s="394"/>
      <c r="OPO11" s="394"/>
      <c r="OPP11" s="394"/>
      <c r="OPQ11" s="394"/>
      <c r="OPR11" s="394"/>
      <c r="OPS11" s="394"/>
      <c r="OPT11" s="395"/>
      <c r="OPU11" s="394"/>
      <c r="OPV11" s="394"/>
      <c r="OPW11" s="394"/>
      <c r="OPX11" s="394"/>
      <c r="OPY11" s="394"/>
      <c r="OPZ11" s="394"/>
      <c r="OQA11" s="394"/>
      <c r="OQB11" s="395"/>
      <c r="OQC11" s="394"/>
      <c r="OQD11" s="394"/>
      <c r="OQE11" s="394"/>
      <c r="OQF11" s="394"/>
      <c r="OQG11" s="394"/>
      <c r="OQH11" s="394"/>
      <c r="OQI11" s="394"/>
      <c r="OQJ11" s="395"/>
      <c r="OQK11" s="394"/>
      <c r="OQL11" s="394"/>
      <c r="OQM11" s="394"/>
      <c r="OQN11" s="394"/>
      <c r="OQO11" s="394"/>
      <c r="OQP11" s="394"/>
      <c r="OQQ11" s="394"/>
      <c r="OQR11" s="395"/>
      <c r="OQS11" s="394"/>
      <c r="OQT11" s="394"/>
      <c r="OQU11" s="394"/>
      <c r="OQV11" s="394"/>
      <c r="OQW11" s="394"/>
      <c r="OQX11" s="394"/>
      <c r="OQY11" s="394"/>
      <c r="OQZ11" s="395"/>
      <c r="ORA11" s="394"/>
      <c r="ORB11" s="394"/>
      <c r="ORC11" s="394"/>
      <c r="ORD11" s="394"/>
      <c r="ORE11" s="394"/>
      <c r="ORF11" s="394"/>
      <c r="ORG11" s="394"/>
      <c r="ORH11" s="395"/>
      <c r="ORI11" s="394"/>
      <c r="ORJ11" s="394"/>
      <c r="ORK11" s="394"/>
      <c r="ORL11" s="394"/>
      <c r="ORM11" s="394"/>
      <c r="ORN11" s="394"/>
      <c r="ORO11" s="394"/>
      <c r="ORP11" s="395"/>
      <c r="ORQ11" s="394"/>
      <c r="ORR11" s="394"/>
      <c r="ORS11" s="394"/>
      <c r="ORT11" s="394"/>
      <c r="ORU11" s="394"/>
      <c r="ORV11" s="394"/>
      <c r="ORW11" s="394"/>
      <c r="ORX11" s="395"/>
      <c r="ORY11" s="394"/>
      <c r="ORZ11" s="394"/>
      <c r="OSA11" s="394"/>
      <c r="OSB11" s="394"/>
      <c r="OSC11" s="394"/>
      <c r="OSD11" s="394"/>
      <c r="OSE11" s="394"/>
      <c r="OSF11" s="395"/>
      <c r="OSG11" s="394"/>
      <c r="OSH11" s="394"/>
      <c r="OSI11" s="394"/>
      <c r="OSJ11" s="394"/>
      <c r="OSK11" s="394"/>
      <c r="OSL11" s="394"/>
      <c r="OSM11" s="394"/>
      <c r="OSN11" s="395"/>
      <c r="OSO11" s="394"/>
      <c r="OSP11" s="394"/>
      <c r="OSQ11" s="394"/>
      <c r="OSR11" s="394"/>
      <c r="OSS11" s="394"/>
      <c r="OST11" s="394"/>
      <c r="OSU11" s="394"/>
      <c r="OSV11" s="395"/>
      <c r="OSW11" s="394"/>
      <c r="OSX11" s="394"/>
      <c r="OSY11" s="394"/>
      <c r="OSZ11" s="394"/>
      <c r="OTA11" s="394"/>
      <c r="OTB11" s="394"/>
      <c r="OTC11" s="394"/>
      <c r="OTD11" s="395"/>
      <c r="OTE11" s="394"/>
      <c r="OTF11" s="394"/>
      <c r="OTG11" s="394"/>
      <c r="OTH11" s="394"/>
      <c r="OTI11" s="394"/>
      <c r="OTJ11" s="394"/>
      <c r="OTK11" s="394"/>
      <c r="OTL11" s="395"/>
      <c r="OTM11" s="394"/>
      <c r="OTN11" s="394"/>
      <c r="OTO11" s="394"/>
      <c r="OTP11" s="394"/>
      <c r="OTQ11" s="394"/>
      <c r="OTR11" s="394"/>
      <c r="OTS11" s="394"/>
      <c r="OTT11" s="395"/>
      <c r="OTU11" s="394"/>
      <c r="OTV11" s="394"/>
      <c r="OTW11" s="394"/>
      <c r="OTX11" s="394"/>
      <c r="OTY11" s="394"/>
      <c r="OTZ11" s="394"/>
      <c r="OUA11" s="394"/>
      <c r="OUB11" s="395"/>
      <c r="OUC11" s="394"/>
      <c r="OUD11" s="394"/>
      <c r="OUE11" s="394"/>
      <c r="OUF11" s="394"/>
      <c r="OUG11" s="394"/>
      <c r="OUH11" s="394"/>
      <c r="OUI11" s="394"/>
      <c r="OUJ11" s="395"/>
      <c r="OUK11" s="394"/>
      <c r="OUL11" s="394"/>
      <c r="OUM11" s="394"/>
      <c r="OUN11" s="394"/>
      <c r="OUO11" s="394"/>
      <c r="OUP11" s="394"/>
      <c r="OUQ11" s="394"/>
      <c r="OUR11" s="395"/>
      <c r="OUS11" s="394"/>
      <c r="OUT11" s="394"/>
      <c r="OUU11" s="394"/>
      <c r="OUV11" s="394"/>
      <c r="OUW11" s="394"/>
      <c r="OUX11" s="394"/>
      <c r="OUY11" s="394"/>
      <c r="OUZ11" s="395"/>
      <c r="OVA11" s="394"/>
      <c r="OVB11" s="394"/>
      <c r="OVC11" s="394"/>
      <c r="OVD11" s="394"/>
      <c r="OVE11" s="394"/>
      <c r="OVF11" s="394"/>
      <c r="OVG11" s="394"/>
      <c r="OVH11" s="395"/>
      <c r="OVI11" s="394"/>
      <c r="OVJ11" s="394"/>
      <c r="OVK11" s="394"/>
      <c r="OVL11" s="394"/>
      <c r="OVM11" s="394"/>
      <c r="OVN11" s="394"/>
      <c r="OVO11" s="394"/>
      <c r="OVP11" s="395"/>
      <c r="OVQ11" s="394"/>
      <c r="OVR11" s="394"/>
      <c r="OVS11" s="394"/>
      <c r="OVT11" s="394"/>
      <c r="OVU11" s="394"/>
      <c r="OVV11" s="394"/>
      <c r="OVW11" s="394"/>
      <c r="OVX11" s="395"/>
      <c r="OVY11" s="394"/>
      <c r="OVZ11" s="394"/>
      <c r="OWA11" s="394"/>
      <c r="OWB11" s="394"/>
      <c r="OWC11" s="394"/>
      <c r="OWD11" s="394"/>
      <c r="OWE11" s="394"/>
      <c r="OWF11" s="395"/>
      <c r="OWG11" s="394"/>
      <c r="OWH11" s="394"/>
      <c r="OWI11" s="394"/>
      <c r="OWJ11" s="394"/>
      <c r="OWK11" s="394"/>
      <c r="OWL11" s="394"/>
      <c r="OWM11" s="394"/>
      <c r="OWN11" s="395"/>
      <c r="OWO11" s="394"/>
      <c r="OWP11" s="394"/>
      <c r="OWQ11" s="394"/>
      <c r="OWR11" s="394"/>
      <c r="OWS11" s="394"/>
      <c r="OWT11" s="394"/>
      <c r="OWU11" s="394"/>
      <c r="OWV11" s="395"/>
      <c r="OWW11" s="394"/>
      <c r="OWX11" s="394"/>
      <c r="OWY11" s="394"/>
      <c r="OWZ11" s="394"/>
      <c r="OXA11" s="394"/>
      <c r="OXB11" s="394"/>
      <c r="OXC11" s="394"/>
      <c r="OXD11" s="395"/>
      <c r="OXE11" s="394"/>
      <c r="OXF11" s="394"/>
      <c r="OXG11" s="394"/>
      <c r="OXH11" s="394"/>
      <c r="OXI11" s="394"/>
      <c r="OXJ11" s="394"/>
      <c r="OXK11" s="394"/>
      <c r="OXL11" s="395"/>
      <c r="OXM11" s="394"/>
      <c r="OXN11" s="394"/>
      <c r="OXO11" s="394"/>
      <c r="OXP11" s="394"/>
      <c r="OXQ11" s="394"/>
      <c r="OXR11" s="394"/>
      <c r="OXS11" s="394"/>
      <c r="OXT11" s="395"/>
      <c r="OXU11" s="394"/>
      <c r="OXV11" s="394"/>
      <c r="OXW11" s="394"/>
      <c r="OXX11" s="394"/>
      <c r="OXY11" s="394"/>
      <c r="OXZ11" s="394"/>
      <c r="OYA11" s="394"/>
      <c r="OYB11" s="395"/>
      <c r="OYC11" s="394"/>
      <c r="OYD11" s="394"/>
      <c r="OYE11" s="394"/>
      <c r="OYF11" s="394"/>
      <c r="OYG11" s="394"/>
      <c r="OYH11" s="394"/>
      <c r="OYI11" s="394"/>
      <c r="OYJ11" s="395"/>
      <c r="OYK11" s="394"/>
      <c r="OYL11" s="394"/>
      <c r="OYM11" s="394"/>
      <c r="OYN11" s="394"/>
      <c r="OYO11" s="394"/>
      <c r="OYP11" s="394"/>
      <c r="OYQ11" s="394"/>
      <c r="OYR11" s="395"/>
      <c r="OYS11" s="394"/>
      <c r="OYT11" s="394"/>
      <c r="OYU11" s="394"/>
      <c r="OYV11" s="394"/>
      <c r="OYW11" s="394"/>
      <c r="OYX11" s="394"/>
      <c r="OYY11" s="394"/>
      <c r="OYZ11" s="395"/>
      <c r="OZA11" s="394"/>
      <c r="OZB11" s="394"/>
      <c r="OZC11" s="394"/>
      <c r="OZD11" s="394"/>
      <c r="OZE11" s="394"/>
      <c r="OZF11" s="394"/>
      <c r="OZG11" s="394"/>
      <c r="OZH11" s="395"/>
      <c r="OZI11" s="394"/>
      <c r="OZJ11" s="394"/>
      <c r="OZK11" s="394"/>
      <c r="OZL11" s="394"/>
      <c r="OZM11" s="394"/>
      <c r="OZN11" s="394"/>
      <c r="OZO11" s="394"/>
      <c r="OZP11" s="395"/>
      <c r="OZQ11" s="394"/>
      <c r="OZR11" s="394"/>
      <c r="OZS11" s="394"/>
      <c r="OZT11" s="394"/>
      <c r="OZU11" s="394"/>
      <c r="OZV11" s="394"/>
      <c r="OZW11" s="394"/>
      <c r="OZX11" s="395"/>
      <c r="OZY11" s="394"/>
      <c r="OZZ11" s="394"/>
      <c r="PAA11" s="394"/>
      <c r="PAB11" s="394"/>
      <c r="PAC11" s="394"/>
      <c r="PAD11" s="394"/>
      <c r="PAE11" s="394"/>
      <c r="PAF11" s="395"/>
      <c r="PAG11" s="394"/>
      <c r="PAH11" s="394"/>
      <c r="PAI11" s="394"/>
      <c r="PAJ11" s="394"/>
      <c r="PAK11" s="394"/>
      <c r="PAL11" s="394"/>
      <c r="PAM11" s="394"/>
      <c r="PAN11" s="395"/>
      <c r="PAO11" s="394"/>
      <c r="PAP11" s="394"/>
      <c r="PAQ11" s="394"/>
      <c r="PAR11" s="394"/>
      <c r="PAS11" s="394"/>
      <c r="PAT11" s="394"/>
      <c r="PAU11" s="394"/>
      <c r="PAV11" s="395"/>
      <c r="PAW11" s="394"/>
      <c r="PAX11" s="394"/>
      <c r="PAY11" s="394"/>
      <c r="PAZ11" s="394"/>
      <c r="PBA11" s="394"/>
      <c r="PBB11" s="394"/>
      <c r="PBC11" s="394"/>
      <c r="PBD11" s="395"/>
      <c r="PBE11" s="394"/>
      <c r="PBF11" s="394"/>
      <c r="PBG11" s="394"/>
      <c r="PBH11" s="394"/>
      <c r="PBI11" s="394"/>
      <c r="PBJ11" s="394"/>
      <c r="PBK11" s="394"/>
      <c r="PBL11" s="395"/>
      <c r="PBM11" s="394"/>
      <c r="PBN11" s="394"/>
      <c r="PBO11" s="394"/>
      <c r="PBP11" s="394"/>
      <c r="PBQ11" s="394"/>
      <c r="PBR11" s="394"/>
      <c r="PBS11" s="394"/>
      <c r="PBT11" s="395"/>
      <c r="PBU11" s="394"/>
      <c r="PBV11" s="394"/>
      <c r="PBW11" s="394"/>
      <c r="PBX11" s="394"/>
      <c r="PBY11" s="394"/>
      <c r="PBZ11" s="394"/>
      <c r="PCA11" s="394"/>
      <c r="PCB11" s="395"/>
      <c r="PCC11" s="394"/>
      <c r="PCD11" s="394"/>
      <c r="PCE11" s="394"/>
      <c r="PCF11" s="394"/>
      <c r="PCG11" s="394"/>
      <c r="PCH11" s="394"/>
      <c r="PCI11" s="394"/>
      <c r="PCJ11" s="395"/>
      <c r="PCK11" s="394"/>
      <c r="PCL11" s="394"/>
      <c r="PCM11" s="394"/>
      <c r="PCN11" s="394"/>
      <c r="PCO11" s="394"/>
      <c r="PCP11" s="394"/>
      <c r="PCQ11" s="394"/>
      <c r="PCR11" s="395"/>
      <c r="PCS11" s="394"/>
      <c r="PCT11" s="394"/>
      <c r="PCU11" s="394"/>
      <c r="PCV11" s="394"/>
      <c r="PCW11" s="394"/>
      <c r="PCX11" s="394"/>
      <c r="PCY11" s="394"/>
      <c r="PCZ11" s="395"/>
      <c r="PDA11" s="394"/>
      <c r="PDB11" s="394"/>
      <c r="PDC11" s="394"/>
      <c r="PDD11" s="394"/>
      <c r="PDE11" s="394"/>
      <c r="PDF11" s="394"/>
      <c r="PDG11" s="394"/>
      <c r="PDH11" s="395"/>
      <c r="PDI11" s="394"/>
      <c r="PDJ11" s="394"/>
      <c r="PDK11" s="394"/>
      <c r="PDL11" s="394"/>
      <c r="PDM11" s="394"/>
      <c r="PDN11" s="394"/>
      <c r="PDO11" s="394"/>
      <c r="PDP11" s="395"/>
      <c r="PDQ11" s="394"/>
      <c r="PDR11" s="394"/>
      <c r="PDS11" s="394"/>
      <c r="PDT11" s="394"/>
      <c r="PDU11" s="394"/>
      <c r="PDV11" s="394"/>
      <c r="PDW11" s="394"/>
      <c r="PDX11" s="395"/>
      <c r="PDY11" s="394"/>
      <c r="PDZ11" s="394"/>
      <c r="PEA11" s="394"/>
      <c r="PEB11" s="394"/>
      <c r="PEC11" s="394"/>
      <c r="PED11" s="394"/>
      <c r="PEE11" s="394"/>
      <c r="PEF11" s="395"/>
      <c r="PEG11" s="394"/>
      <c r="PEH11" s="394"/>
      <c r="PEI11" s="394"/>
      <c r="PEJ11" s="394"/>
      <c r="PEK11" s="394"/>
      <c r="PEL11" s="394"/>
      <c r="PEM11" s="394"/>
      <c r="PEN11" s="395"/>
      <c r="PEO11" s="394"/>
      <c r="PEP11" s="394"/>
      <c r="PEQ11" s="394"/>
      <c r="PER11" s="394"/>
      <c r="PES11" s="394"/>
      <c r="PET11" s="394"/>
      <c r="PEU11" s="394"/>
      <c r="PEV11" s="395"/>
      <c r="PEW11" s="394"/>
      <c r="PEX11" s="394"/>
      <c r="PEY11" s="394"/>
      <c r="PEZ11" s="394"/>
      <c r="PFA11" s="394"/>
      <c r="PFB11" s="394"/>
      <c r="PFC11" s="394"/>
      <c r="PFD11" s="395"/>
      <c r="PFE11" s="394"/>
      <c r="PFF11" s="394"/>
      <c r="PFG11" s="394"/>
      <c r="PFH11" s="394"/>
      <c r="PFI11" s="394"/>
      <c r="PFJ11" s="394"/>
      <c r="PFK11" s="394"/>
      <c r="PFL11" s="395"/>
      <c r="PFM11" s="394"/>
      <c r="PFN11" s="394"/>
      <c r="PFO11" s="394"/>
      <c r="PFP11" s="394"/>
      <c r="PFQ11" s="394"/>
      <c r="PFR11" s="394"/>
      <c r="PFS11" s="394"/>
      <c r="PFT11" s="395"/>
      <c r="PFU11" s="394"/>
      <c r="PFV11" s="394"/>
      <c r="PFW11" s="394"/>
      <c r="PFX11" s="394"/>
      <c r="PFY11" s="394"/>
      <c r="PFZ11" s="394"/>
      <c r="PGA11" s="394"/>
      <c r="PGB11" s="395"/>
      <c r="PGC11" s="394"/>
      <c r="PGD11" s="394"/>
      <c r="PGE11" s="394"/>
      <c r="PGF11" s="394"/>
      <c r="PGG11" s="394"/>
      <c r="PGH11" s="394"/>
      <c r="PGI11" s="394"/>
      <c r="PGJ11" s="395"/>
      <c r="PGK11" s="394"/>
      <c r="PGL11" s="394"/>
      <c r="PGM11" s="394"/>
      <c r="PGN11" s="394"/>
      <c r="PGO11" s="394"/>
      <c r="PGP11" s="394"/>
      <c r="PGQ11" s="394"/>
      <c r="PGR11" s="395"/>
      <c r="PGS11" s="394"/>
      <c r="PGT11" s="394"/>
      <c r="PGU11" s="394"/>
      <c r="PGV11" s="394"/>
      <c r="PGW11" s="394"/>
      <c r="PGX11" s="394"/>
      <c r="PGY11" s="394"/>
      <c r="PGZ11" s="395"/>
      <c r="PHA11" s="394"/>
      <c r="PHB11" s="394"/>
      <c r="PHC11" s="394"/>
      <c r="PHD11" s="394"/>
      <c r="PHE11" s="394"/>
      <c r="PHF11" s="394"/>
      <c r="PHG11" s="394"/>
      <c r="PHH11" s="395"/>
      <c r="PHI11" s="394"/>
      <c r="PHJ11" s="394"/>
      <c r="PHK11" s="394"/>
      <c r="PHL11" s="394"/>
      <c r="PHM11" s="394"/>
      <c r="PHN11" s="394"/>
      <c r="PHO11" s="394"/>
      <c r="PHP11" s="395"/>
      <c r="PHQ11" s="394"/>
      <c r="PHR11" s="394"/>
      <c r="PHS11" s="394"/>
      <c r="PHT11" s="394"/>
      <c r="PHU11" s="394"/>
      <c r="PHV11" s="394"/>
      <c r="PHW11" s="394"/>
      <c r="PHX11" s="395"/>
      <c r="PHY11" s="394"/>
      <c r="PHZ11" s="394"/>
      <c r="PIA11" s="394"/>
      <c r="PIB11" s="394"/>
      <c r="PIC11" s="394"/>
      <c r="PID11" s="394"/>
      <c r="PIE11" s="394"/>
      <c r="PIF11" s="395"/>
      <c r="PIG11" s="394"/>
      <c r="PIH11" s="394"/>
      <c r="PII11" s="394"/>
      <c r="PIJ11" s="394"/>
      <c r="PIK11" s="394"/>
      <c r="PIL11" s="394"/>
      <c r="PIM11" s="394"/>
      <c r="PIN11" s="395"/>
      <c r="PIO11" s="394"/>
      <c r="PIP11" s="394"/>
      <c r="PIQ11" s="394"/>
      <c r="PIR11" s="394"/>
      <c r="PIS11" s="394"/>
      <c r="PIT11" s="394"/>
      <c r="PIU11" s="394"/>
      <c r="PIV11" s="395"/>
      <c r="PIW11" s="394"/>
      <c r="PIX11" s="394"/>
      <c r="PIY11" s="394"/>
      <c r="PIZ11" s="394"/>
      <c r="PJA11" s="394"/>
      <c r="PJB11" s="394"/>
      <c r="PJC11" s="394"/>
      <c r="PJD11" s="395"/>
      <c r="PJE11" s="394"/>
      <c r="PJF11" s="394"/>
      <c r="PJG11" s="394"/>
      <c r="PJH11" s="394"/>
      <c r="PJI11" s="394"/>
      <c r="PJJ11" s="394"/>
      <c r="PJK11" s="394"/>
      <c r="PJL11" s="395"/>
      <c r="PJM11" s="394"/>
      <c r="PJN11" s="394"/>
      <c r="PJO11" s="394"/>
      <c r="PJP11" s="394"/>
      <c r="PJQ11" s="394"/>
      <c r="PJR11" s="394"/>
      <c r="PJS11" s="394"/>
      <c r="PJT11" s="395"/>
      <c r="PJU11" s="394"/>
      <c r="PJV11" s="394"/>
      <c r="PJW11" s="394"/>
      <c r="PJX11" s="394"/>
      <c r="PJY11" s="394"/>
      <c r="PJZ11" s="394"/>
      <c r="PKA11" s="394"/>
      <c r="PKB11" s="395"/>
      <c r="PKC11" s="394"/>
      <c r="PKD11" s="394"/>
      <c r="PKE11" s="394"/>
      <c r="PKF11" s="394"/>
      <c r="PKG11" s="394"/>
      <c r="PKH11" s="394"/>
      <c r="PKI11" s="394"/>
      <c r="PKJ11" s="395"/>
      <c r="PKK11" s="394"/>
      <c r="PKL11" s="394"/>
      <c r="PKM11" s="394"/>
      <c r="PKN11" s="394"/>
      <c r="PKO11" s="394"/>
      <c r="PKP11" s="394"/>
      <c r="PKQ11" s="394"/>
      <c r="PKR11" s="395"/>
      <c r="PKS11" s="394"/>
      <c r="PKT11" s="394"/>
      <c r="PKU11" s="394"/>
      <c r="PKV11" s="394"/>
      <c r="PKW11" s="394"/>
      <c r="PKX11" s="394"/>
      <c r="PKY11" s="394"/>
      <c r="PKZ11" s="395"/>
      <c r="PLA11" s="394"/>
      <c r="PLB11" s="394"/>
      <c r="PLC11" s="394"/>
      <c r="PLD11" s="394"/>
      <c r="PLE11" s="394"/>
      <c r="PLF11" s="394"/>
      <c r="PLG11" s="394"/>
      <c r="PLH11" s="395"/>
      <c r="PLI11" s="394"/>
      <c r="PLJ11" s="394"/>
      <c r="PLK11" s="394"/>
      <c r="PLL11" s="394"/>
      <c r="PLM11" s="394"/>
      <c r="PLN11" s="394"/>
      <c r="PLO11" s="394"/>
      <c r="PLP11" s="395"/>
      <c r="PLQ11" s="394"/>
      <c r="PLR11" s="394"/>
      <c r="PLS11" s="394"/>
      <c r="PLT11" s="394"/>
      <c r="PLU11" s="394"/>
      <c r="PLV11" s="394"/>
      <c r="PLW11" s="394"/>
      <c r="PLX11" s="395"/>
      <c r="PLY11" s="394"/>
      <c r="PLZ11" s="394"/>
      <c r="PMA11" s="394"/>
      <c r="PMB11" s="394"/>
      <c r="PMC11" s="394"/>
      <c r="PMD11" s="394"/>
      <c r="PME11" s="394"/>
      <c r="PMF11" s="395"/>
      <c r="PMG11" s="394"/>
      <c r="PMH11" s="394"/>
      <c r="PMI11" s="394"/>
      <c r="PMJ11" s="394"/>
      <c r="PMK11" s="394"/>
      <c r="PML11" s="394"/>
      <c r="PMM11" s="394"/>
      <c r="PMN11" s="395"/>
      <c r="PMO11" s="394"/>
      <c r="PMP11" s="394"/>
      <c r="PMQ11" s="394"/>
      <c r="PMR11" s="394"/>
      <c r="PMS11" s="394"/>
      <c r="PMT11" s="394"/>
      <c r="PMU11" s="394"/>
      <c r="PMV11" s="395"/>
      <c r="PMW11" s="394"/>
      <c r="PMX11" s="394"/>
      <c r="PMY11" s="394"/>
      <c r="PMZ11" s="394"/>
      <c r="PNA11" s="394"/>
      <c r="PNB11" s="394"/>
      <c r="PNC11" s="394"/>
      <c r="PND11" s="395"/>
      <c r="PNE11" s="394"/>
      <c r="PNF11" s="394"/>
      <c r="PNG11" s="394"/>
      <c r="PNH11" s="394"/>
      <c r="PNI11" s="394"/>
      <c r="PNJ11" s="394"/>
      <c r="PNK11" s="394"/>
      <c r="PNL11" s="395"/>
      <c r="PNM11" s="394"/>
      <c r="PNN11" s="394"/>
      <c r="PNO11" s="394"/>
      <c r="PNP11" s="394"/>
      <c r="PNQ11" s="394"/>
      <c r="PNR11" s="394"/>
      <c r="PNS11" s="394"/>
      <c r="PNT11" s="395"/>
      <c r="PNU11" s="394"/>
      <c r="PNV11" s="394"/>
      <c r="PNW11" s="394"/>
      <c r="PNX11" s="394"/>
      <c r="PNY11" s="394"/>
      <c r="PNZ11" s="394"/>
      <c r="POA11" s="394"/>
      <c r="POB11" s="395"/>
      <c r="POC11" s="394"/>
      <c r="POD11" s="394"/>
      <c r="POE11" s="394"/>
      <c r="POF11" s="394"/>
      <c r="POG11" s="394"/>
      <c r="POH11" s="394"/>
      <c r="POI11" s="394"/>
      <c r="POJ11" s="395"/>
      <c r="POK11" s="394"/>
      <c r="POL11" s="394"/>
      <c r="POM11" s="394"/>
      <c r="PON11" s="394"/>
      <c r="POO11" s="394"/>
      <c r="POP11" s="394"/>
      <c r="POQ11" s="394"/>
      <c r="POR11" s="395"/>
      <c r="POS11" s="394"/>
      <c r="POT11" s="394"/>
      <c r="POU11" s="394"/>
      <c r="POV11" s="394"/>
      <c r="POW11" s="394"/>
      <c r="POX11" s="394"/>
      <c r="POY11" s="394"/>
      <c r="POZ11" s="395"/>
      <c r="PPA11" s="394"/>
      <c r="PPB11" s="394"/>
      <c r="PPC11" s="394"/>
      <c r="PPD11" s="394"/>
      <c r="PPE11" s="394"/>
      <c r="PPF11" s="394"/>
      <c r="PPG11" s="394"/>
      <c r="PPH11" s="395"/>
      <c r="PPI11" s="394"/>
      <c r="PPJ11" s="394"/>
      <c r="PPK11" s="394"/>
      <c r="PPL11" s="394"/>
      <c r="PPM11" s="394"/>
      <c r="PPN11" s="394"/>
      <c r="PPO11" s="394"/>
      <c r="PPP11" s="395"/>
      <c r="PPQ11" s="394"/>
      <c r="PPR11" s="394"/>
      <c r="PPS11" s="394"/>
      <c r="PPT11" s="394"/>
      <c r="PPU11" s="394"/>
      <c r="PPV11" s="394"/>
      <c r="PPW11" s="394"/>
      <c r="PPX11" s="395"/>
      <c r="PPY11" s="394"/>
      <c r="PPZ11" s="394"/>
      <c r="PQA11" s="394"/>
      <c r="PQB11" s="394"/>
      <c r="PQC11" s="394"/>
      <c r="PQD11" s="394"/>
      <c r="PQE11" s="394"/>
      <c r="PQF11" s="395"/>
      <c r="PQG11" s="394"/>
      <c r="PQH11" s="394"/>
      <c r="PQI11" s="394"/>
      <c r="PQJ11" s="394"/>
      <c r="PQK11" s="394"/>
      <c r="PQL11" s="394"/>
      <c r="PQM11" s="394"/>
      <c r="PQN11" s="395"/>
      <c r="PQO11" s="394"/>
      <c r="PQP11" s="394"/>
      <c r="PQQ11" s="394"/>
      <c r="PQR11" s="394"/>
      <c r="PQS11" s="394"/>
      <c r="PQT11" s="394"/>
      <c r="PQU11" s="394"/>
      <c r="PQV11" s="395"/>
      <c r="PQW11" s="394"/>
      <c r="PQX11" s="394"/>
      <c r="PQY11" s="394"/>
      <c r="PQZ11" s="394"/>
      <c r="PRA11" s="394"/>
      <c r="PRB11" s="394"/>
      <c r="PRC11" s="394"/>
      <c r="PRD11" s="395"/>
      <c r="PRE11" s="394"/>
      <c r="PRF11" s="394"/>
      <c r="PRG11" s="394"/>
      <c r="PRH11" s="394"/>
      <c r="PRI11" s="394"/>
      <c r="PRJ11" s="394"/>
      <c r="PRK11" s="394"/>
      <c r="PRL11" s="395"/>
      <c r="PRM11" s="394"/>
      <c r="PRN11" s="394"/>
      <c r="PRO11" s="394"/>
      <c r="PRP11" s="394"/>
      <c r="PRQ11" s="394"/>
      <c r="PRR11" s="394"/>
      <c r="PRS11" s="394"/>
      <c r="PRT11" s="395"/>
      <c r="PRU11" s="394"/>
      <c r="PRV11" s="394"/>
      <c r="PRW11" s="394"/>
      <c r="PRX11" s="394"/>
      <c r="PRY11" s="394"/>
      <c r="PRZ11" s="394"/>
      <c r="PSA11" s="394"/>
      <c r="PSB11" s="395"/>
      <c r="PSC11" s="394"/>
      <c r="PSD11" s="394"/>
      <c r="PSE11" s="394"/>
      <c r="PSF11" s="394"/>
      <c r="PSG11" s="394"/>
      <c r="PSH11" s="394"/>
      <c r="PSI11" s="394"/>
      <c r="PSJ11" s="395"/>
      <c r="PSK11" s="394"/>
      <c r="PSL11" s="394"/>
      <c r="PSM11" s="394"/>
      <c r="PSN11" s="394"/>
      <c r="PSO11" s="394"/>
      <c r="PSP11" s="394"/>
      <c r="PSQ11" s="394"/>
      <c r="PSR11" s="395"/>
      <c r="PSS11" s="394"/>
      <c r="PST11" s="394"/>
      <c r="PSU11" s="394"/>
      <c r="PSV11" s="394"/>
      <c r="PSW11" s="394"/>
      <c r="PSX11" s="394"/>
      <c r="PSY11" s="394"/>
      <c r="PSZ11" s="395"/>
      <c r="PTA11" s="394"/>
      <c r="PTB11" s="394"/>
      <c r="PTC11" s="394"/>
      <c r="PTD11" s="394"/>
      <c r="PTE11" s="394"/>
      <c r="PTF11" s="394"/>
      <c r="PTG11" s="394"/>
      <c r="PTH11" s="395"/>
      <c r="PTI11" s="394"/>
      <c r="PTJ11" s="394"/>
      <c r="PTK11" s="394"/>
      <c r="PTL11" s="394"/>
      <c r="PTM11" s="394"/>
      <c r="PTN11" s="394"/>
      <c r="PTO11" s="394"/>
      <c r="PTP11" s="395"/>
      <c r="PTQ11" s="394"/>
      <c r="PTR11" s="394"/>
      <c r="PTS11" s="394"/>
      <c r="PTT11" s="394"/>
      <c r="PTU11" s="394"/>
      <c r="PTV11" s="394"/>
      <c r="PTW11" s="394"/>
      <c r="PTX11" s="395"/>
      <c r="PTY11" s="394"/>
      <c r="PTZ11" s="394"/>
      <c r="PUA11" s="394"/>
      <c r="PUB11" s="394"/>
      <c r="PUC11" s="394"/>
      <c r="PUD11" s="394"/>
      <c r="PUE11" s="394"/>
      <c r="PUF11" s="395"/>
      <c r="PUG11" s="394"/>
      <c r="PUH11" s="394"/>
      <c r="PUI11" s="394"/>
      <c r="PUJ11" s="394"/>
      <c r="PUK11" s="394"/>
      <c r="PUL11" s="394"/>
      <c r="PUM11" s="394"/>
      <c r="PUN11" s="395"/>
      <c r="PUO11" s="394"/>
      <c r="PUP11" s="394"/>
      <c r="PUQ11" s="394"/>
      <c r="PUR11" s="394"/>
      <c r="PUS11" s="394"/>
      <c r="PUT11" s="394"/>
      <c r="PUU11" s="394"/>
      <c r="PUV11" s="395"/>
      <c r="PUW11" s="394"/>
      <c r="PUX11" s="394"/>
      <c r="PUY11" s="394"/>
      <c r="PUZ11" s="394"/>
      <c r="PVA11" s="394"/>
      <c r="PVB11" s="394"/>
      <c r="PVC11" s="394"/>
      <c r="PVD11" s="395"/>
      <c r="PVE11" s="394"/>
      <c r="PVF11" s="394"/>
      <c r="PVG11" s="394"/>
      <c r="PVH11" s="394"/>
      <c r="PVI11" s="394"/>
      <c r="PVJ11" s="394"/>
      <c r="PVK11" s="394"/>
      <c r="PVL11" s="395"/>
      <c r="PVM11" s="394"/>
      <c r="PVN11" s="394"/>
      <c r="PVO11" s="394"/>
      <c r="PVP11" s="394"/>
      <c r="PVQ11" s="394"/>
      <c r="PVR11" s="394"/>
      <c r="PVS11" s="394"/>
      <c r="PVT11" s="395"/>
      <c r="PVU11" s="394"/>
      <c r="PVV11" s="394"/>
      <c r="PVW11" s="394"/>
      <c r="PVX11" s="394"/>
      <c r="PVY11" s="394"/>
      <c r="PVZ11" s="394"/>
      <c r="PWA11" s="394"/>
      <c r="PWB11" s="395"/>
      <c r="PWC11" s="394"/>
      <c r="PWD11" s="394"/>
      <c r="PWE11" s="394"/>
      <c r="PWF11" s="394"/>
      <c r="PWG11" s="394"/>
      <c r="PWH11" s="394"/>
      <c r="PWI11" s="394"/>
      <c r="PWJ11" s="395"/>
      <c r="PWK11" s="394"/>
      <c r="PWL11" s="394"/>
      <c r="PWM11" s="394"/>
      <c r="PWN11" s="394"/>
      <c r="PWO11" s="394"/>
      <c r="PWP11" s="394"/>
      <c r="PWQ11" s="394"/>
      <c r="PWR11" s="395"/>
      <c r="PWS11" s="394"/>
      <c r="PWT11" s="394"/>
      <c r="PWU11" s="394"/>
      <c r="PWV11" s="394"/>
      <c r="PWW11" s="394"/>
      <c r="PWX11" s="394"/>
      <c r="PWY11" s="394"/>
      <c r="PWZ11" s="395"/>
      <c r="PXA11" s="394"/>
      <c r="PXB11" s="394"/>
      <c r="PXC11" s="394"/>
      <c r="PXD11" s="394"/>
      <c r="PXE11" s="394"/>
      <c r="PXF11" s="394"/>
      <c r="PXG11" s="394"/>
      <c r="PXH11" s="395"/>
      <c r="PXI11" s="394"/>
      <c r="PXJ11" s="394"/>
      <c r="PXK11" s="394"/>
      <c r="PXL11" s="394"/>
      <c r="PXM11" s="394"/>
      <c r="PXN11" s="394"/>
      <c r="PXO11" s="394"/>
      <c r="PXP11" s="395"/>
      <c r="PXQ11" s="394"/>
      <c r="PXR11" s="394"/>
      <c r="PXS11" s="394"/>
      <c r="PXT11" s="394"/>
      <c r="PXU11" s="394"/>
      <c r="PXV11" s="394"/>
      <c r="PXW11" s="394"/>
      <c r="PXX11" s="395"/>
      <c r="PXY11" s="394"/>
      <c r="PXZ11" s="394"/>
      <c r="PYA11" s="394"/>
      <c r="PYB11" s="394"/>
      <c r="PYC11" s="394"/>
      <c r="PYD11" s="394"/>
      <c r="PYE11" s="394"/>
      <c r="PYF11" s="395"/>
      <c r="PYG11" s="394"/>
      <c r="PYH11" s="394"/>
      <c r="PYI11" s="394"/>
      <c r="PYJ11" s="394"/>
      <c r="PYK11" s="394"/>
      <c r="PYL11" s="394"/>
      <c r="PYM11" s="394"/>
      <c r="PYN11" s="395"/>
      <c r="PYO11" s="394"/>
      <c r="PYP11" s="394"/>
      <c r="PYQ11" s="394"/>
      <c r="PYR11" s="394"/>
      <c r="PYS11" s="394"/>
      <c r="PYT11" s="394"/>
      <c r="PYU11" s="394"/>
      <c r="PYV11" s="395"/>
      <c r="PYW11" s="394"/>
      <c r="PYX11" s="394"/>
      <c r="PYY11" s="394"/>
      <c r="PYZ11" s="394"/>
      <c r="PZA11" s="394"/>
      <c r="PZB11" s="394"/>
      <c r="PZC11" s="394"/>
      <c r="PZD11" s="395"/>
      <c r="PZE11" s="394"/>
      <c r="PZF11" s="394"/>
      <c r="PZG11" s="394"/>
      <c r="PZH11" s="394"/>
      <c r="PZI11" s="394"/>
      <c r="PZJ11" s="394"/>
      <c r="PZK11" s="394"/>
      <c r="PZL11" s="395"/>
      <c r="PZM11" s="394"/>
      <c r="PZN11" s="394"/>
      <c r="PZO11" s="394"/>
      <c r="PZP11" s="394"/>
      <c r="PZQ11" s="394"/>
      <c r="PZR11" s="394"/>
      <c r="PZS11" s="394"/>
      <c r="PZT11" s="395"/>
      <c r="PZU11" s="394"/>
      <c r="PZV11" s="394"/>
      <c r="PZW11" s="394"/>
      <c r="PZX11" s="394"/>
      <c r="PZY11" s="394"/>
      <c r="PZZ11" s="394"/>
      <c r="QAA11" s="394"/>
      <c r="QAB11" s="395"/>
      <c r="QAC11" s="394"/>
      <c r="QAD11" s="394"/>
      <c r="QAE11" s="394"/>
      <c r="QAF11" s="394"/>
      <c r="QAG11" s="394"/>
      <c r="QAH11" s="394"/>
      <c r="QAI11" s="394"/>
      <c r="QAJ11" s="395"/>
      <c r="QAK11" s="394"/>
      <c r="QAL11" s="394"/>
      <c r="QAM11" s="394"/>
      <c r="QAN11" s="394"/>
      <c r="QAO11" s="394"/>
      <c r="QAP11" s="394"/>
      <c r="QAQ11" s="394"/>
      <c r="QAR11" s="395"/>
      <c r="QAS11" s="394"/>
      <c r="QAT11" s="394"/>
      <c r="QAU11" s="394"/>
      <c r="QAV11" s="394"/>
      <c r="QAW11" s="394"/>
      <c r="QAX11" s="394"/>
      <c r="QAY11" s="394"/>
      <c r="QAZ11" s="395"/>
      <c r="QBA11" s="394"/>
      <c r="QBB11" s="394"/>
      <c r="QBC11" s="394"/>
      <c r="QBD11" s="394"/>
      <c r="QBE11" s="394"/>
      <c r="QBF11" s="394"/>
      <c r="QBG11" s="394"/>
      <c r="QBH11" s="395"/>
      <c r="QBI11" s="394"/>
      <c r="QBJ11" s="394"/>
      <c r="QBK11" s="394"/>
      <c r="QBL11" s="394"/>
      <c r="QBM11" s="394"/>
      <c r="QBN11" s="394"/>
      <c r="QBO11" s="394"/>
      <c r="QBP11" s="395"/>
      <c r="QBQ11" s="394"/>
      <c r="QBR11" s="394"/>
      <c r="QBS11" s="394"/>
      <c r="QBT11" s="394"/>
      <c r="QBU11" s="394"/>
      <c r="QBV11" s="394"/>
      <c r="QBW11" s="394"/>
      <c r="QBX11" s="395"/>
      <c r="QBY11" s="394"/>
      <c r="QBZ11" s="394"/>
      <c r="QCA11" s="394"/>
      <c r="QCB11" s="394"/>
      <c r="QCC11" s="394"/>
      <c r="QCD11" s="394"/>
      <c r="QCE11" s="394"/>
      <c r="QCF11" s="395"/>
      <c r="QCG11" s="394"/>
      <c r="QCH11" s="394"/>
      <c r="QCI11" s="394"/>
      <c r="QCJ11" s="394"/>
      <c r="QCK11" s="394"/>
      <c r="QCL11" s="394"/>
      <c r="QCM11" s="394"/>
      <c r="QCN11" s="395"/>
      <c r="QCO11" s="394"/>
      <c r="QCP11" s="394"/>
      <c r="QCQ11" s="394"/>
      <c r="QCR11" s="394"/>
      <c r="QCS11" s="394"/>
      <c r="QCT11" s="394"/>
      <c r="QCU11" s="394"/>
      <c r="QCV11" s="395"/>
      <c r="QCW11" s="394"/>
      <c r="QCX11" s="394"/>
      <c r="QCY11" s="394"/>
      <c r="QCZ11" s="394"/>
      <c r="QDA11" s="394"/>
      <c r="QDB11" s="394"/>
      <c r="QDC11" s="394"/>
      <c r="QDD11" s="395"/>
      <c r="QDE11" s="394"/>
      <c r="QDF11" s="394"/>
      <c r="QDG11" s="394"/>
      <c r="QDH11" s="394"/>
      <c r="QDI11" s="394"/>
      <c r="QDJ11" s="394"/>
      <c r="QDK11" s="394"/>
      <c r="QDL11" s="395"/>
      <c r="QDM11" s="394"/>
      <c r="QDN11" s="394"/>
      <c r="QDO11" s="394"/>
      <c r="QDP11" s="394"/>
      <c r="QDQ11" s="394"/>
      <c r="QDR11" s="394"/>
      <c r="QDS11" s="394"/>
      <c r="QDT11" s="395"/>
      <c r="QDU11" s="394"/>
      <c r="QDV11" s="394"/>
      <c r="QDW11" s="394"/>
      <c r="QDX11" s="394"/>
      <c r="QDY11" s="394"/>
      <c r="QDZ11" s="394"/>
      <c r="QEA11" s="394"/>
      <c r="QEB11" s="395"/>
      <c r="QEC11" s="394"/>
      <c r="QED11" s="394"/>
      <c r="QEE11" s="394"/>
      <c r="QEF11" s="394"/>
      <c r="QEG11" s="394"/>
      <c r="QEH11" s="394"/>
      <c r="QEI11" s="394"/>
      <c r="QEJ11" s="395"/>
      <c r="QEK11" s="394"/>
      <c r="QEL11" s="394"/>
      <c r="QEM11" s="394"/>
      <c r="QEN11" s="394"/>
      <c r="QEO11" s="394"/>
      <c r="QEP11" s="394"/>
      <c r="QEQ11" s="394"/>
      <c r="QER11" s="395"/>
      <c r="QES11" s="394"/>
      <c r="QET11" s="394"/>
      <c r="QEU11" s="394"/>
      <c r="QEV11" s="394"/>
      <c r="QEW11" s="394"/>
      <c r="QEX11" s="394"/>
      <c r="QEY11" s="394"/>
      <c r="QEZ11" s="395"/>
      <c r="QFA11" s="394"/>
      <c r="QFB11" s="394"/>
      <c r="QFC11" s="394"/>
      <c r="QFD11" s="394"/>
      <c r="QFE11" s="394"/>
      <c r="QFF11" s="394"/>
      <c r="QFG11" s="394"/>
      <c r="QFH11" s="395"/>
      <c r="QFI11" s="394"/>
      <c r="QFJ11" s="394"/>
      <c r="QFK11" s="394"/>
      <c r="QFL11" s="394"/>
      <c r="QFM11" s="394"/>
      <c r="QFN11" s="394"/>
      <c r="QFO11" s="394"/>
      <c r="QFP11" s="395"/>
      <c r="QFQ11" s="394"/>
      <c r="QFR11" s="394"/>
      <c r="QFS11" s="394"/>
      <c r="QFT11" s="394"/>
      <c r="QFU11" s="394"/>
      <c r="QFV11" s="394"/>
      <c r="QFW11" s="394"/>
      <c r="QFX11" s="395"/>
      <c r="QFY11" s="394"/>
      <c r="QFZ11" s="394"/>
      <c r="QGA11" s="394"/>
      <c r="QGB11" s="394"/>
      <c r="QGC11" s="394"/>
      <c r="QGD11" s="394"/>
      <c r="QGE11" s="394"/>
      <c r="QGF11" s="395"/>
      <c r="QGG11" s="394"/>
      <c r="QGH11" s="394"/>
      <c r="QGI11" s="394"/>
      <c r="QGJ11" s="394"/>
      <c r="QGK11" s="394"/>
      <c r="QGL11" s="394"/>
      <c r="QGM11" s="394"/>
      <c r="QGN11" s="395"/>
      <c r="QGO11" s="394"/>
      <c r="QGP11" s="394"/>
      <c r="QGQ11" s="394"/>
      <c r="QGR11" s="394"/>
      <c r="QGS11" s="394"/>
      <c r="QGT11" s="394"/>
      <c r="QGU11" s="394"/>
      <c r="QGV11" s="395"/>
      <c r="QGW11" s="394"/>
      <c r="QGX11" s="394"/>
      <c r="QGY11" s="394"/>
      <c r="QGZ11" s="394"/>
      <c r="QHA11" s="394"/>
      <c r="QHB11" s="394"/>
      <c r="QHC11" s="394"/>
      <c r="QHD11" s="395"/>
      <c r="QHE11" s="394"/>
      <c r="QHF11" s="394"/>
      <c r="QHG11" s="394"/>
      <c r="QHH11" s="394"/>
      <c r="QHI11" s="394"/>
      <c r="QHJ11" s="394"/>
      <c r="QHK11" s="394"/>
      <c r="QHL11" s="395"/>
      <c r="QHM11" s="394"/>
      <c r="QHN11" s="394"/>
      <c r="QHO11" s="394"/>
      <c r="QHP11" s="394"/>
      <c r="QHQ11" s="394"/>
      <c r="QHR11" s="394"/>
      <c r="QHS11" s="394"/>
      <c r="QHT11" s="395"/>
      <c r="QHU11" s="394"/>
      <c r="QHV11" s="394"/>
      <c r="QHW11" s="394"/>
      <c r="QHX11" s="394"/>
      <c r="QHY11" s="394"/>
      <c r="QHZ11" s="394"/>
      <c r="QIA11" s="394"/>
      <c r="QIB11" s="395"/>
      <c r="QIC11" s="394"/>
      <c r="QID11" s="394"/>
      <c r="QIE11" s="394"/>
      <c r="QIF11" s="394"/>
      <c r="QIG11" s="394"/>
      <c r="QIH11" s="394"/>
      <c r="QII11" s="394"/>
      <c r="QIJ11" s="395"/>
      <c r="QIK11" s="394"/>
      <c r="QIL11" s="394"/>
      <c r="QIM11" s="394"/>
      <c r="QIN11" s="394"/>
      <c r="QIO11" s="394"/>
      <c r="QIP11" s="394"/>
      <c r="QIQ11" s="394"/>
      <c r="QIR11" s="395"/>
      <c r="QIS11" s="394"/>
      <c r="QIT11" s="394"/>
      <c r="QIU11" s="394"/>
      <c r="QIV11" s="394"/>
      <c r="QIW11" s="394"/>
      <c r="QIX11" s="394"/>
      <c r="QIY11" s="394"/>
      <c r="QIZ11" s="395"/>
      <c r="QJA11" s="394"/>
      <c r="QJB11" s="394"/>
      <c r="QJC11" s="394"/>
      <c r="QJD11" s="394"/>
      <c r="QJE11" s="394"/>
      <c r="QJF11" s="394"/>
      <c r="QJG11" s="394"/>
      <c r="QJH11" s="395"/>
      <c r="QJI11" s="394"/>
      <c r="QJJ11" s="394"/>
      <c r="QJK11" s="394"/>
      <c r="QJL11" s="394"/>
      <c r="QJM11" s="394"/>
      <c r="QJN11" s="394"/>
      <c r="QJO11" s="394"/>
      <c r="QJP11" s="395"/>
      <c r="QJQ11" s="394"/>
      <c r="QJR11" s="394"/>
      <c r="QJS11" s="394"/>
      <c r="QJT11" s="394"/>
      <c r="QJU11" s="394"/>
      <c r="QJV11" s="394"/>
      <c r="QJW11" s="394"/>
      <c r="QJX11" s="395"/>
      <c r="QJY11" s="394"/>
      <c r="QJZ11" s="394"/>
      <c r="QKA11" s="394"/>
      <c r="QKB11" s="394"/>
      <c r="QKC11" s="394"/>
      <c r="QKD11" s="394"/>
      <c r="QKE11" s="394"/>
      <c r="QKF11" s="395"/>
      <c r="QKG11" s="394"/>
      <c r="QKH11" s="394"/>
      <c r="QKI11" s="394"/>
      <c r="QKJ11" s="394"/>
      <c r="QKK11" s="394"/>
      <c r="QKL11" s="394"/>
      <c r="QKM11" s="394"/>
      <c r="QKN11" s="395"/>
      <c r="QKO11" s="394"/>
      <c r="QKP11" s="394"/>
      <c r="QKQ11" s="394"/>
      <c r="QKR11" s="394"/>
      <c r="QKS11" s="394"/>
      <c r="QKT11" s="394"/>
      <c r="QKU11" s="394"/>
      <c r="QKV11" s="395"/>
      <c r="QKW11" s="394"/>
      <c r="QKX11" s="394"/>
      <c r="QKY11" s="394"/>
      <c r="QKZ11" s="394"/>
      <c r="QLA11" s="394"/>
      <c r="QLB11" s="394"/>
      <c r="QLC11" s="394"/>
      <c r="QLD11" s="395"/>
      <c r="QLE11" s="394"/>
      <c r="QLF11" s="394"/>
      <c r="QLG11" s="394"/>
      <c r="QLH11" s="394"/>
      <c r="QLI11" s="394"/>
      <c r="QLJ11" s="394"/>
      <c r="QLK11" s="394"/>
      <c r="QLL11" s="395"/>
      <c r="QLM11" s="394"/>
      <c r="QLN11" s="394"/>
      <c r="QLO11" s="394"/>
      <c r="QLP11" s="394"/>
      <c r="QLQ11" s="394"/>
      <c r="QLR11" s="394"/>
      <c r="QLS11" s="394"/>
      <c r="QLT11" s="395"/>
      <c r="QLU11" s="394"/>
      <c r="QLV11" s="394"/>
      <c r="QLW11" s="394"/>
      <c r="QLX11" s="394"/>
      <c r="QLY11" s="394"/>
      <c r="QLZ11" s="394"/>
      <c r="QMA11" s="394"/>
      <c r="QMB11" s="395"/>
      <c r="QMC11" s="394"/>
      <c r="QMD11" s="394"/>
      <c r="QME11" s="394"/>
      <c r="QMF11" s="394"/>
      <c r="QMG11" s="394"/>
      <c r="QMH11" s="394"/>
      <c r="QMI11" s="394"/>
      <c r="QMJ11" s="395"/>
      <c r="QMK11" s="394"/>
      <c r="QML11" s="394"/>
      <c r="QMM11" s="394"/>
      <c r="QMN11" s="394"/>
      <c r="QMO11" s="394"/>
      <c r="QMP11" s="394"/>
      <c r="QMQ11" s="394"/>
      <c r="QMR11" s="395"/>
      <c r="QMS11" s="394"/>
      <c r="QMT11" s="394"/>
      <c r="QMU11" s="394"/>
      <c r="QMV11" s="394"/>
      <c r="QMW11" s="394"/>
      <c r="QMX11" s="394"/>
      <c r="QMY11" s="394"/>
      <c r="QMZ11" s="395"/>
      <c r="QNA11" s="394"/>
      <c r="QNB11" s="394"/>
      <c r="QNC11" s="394"/>
      <c r="QND11" s="394"/>
      <c r="QNE11" s="394"/>
      <c r="QNF11" s="394"/>
      <c r="QNG11" s="394"/>
      <c r="QNH11" s="395"/>
      <c r="QNI11" s="394"/>
      <c r="QNJ11" s="394"/>
      <c r="QNK11" s="394"/>
      <c r="QNL11" s="394"/>
      <c r="QNM11" s="394"/>
      <c r="QNN11" s="394"/>
      <c r="QNO11" s="394"/>
      <c r="QNP11" s="395"/>
      <c r="QNQ11" s="394"/>
      <c r="QNR11" s="394"/>
      <c r="QNS11" s="394"/>
      <c r="QNT11" s="394"/>
      <c r="QNU11" s="394"/>
      <c r="QNV11" s="394"/>
      <c r="QNW11" s="394"/>
      <c r="QNX11" s="395"/>
      <c r="QNY11" s="394"/>
      <c r="QNZ11" s="394"/>
      <c r="QOA11" s="394"/>
      <c r="QOB11" s="394"/>
      <c r="QOC11" s="394"/>
      <c r="QOD11" s="394"/>
      <c r="QOE11" s="394"/>
      <c r="QOF11" s="395"/>
      <c r="QOG11" s="394"/>
      <c r="QOH11" s="394"/>
      <c r="QOI11" s="394"/>
      <c r="QOJ11" s="394"/>
      <c r="QOK11" s="394"/>
      <c r="QOL11" s="394"/>
      <c r="QOM11" s="394"/>
      <c r="QON11" s="395"/>
      <c r="QOO11" s="394"/>
      <c r="QOP11" s="394"/>
      <c r="QOQ11" s="394"/>
      <c r="QOR11" s="394"/>
      <c r="QOS11" s="394"/>
      <c r="QOT11" s="394"/>
      <c r="QOU11" s="394"/>
      <c r="QOV11" s="395"/>
      <c r="QOW11" s="394"/>
      <c r="QOX11" s="394"/>
      <c r="QOY11" s="394"/>
      <c r="QOZ11" s="394"/>
      <c r="QPA11" s="394"/>
      <c r="QPB11" s="394"/>
      <c r="QPC11" s="394"/>
      <c r="QPD11" s="395"/>
      <c r="QPE11" s="394"/>
      <c r="QPF11" s="394"/>
      <c r="QPG11" s="394"/>
      <c r="QPH11" s="394"/>
      <c r="QPI11" s="394"/>
      <c r="QPJ11" s="394"/>
      <c r="QPK11" s="394"/>
      <c r="QPL11" s="395"/>
      <c r="QPM11" s="394"/>
      <c r="QPN11" s="394"/>
      <c r="QPO11" s="394"/>
      <c r="QPP11" s="394"/>
      <c r="QPQ11" s="394"/>
      <c r="QPR11" s="394"/>
      <c r="QPS11" s="394"/>
      <c r="QPT11" s="395"/>
      <c r="QPU11" s="394"/>
      <c r="QPV11" s="394"/>
      <c r="QPW11" s="394"/>
      <c r="QPX11" s="394"/>
      <c r="QPY11" s="394"/>
      <c r="QPZ11" s="394"/>
      <c r="QQA11" s="394"/>
      <c r="QQB11" s="395"/>
      <c r="QQC11" s="394"/>
      <c r="QQD11" s="394"/>
      <c r="QQE11" s="394"/>
      <c r="QQF11" s="394"/>
      <c r="QQG11" s="394"/>
      <c r="QQH11" s="394"/>
      <c r="QQI11" s="394"/>
      <c r="QQJ11" s="395"/>
      <c r="QQK11" s="394"/>
      <c r="QQL11" s="394"/>
      <c r="QQM11" s="394"/>
      <c r="QQN11" s="394"/>
      <c r="QQO11" s="394"/>
      <c r="QQP11" s="394"/>
      <c r="QQQ11" s="394"/>
      <c r="QQR11" s="395"/>
      <c r="QQS11" s="394"/>
      <c r="QQT11" s="394"/>
      <c r="QQU11" s="394"/>
      <c r="QQV11" s="394"/>
      <c r="QQW11" s="394"/>
      <c r="QQX11" s="394"/>
      <c r="QQY11" s="394"/>
      <c r="QQZ11" s="395"/>
      <c r="QRA11" s="394"/>
      <c r="QRB11" s="394"/>
      <c r="QRC11" s="394"/>
      <c r="QRD11" s="394"/>
      <c r="QRE11" s="394"/>
      <c r="QRF11" s="394"/>
      <c r="QRG11" s="394"/>
      <c r="QRH11" s="395"/>
      <c r="QRI11" s="394"/>
      <c r="QRJ11" s="394"/>
      <c r="QRK11" s="394"/>
      <c r="QRL11" s="394"/>
      <c r="QRM11" s="394"/>
      <c r="QRN11" s="394"/>
      <c r="QRO11" s="394"/>
      <c r="QRP11" s="395"/>
      <c r="QRQ11" s="394"/>
      <c r="QRR11" s="394"/>
      <c r="QRS11" s="394"/>
      <c r="QRT11" s="394"/>
      <c r="QRU11" s="394"/>
      <c r="QRV11" s="394"/>
      <c r="QRW11" s="394"/>
      <c r="QRX11" s="395"/>
      <c r="QRY11" s="394"/>
      <c r="QRZ11" s="394"/>
      <c r="QSA11" s="394"/>
      <c r="QSB11" s="394"/>
      <c r="QSC11" s="394"/>
      <c r="QSD11" s="394"/>
      <c r="QSE11" s="394"/>
      <c r="QSF11" s="395"/>
      <c r="QSG11" s="394"/>
      <c r="QSH11" s="394"/>
      <c r="QSI11" s="394"/>
      <c r="QSJ11" s="394"/>
      <c r="QSK11" s="394"/>
      <c r="QSL11" s="394"/>
      <c r="QSM11" s="394"/>
      <c r="QSN11" s="395"/>
      <c r="QSO11" s="394"/>
      <c r="QSP11" s="394"/>
      <c r="QSQ11" s="394"/>
      <c r="QSR11" s="394"/>
      <c r="QSS11" s="394"/>
      <c r="QST11" s="394"/>
      <c r="QSU11" s="394"/>
      <c r="QSV11" s="395"/>
      <c r="QSW11" s="394"/>
      <c r="QSX11" s="394"/>
      <c r="QSY11" s="394"/>
      <c r="QSZ11" s="394"/>
      <c r="QTA11" s="394"/>
      <c r="QTB11" s="394"/>
      <c r="QTC11" s="394"/>
      <c r="QTD11" s="395"/>
      <c r="QTE11" s="394"/>
      <c r="QTF11" s="394"/>
      <c r="QTG11" s="394"/>
      <c r="QTH11" s="394"/>
      <c r="QTI11" s="394"/>
      <c r="QTJ11" s="394"/>
      <c r="QTK11" s="394"/>
      <c r="QTL11" s="395"/>
      <c r="QTM11" s="394"/>
      <c r="QTN11" s="394"/>
      <c r="QTO11" s="394"/>
      <c r="QTP11" s="394"/>
      <c r="QTQ11" s="394"/>
      <c r="QTR11" s="394"/>
      <c r="QTS11" s="394"/>
      <c r="QTT11" s="395"/>
      <c r="QTU11" s="394"/>
      <c r="QTV11" s="394"/>
      <c r="QTW11" s="394"/>
      <c r="QTX11" s="394"/>
      <c r="QTY11" s="394"/>
      <c r="QTZ11" s="394"/>
      <c r="QUA11" s="394"/>
      <c r="QUB11" s="395"/>
      <c r="QUC11" s="394"/>
      <c r="QUD11" s="394"/>
      <c r="QUE11" s="394"/>
      <c r="QUF11" s="394"/>
      <c r="QUG11" s="394"/>
      <c r="QUH11" s="394"/>
      <c r="QUI11" s="394"/>
      <c r="QUJ11" s="395"/>
      <c r="QUK11" s="394"/>
      <c r="QUL11" s="394"/>
      <c r="QUM11" s="394"/>
      <c r="QUN11" s="394"/>
      <c r="QUO11" s="394"/>
      <c r="QUP11" s="394"/>
      <c r="QUQ11" s="394"/>
      <c r="QUR11" s="395"/>
      <c r="QUS11" s="394"/>
      <c r="QUT11" s="394"/>
      <c r="QUU11" s="394"/>
      <c r="QUV11" s="394"/>
      <c r="QUW11" s="394"/>
      <c r="QUX11" s="394"/>
      <c r="QUY11" s="394"/>
      <c r="QUZ11" s="395"/>
      <c r="QVA11" s="394"/>
      <c r="QVB11" s="394"/>
      <c r="QVC11" s="394"/>
      <c r="QVD11" s="394"/>
      <c r="QVE11" s="394"/>
      <c r="QVF11" s="394"/>
      <c r="QVG11" s="394"/>
      <c r="QVH11" s="395"/>
      <c r="QVI11" s="394"/>
      <c r="QVJ11" s="394"/>
      <c r="QVK11" s="394"/>
      <c r="QVL11" s="394"/>
      <c r="QVM11" s="394"/>
      <c r="QVN11" s="394"/>
      <c r="QVO11" s="394"/>
      <c r="QVP11" s="395"/>
      <c r="QVQ11" s="394"/>
      <c r="QVR11" s="394"/>
      <c r="QVS11" s="394"/>
      <c r="QVT11" s="394"/>
      <c r="QVU11" s="394"/>
      <c r="QVV11" s="394"/>
      <c r="QVW11" s="394"/>
      <c r="QVX11" s="395"/>
      <c r="QVY11" s="394"/>
      <c r="QVZ11" s="394"/>
      <c r="QWA11" s="394"/>
      <c r="QWB11" s="394"/>
      <c r="QWC11" s="394"/>
      <c r="QWD11" s="394"/>
      <c r="QWE11" s="394"/>
      <c r="QWF11" s="395"/>
      <c r="QWG11" s="394"/>
      <c r="QWH11" s="394"/>
      <c r="QWI11" s="394"/>
      <c r="QWJ11" s="394"/>
      <c r="QWK11" s="394"/>
      <c r="QWL11" s="394"/>
      <c r="QWM11" s="394"/>
      <c r="QWN11" s="395"/>
      <c r="QWO11" s="394"/>
      <c r="QWP11" s="394"/>
      <c r="QWQ11" s="394"/>
      <c r="QWR11" s="394"/>
      <c r="QWS11" s="394"/>
      <c r="QWT11" s="394"/>
      <c r="QWU11" s="394"/>
      <c r="QWV11" s="395"/>
      <c r="QWW11" s="394"/>
      <c r="QWX11" s="394"/>
      <c r="QWY11" s="394"/>
      <c r="QWZ11" s="394"/>
      <c r="QXA11" s="394"/>
      <c r="QXB11" s="394"/>
      <c r="QXC11" s="394"/>
      <c r="QXD11" s="395"/>
      <c r="QXE11" s="394"/>
      <c r="QXF11" s="394"/>
      <c r="QXG11" s="394"/>
      <c r="QXH11" s="394"/>
      <c r="QXI11" s="394"/>
      <c r="QXJ11" s="394"/>
      <c r="QXK11" s="394"/>
      <c r="QXL11" s="395"/>
      <c r="QXM11" s="394"/>
      <c r="QXN11" s="394"/>
      <c r="QXO11" s="394"/>
      <c r="QXP11" s="394"/>
      <c r="QXQ11" s="394"/>
      <c r="QXR11" s="394"/>
      <c r="QXS11" s="394"/>
      <c r="QXT11" s="395"/>
      <c r="QXU11" s="394"/>
      <c r="QXV11" s="394"/>
      <c r="QXW11" s="394"/>
      <c r="QXX11" s="394"/>
      <c r="QXY11" s="394"/>
      <c r="QXZ11" s="394"/>
      <c r="QYA11" s="394"/>
      <c r="QYB11" s="395"/>
      <c r="QYC11" s="394"/>
      <c r="QYD11" s="394"/>
      <c r="QYE11" s="394"/>
      <c r="QYF11" s="394"/>
      <c r="QYG11" s="394"/>
      <c r="QYH11" s="394"/>
      <c r="QYI11" s="394"/>
      <c r="QYJ11" s="395"/>
      <c r="QYK11" s="394"/>
      <c r="QYL11" s="394"/>
      <c r="QYM11" s="394"/>
      <c r="QYN11" s="394"/>
      <c r="QYO11" s="394"/>
      <c r="QYP11" s="394"/>
      <c r="QYQ11" s="394"/>
      <c r="QYR11" s="395"/>
      <c r="QYS11" s="394"/>
      <c r="QYT11" s="394"/>
      <c r="QYU11" s="394"/>
      <c r="QYV11" s="394"/>
      <c r="QYW11" s="394"/>
      <c r="QYX11" s="394"/>
      <c r="QYY11" s="394"/>
      <c r="QYZ11" s="395"/>
      <c r="QZA11" s="394"/>
      <c r="QZB11" s="394"/>
      <c r="QZC11" s="394"/>
      <c r="QZD11" s="394"/>
      <c r="QZE11" s="394"/>
      <c r="QZF11" s="394"/>
      <c r="QZG11" s="394"/>
      <c r="QZH11" s="395"/>
      <c r="QZI11" s="394"/>
      <c r="QZJ11" s="394"/>
      <c r="QZK11" s="394"/>
      <c r="QZL11" s="394"/>
      <c r="QZM11" s="394"/>
      <c r="QZN11" s="394"/>
      <c r="QZO11" s="394"/>
      <c r="QZP11" s="395"/>
      <c r="QZQ11" s="394"/>
      <c r="QZR11" s="394"/>
      <c r="QZS11" s="394"/>
      <c r="QZT11" s="394"/>
      <c r="QZU11" s="394"/>
      <c r="QZV11" s="394"/>
      <c r="QZW11" s="394"/>
      <c r="QZX11" s="395"/>
      <c r="QZY11" s="394"/>
      <c r="QZZ11" s="394"/>
      <c r="RAA11" s="394"/>
      <c r="RAB11" s="394"/>
      <c r="RAC11" s="394"/>
      <c r="RAD11" s="394"/>
      <c r="RAE11" s="394"/>
      <c r="RAF11" s="395"/>
      <c r="RAG11" s="394"/>
      <c r="RAH11" s="394"/>
      <c r="RAI11" s="394"/>
      <c r="RAJ11" s="394"/>
      <c r="RAK11" s="394"/>
      <c r="RAL11" s="394"/>
      <c r="RAM11" s="394"/>
      <c r="RAN11" s="395"/>
      <c r="RAO11" s="394"/>
      <c r="RAP11" s="394"/>
      <c r="RAQ11" s="394"/>
      <c r="RAR11" s="394"/>
      <c r="RAS11" s="394"/>
      <c r="RAT11" s="394"/>
      <c r="RAU11" s="394"/>
      <c r="RAV11" s="395"/>
      <c r="RAW11" s="394"/>
      <c r="RAX11" s="394"/>
      <c r="RAY11" s="394"/>
      <c r="RAZ11" s="394"/>
      <c r="RBA11" s="394"/>
      <c r="RBB11" s="394"/>
      <c r="RBC11" s="394"/>
      <c r="RBD11" s="395"/>
      <c r="RBE11" s="394"/>
      <c r="RBF11" s="394"/>
      <c r="RBG11" s="394"/>
      <c r="RBH11" s="394"/>
      <c r="RBI11" s="394"/>
      <c r="RBJ11" s="394"/>
      <c r="RBK11" s="394"/>
      <c r="RBL11" s="395"/>
      <c r="RBM11" s="394"/>
      <c r="RBN11" s="394"/>
      <c r="RBO11" s="394"/>
      <c r="RBP11" s="394"/>
      <c r="RBQ11" s="394"/>
      <c r="RBR11" s="394"/>
      <c r="RBS11" s="394"/>
      <c r="RBT11" s="395"/>
      <c r="RBU11" s="394"/>
      <c r="RBV11" s="394"/>
      <c r="RBW11" s="394"/>
      <c r="RBX11" s="394"/>
      <c r="RBY11" s="394"/>
      <c r="RBZ11" s="394"/>
      <c r="RCA11" s="394"/>
      <c r="RCB11" s="395"/>
      <c r="RCC11" s="394"/>
      <c r="RCD11" s="394"/>
      <c r="RCE11" s="394"/>
      <c r="RCF11" s="394"/>
      <c r="RCG11" s="394"/>
      <c r="RCH11" s="394"/>
      <c r="RCI11" s="394"/>
      <c r="RCJ11" s="395"/>
      <c r="RCK11" s="394"/>
      <c r="RCL11" s="394"/>
      <c r="RCM11" s="394"/>
      <c r="RCN11" s="394"/>
      <c r="RCO11" s="394"/>
      <c r="RCP11" s="394"/>
      <c r="RCQ11" s="394"/>
      <c r="RCR11" s="395"/>
      <c r="RCS11" s="394"/>
      <c r="RCT11" s="394"/>
      <c r="RCU11" s="394"/>
      <c r="RCV11" s="394"/>
      <c r="RCW11" s="394"/>
      <c r="RCX11" s="394"/>
      <c r="RCY11" s="394"/>
      <c r="RCZ11" s="395"/>
      <c r="RDA11" s="394"/>
      <c r="RDB11" s="394"/>
      <c r="RDC11" s="394"/>
      <c r="RDD11" s="394"/>
      <c r="RDE11" s="394"/>
      <c r="RDF11" s="394"/>
      <c r="RDG11" s="394"/>
      <c r="RDH11" s="395"/>
      <c r="RDI11" s="394"/>
      <c r="RDJ11" s="394"/>
      <c r="RDK11" s="394"/>
      <c r="RDL11" s="394"/>
      <c r="RDM11" s="394"/>
      <c r="RDN11" s="394"/>
      <c r="RDO11" s="394"/>
      <c r="RDP11" s="395"/>
      <c r="RDQ11" s="394"/>
      <c r="RDR11" s="394"/>
      <c r="RDS11" s="394"/>
      <c r="RDT11" s="394"/>
      <c r="RDU11" s="394"/>
      <c r="RDV11" s="394"/>
      <c r="RDW11" s="394"/>
      <c r="RDX11" s="395"/>
      <c r="RDY11" s="394"/>
      <c r="RDZ11" s="394"/>
      <c r="REA11" s="394"/>
      <c r="REB11" s="394"/>
      <c r="REC11" s="394"/>
      <c r="RED11" s="394"/>
      <c r="REE11" s="394"/>
      <c r="REF11" s="395"/>
      <c r="REG11" s="394"/>
      <c r="REH11" s="394"/>
      <c r="REI11" s="394"/>
      <c r="REJ11" s="394"/>
      <c r="REK11" s="394"/>
      <c r="REL11" s="394"/>
      <c r="REM11" s="394"/>
      <c r="REN11" s="395"/>
      <c r="REO11" s="394"/>
      <c r="REP11" s="394"/>
      <c r="REQ11" s="394"/>
      <c r="RER11" s="394"/>
      <c r="RES11" s="394"/>
      <c r="RET11" s="394"/>
      <c r="REU11" s="394"/>
      <c r="REV11" s="395"/>
      <c r="REW11" s="394"/>
      <c r="REX11" s="394"/>
      <c r="REY11" s="394"/>
      <c r="REZ11" s="394"/>
      <c r="RFA11" s="394"/>
      <c r="RFB11" s="394"/>
      <c r="RFC11" s="394"/>
      <c r="RFD11" s="395"/>
      <c r="RFE11" s="394"/>
      <c r="RFF11" s="394"/>
      <c r="RFG11" s="394"/>
      <c r="RFH11" s="394"/>
      <c r="RFI11" s="394"/>
      <c r="RFJ11" s="394"/>
      <c r="RFK11" s="394"/>
      <c r="RFL11" s="395"/>
      <c r="RFM11" s="394"/>
      <c r="RFN11" s="394"/>
      <c r="RFO11" s="394"/>
      <c r="RFP11" s="394"/>
      <c r="RFQ11" s="394"/>
      <c r="RFR11" s="394"/>
      <c r="RFS11" s="394"/>
      <c r="RFT11" s="395"/>
      <c r="RFU11" s="394"/>
      <c r="RFV11" s="394"/>
      <c r="RFW11" s="394"/>
      <c r="RFX11" s="394"/>
      <c r="RFY11" s="394"/>
      <c r="RFZ11" s="394"/>
      <c r="RGA11" s="394"/>
      <c r="RGB11" s="395"/>
      <c r="RGC11" s="394"/>
      <c r="RGD11" s="394"/>
      <c r="RGE11" s="394"/>
      <c r="RGF11" s="394"/>
      <c r="RGG11" s="394"/>
      <c r="RGH11" s="394"/>
      <c r="RGI11" s="394"/>
      <c r="RGJ11" s="395"/>
      <c r="RGK11" s="394"/>
      <c r="RGL11" s="394"/>
      <c r="RGM11" s="394"/>
      <c r="RGN11" s="394"/>
      <c r="RGO11" s="394"/>
      <c r="RGP11" s="394"/>
      <c r="RGQ11" s="394"/>
      <c r="RGR11" s="395"/>
      <c r="RGS11" s="394"/>
      <c r="RGT11" s="394"/>
      <c r="RGU11" s="394"/>
      <c r="RGV11" s="394"/>
      <c r="RGW11" s="394"/>
      <c r="RGX11" s="394"/>
      <c r="RGY11" s="394"/>
      <c r="RGZ11" s="395"/>
      <c r="RHA11" s="394"/>
      <c r="RHB11" s="394"/>
      <c r="RHC11" s="394"/>
      <c r="RHD11" s="394"/>
      <c r="RHE11" s="394"/>
      <c r="RHF11" s="394"/>
      <c r="RHG11" s="394"/>
      <c r="RHH11" s="395"/>
      <c r="RHI11" s="394"/>
      <c r="RHJ11" s="394"/>
      <c r="RHK11" s="394"/>
      <c r="RHL11" s="394"/>
      <c r="RHM11" s="394"/>
      <c r="RHN11" s="394"/>
      <c r="RHO11" s="394"/>
      <c r="RHP11" s="395"/>
      <c r="RHQ11" s="394"/>
      <c r="RHR11" s="394"/>
      <c r="RHS11" s="394"/>
      <c r="RHT11" s="394"/>
      <c r="RHU11" s="394"/>
      <c r="RHV11" s="394"/>
      <c r="RHW11" s="394"/>
      <c r="RHX11" s="395"/>
      <c r="RHY11" s="394"/>
      <c r="RHZ11" s="394"/>
      <c r="RIA11" s="394"/>
      <c r="RIB11" s="394"/>
      <c r="RIC11" s="394"/>
      <c r="RID11" s="394"/>
      <c r="RIE11" s="394"/>
      <c r="RIF11" s="395"/>
      <c r="RIG11" s="394"/>
      <c r="RIH11" s="394"/>
      <c r="RII11" s="394"/>
      <c r="RIJ11" s="394"/>
      <c r="RIK11" s="394"/>
      <c r="RIL11" s="394"/>
      <c r="RIM11" s="394"/>
      <c r="RIN11" s="395"/>
      <c r="RIO11" s="394"/>
      <c r="RIP11" s="394"/>
      <c r="RIQ11" s="394"/>
      <c r="RIR11" s="394"/>
      <c r="RIS11" s="394"/>
      <c r="RIT11" s="394"/>
      <c r="RIU11" s="394"/>
      <c r="RIV11" s="395"/>
      <c r="RIW11" s="394"/>
      <c r="RIX11" s="394"/>
      <c r="RIY11" s="394"/>
      <c r="RIZ11" s="394"/>
      <c r="RJA11" s="394"/>
      <c r="RJB11" s="394"/>
      <c r="RJC11" s="394"/>
      <c r="RJD11" s="395"/>
      <c r="RJE11" s="394"/>
      <c r="RJF11" s="394"/>
      <c r="RJG11" s="394"/>
      <c r="RJH11" s="394"/>
      <c r="RJI11" s="394"/>
      <c r="RJJ11" s="394"/>
      <c r="RJK11" s="394"/>
      <c r="RJL11" s="395"/>
      <c r="RJM11" s="394"/>
      <c r="RJN11" s="394"/>
      <c r="RJO11" s="394"/>
      <c r="RJP11" s="394"/>
      <c r="RJQ11" s="394"/>
      <c r="RJR11" s="394"/>
      <c r="RJS11" s="394"/>
      <c r="RJT11" s="395"/>
      <c r="RJU11" s="394"/>
      <c r="RJV11" s="394"/>
      <c r="RJW11" s="394"/>
      <c r="RJX11" s="394"/>
      <c r="RJY11" s="394"/>
      <c r="RJZ11" s="394"/>
      <c r="RKA11" s="394"/>
      <c r="RKB11" s="395"/>
      <c r="RKC11" s="394"/>
      <c r="RKD11" s="394"/>
      <c r="RKE11" s="394"/>
      <c r="RKF11" s="394"/>
      <c r="RKG11" s="394"/>
      <c r="RKH11" s="394"/>
      <c r="RKI11" s="394"/>
      <c r="RKJ11" s="395"/>
      <c r="RKK11" s="394"/>
      <c r="RKL11" s="394"/>
      <c r="RKM11" s="394"/>
      <c r="RKN11" s="394"/>
      <c r="RKO11" s="394"/>
      <c r="RKP11" s="394"/>
      <c r="RKQ11" s="394"/>
      <c r="RKR11" s="395"/>
      <c r="RKS11" s="394"/>
      <c r="RKT11" s="394"/>
      <c r="RKU11" s="394"/>
      <c r="RKV11" s="394"/>
      <c r="RKW11" s="394"/>
      <c r="RKX11" s="394"/>
      <c r="RKY11" s="394"/>
      <c r="RKZ11" s="395"/>
      <c r="RLA11" s="394"/>
      <c r="RLB11" s="394"/>
      <c r="RLC11" s="394"/>
      <c r="RLD11" s="394"/>
      <c r="RLE11" s="394"/>
      <c r="RLF11" s="394"/>
      <c r="RLG11" s="394"/>
      <c r="RLH11" s="395"/>
      <c r="RLI11" s="394"/>
      <c r="RLJ11" s="394"/>
      <c r="RLK11" s="394"/>
      <c r="RLL11" s="394"/>
      <c r="RLM11" s="394"/>
      <c r="RLN11" s="394"/>
      <c r="RLO11" s="394"/>
      <c r="RLP11" s="395"/>
      <c r="RLQ11" s="394"/>
      <c r="RLR11" s="394"/>
      <c r="RLS11" s="394"/>
      <c r="RLT11" s="394"/>
      <c r="RLU11" s="394"/>
      <c r="RLV11" s="394"/>
      <c r="RLW11" s="394"/>
      <c r="RLX11" s="395"/>
      <c r="RLY11" s="394"/>
      <c r="RLZ11" s="394"/>
      <c r="RMA11" s="394"/>
      <c r="RMB11" s="394"/>
      <c r="RMC11" s="394"/>
      <c r="RMD11" s="394"/>
      <c r="RME11" s="394"/>
      <c r="RMF11" s="395"/>
      <c r="RMG11" s="394"/>
      <c r="RMH11" s="394"/>
      <c r="RMI11" s="394"/>
      <c r="RMJ11" s="394"/>
      <c r="RMK11" s="394"/>
      <c r="RML11" s="394"/>
      <c r="RMM11" s="394"/>
      <c r="RMN11" s="395"/>
      <c r="RMO11" s="394"/>
      <c r="RMP11" s="394"/>
      <c r="RMQ11" s="394"/>
      <c r="RMR11" s="394"/>
      <c r="RMS11" s="394"/>
      <c r="RMT11" s="394"/>
      <c r="RMU11" s="394"/>
      <c r="RMV11" s="395"/>
      <c r="RMW11" s="394"/>
      <c r="RMX11" s="394"/>
      <c r="RMY11" s="394"/>
      <c r="RMZ11" s="394"/>
      <c r="RNA11" s="394"/>
      <c r="RNB11" s="394"/>
      <c r="RNC11" s="394"/>
      <c r="RND11" s="395"/>
      <c r="RNE11" s="394"/>
      <c r="RNF11" s="394"/>
      <c r="RNG11" s="394"/>
      <c r="RNH11" s="394"/>
      <c r="RNI11" s="394"/>
      <c r="RNJ11" s="394"/>
      <c r="RNK11" s="394"/>
      <c r="RNL11" s="395"/>
      <c r="RNM11" s="394"/>
      <c r="RNN11" s="394"/>
      <c r="RNO11" s="394"/>
      <c r="RNP11" s="394"/>
      <c r="RNQ11" s="394"/>
      <c r="RNR11" s="394"/>
      <c r="RNS11" s="394"/>
      <c r="RNT11" s="395"/>
      <c r="RNU11" s="394"/>
      <c r="RNV11" s="394"/>
      <c r="RNW11" s="394"/>
      <c r="RNX11" s="394"/>
      <c r="RNY11" s="394"/>
      <c r="RNZ11" s="394"/>
      <c r="ROA11" s="394"/>
      <c r="ROB11" s="395"/>
      <c r="ROC11" s="394"/>
      <c r="ROD11" s="394"/>
      <c r="ROE11" s="394"/>
      <c r="ROF11" s="394"/>
      <c r="ROG11" s="394"/>
      <c r="ROH11" s="394"/>
      <c r="ROI11" s="394"/>
      <c r="ROJ11" s="395"/>
      <c r="ROK11" s="394"/>
      <c r="ROL11" s="394"/>
      <c r="ROM11" s="394"/>
      <c r="RON11" s="394"/>
      <c r="ROO11" s="394"/>
      <c r="ROP11" s="394"/>
      <c r="ROQ11" s="394"/>
      <c r="ROR11" s="395"/>
      <c r="ROS11" s="394"/>
      <c r="ROT11" s="394"/>
      <c r="ROU11" s="394"/>
      <c r="ROV11" s="394"/>
      <c r="ROW11" s="394"/>
      <c r="ROX11" s="394"/>
      <c r="ROY11" s="394"/>
      <c r="ROZ11" s="395"/>
      <c r="RPA11" s="394"/>
      <c r="RPB11" s="394"/>
      <c r="RPC11" s="394"/>
      <c r="RPD11" s="394"/>
      <c r="RPE11" s="394"/>
      <c r="RPF11" s="394"/>
      <c r="RPG11" s="394"/>
      <c r="RPH11" s="395"/>
      <c r="RPI11" s="394"/>
      <c r="RPJ11" s="394"/>
      <c r="RPK11" s="394"/>
      <c r="RPL11" s="394"/>
      <c r="RPM11" s="394"/>
      <c r="RPN11" s="394"/>
      <c r="RPO11" s="394"/>
      <c r="RPP11" s="395"/>
      <c r="RPQ11" s="394"/>
      <c r="RPR11" s="394"/>
      <c r="RPS11" s="394"/>
      <c r="RPT11" s="394"/>
      <c r="RPU11" s="394"/>
      <c r="RPV11" s="394"/>
      <c r="RPW11" s="394"/>
      <c r="RPX11" s="395"/>
      <c r="RPY11" s="394"/>
      <c r="RPZ11" s="394"/>
      <c r="RQA11" s="394"/>
      <c r="RQB11" s="394"/>
      <c r="RQC11" s="394"/>
      <c r="RQD11" s="394"/>
      <c r="RQE11" s="394"/>
      <c r="RQF11" s="395"/>
      <c r="RQG11" s="394"/>
      <c r="RQH11" s="394"/>
      <c r="RQI11" s="394"/>
      <c r="RQJ11" s="394"/>
      <c r="RQK11" s="394"/>
      <c r="RQL11" s="394"/>
      <c r="RQM11" s="394"/>
      <c r="RQN11" s="395"/>
      <c r="RQO11" s="394"/>
      <c r="RQP11" s="394"/>
      <c r="RQQ11" s="394"/>
      <c r="RQR11" s="394"/>
      <c r="RQS11" s="394"/>
      <c r="RQT11" s="394"/>
      <c r="RQU11" s="394"/>
      <c r="RQV11" s="395"/>
      <c r="RQW11" s="394"/>
      <c r="RQX11" s="394"/>
      <c r="RQY11" s="394"/>
      <c r="RQZ11" s="394"/>
      <c r="RRA11" s="394"/>
      <c r="RRB11" s="394"/>
      <c r="RRC11" s="394"/>
      <c r="RRD11" s="395"/>
      <c r="RRE11" s="394"/>
      <c r="RRF11" s="394"/>
      <c r="RRG11" s="394"/>
      <c r="RRH11" s="394"/>
      <c r="RRI11" s="394"/>
      <c r="RRJ11" s="394"/>
      <c r="RRK11" s="394"/>
      <c r="RRL11" s="395"/>
      <c r="RRM11" s="394"/>
      <c r="RRN11" s="394"/>
      <c r="RRO11" s="394"/>
      <c r="RRP11" s="394"/>
      <c r="RRQ11" s="394"/>
      <c r="RRR11" s="394"/>
      <c r="RRS11" s="394"/>
      <c r="RRT11" s="395"/>
      <c r="RRU11" s="394"/>
      <c r="RRV11" s="394"/>
      <c r="RRW11" s="394"/>
      <c r="RRX11" s="394"/>
      <c r="RRY11" s="394"/>
      <c r="RRZ11" s="394"/>
      <c r="RSA11" s="394"/>
      <c r="RSB11" s="395"/>
      <c r="RSC11" s="394"/>
      <c r="RSD11" s="394"/>
      <c r="RSE11" s="394"/>
      <c r="RSF11" s="394"/>
      <c r="RSG11" s="394"/>
      <c r="RSH11" s="394"/>
      <c r="RSI11" s="394"/>
      <c r="RSJ11" s="395"/>
      <c r="RSK11" s="394"/>
      <c r="RSL11" s="394"/>
      <c r="RSM11" s="394"/>
      <c r="RSN11" s="394"/>
      <c r="RSO11" s="394"/>
      <c r="RSP11" s="394"/>
      <c r="RSQ11" s="394"/>
      <c r="RSR11" s="395"/>
      <c r="RSS11" s="394"/>
      <c r="RST11" s="394"/>
      <c r="RSU11" s="394"/>
      <c r="RSV11" s="394"/>
      <c r="RSW11" s="394"/>
      <c r="RSX11" s="394"/>
      <c r="RSY11" s="394"/>
      <c r="RSZ11" s="395"/>
      <c r="RTA11" s="394"/>
      <c r="RTB11" s="394"/>
      <c r="RTC11" s="394"/>
      <c r="RTD11" s="394"/>
      <c r="RTE11" s="394"/>
      <c r="RTF11" s="394"/>
      <c r="RTG11" s="394"/>
      <c r="RTH11" s="395"/>
      <c r="RTI11" s="394"/>
      <c r="RTJ11" s="394"/>
      <c r="RTK11" s="394"/>
      <c r="RTL11" s="394"/>
      <c r="RTM11" s="394"/>
      <c r="RTN11" s="394"/>
      <c r="RTO11" s="394"/>
      <c r="RTP11" s="395"/>
      <c r="RTQ11" s="394"/>
      <c r="RTR11" s="394"/>
      <c r="RTS11" s="394"/>
      <c r="RTT11" s="394"/>
      <c r="RTU11" s="394"/>
      <c r="RTV11" s="394"/>
      <c r="RTW11" s="394"/>
      <c r="RTX11" s="395"/>
      <c r="RTY11" s="394"/>
      <c r="RTZ11" s="394"/>
      <c r="RUA11" s="394"/>
      <c r="RUB11" s="394"/>
      <c r="RUC11" s="394"/>
      <c r="RUD11" s="394"/>
      <c r="RUE11" s="394"/>
      <c r="RUF11" s="395"/>
      <c r="RUG11" s="394"/>
      <c r="RUH11" s="394"/>
      <c r="RUI11" s="394"/>
      <c r="RUJ11" s="394"/>
      <c r="RUK11" s="394"/>
      <c r="RUL11" s="394"/>
      <c r="RUM11" s="394"/>
      <c r="RUN11" s="395"/>
      <c r="RUO11" s="394"/>
      <c r="RUP11" s="394"/>
      <c r="RUQ11" s="394"/>
      <c r="RUR11" s="394"/>
      <c r="RUS11" s="394"/>
      <c r="RUT11" s="394"/>
      <c r="RUU11" s="394"/>
      <c r="RUV11" s="395"/>
      <c r="RUW11" s="394"/>
      <c r="RUX11" s="394"/>
      <c r="RUY11" s="394"/>
      <c r="RUZ11" s="394"/>
      <c r="RVA11" s="394"/>
      <c r="RVB11" s="394"/>
      <c r="RVC11" s="394"/>
      <c r="RVD11" s="395"/>
      <c r="RVE11" s="394"/>
      <c r="RVF11" s="394"/>
      <c r="RVG11" s="394"/>
      <c r="RVH11" s="394"/>
      <c r="RVI11" s="394"/>
      <c r="RVJ11" s="394"/>
      <c r="RVK11" s="394"/>
      <c r="RVL11" s="395"/>
      <c r="RVM11" s="394"/>
      <c r="RVN11" s="394"/>
      <c r="RVO11" s="394"/>
      <c r="RVP11" s="394"/>
      <c r="RVQ11" s="394"/>
      <c r="RVR11" s="394"/>
      <c r="RVS11" s="394"/>
      <c r="RVT11" s="395"/>
      <c r="RVU11" s="394"/>
      <c r="RVV11" s="394"/>
      <c r="RVW11" s="394"/>
      <c r="RVX11" s="394"/>
      <c r="RVY11" s="394"/>
      <c r="RVZ11" s="394"/>
      <c r="RWA11" s="394"/>
      <c r="RWB11" s="395"/>
      <c r="RWC11" s="394"/>
      <c r="RWD11" s="394"/>
      <c r="RWE11" s="394"/>
      <c r="RWF11" s="394"/>
      <c r="RWG11" s="394"/>
      <c r="RWH11" s="394"/>
      <c r="RWI11" s="394"/>
      <c r="RWJ11" s="395"/>
      <c r="RWK11" s="394"/>
      <c r="RWL11" s="394"/>
      <c r="RWM11" s="394"/>
      <c r="RWN11" s="394"/>
      <c r="RWO11" s="394"/>
      <c r="RWP11" s="394"/>
      <c r="RWQ11" s="394"/>
      <c r="RWR11" s="395"/>
      <c r="RWS11" s="394"/>
      <c r="RWT11" s="394"/>
      <c r="RWU11" s="394"/>
      <c r="RWV11" s="394"/>
      <c r="RWW11" s="394"/>
      <c r="RWX11" s="394"/>
      <c r="RWY11" s="394"/>
      <c r="RWZ11" s="395"/>
      <c r="RXA11" s="394"/>
      <c r="RXB11" s="394"/>
      <c r="RXC11" s="394"/>
      <c r="RXD11" s="394"/>
      <c r="RXE11" s="394"/>
      <c r="RXF11" s="394"/>
      <c r="RXG11" s="394"/>
      <c r="RXH11" s="395"/>
      <c r="RXI11" s="394"/>
      <c r="RXJ11" s="394"/>
      <c r="RXK11" s="394"/>
      <c r="RXL11" s="394"/>
      <c r="RXM11" s="394"/>
      <c r="RXN11" s="394"/>
      <c r="RXO11" s="394"/>
      <c r="RXP11" s="395"/>
      <c r="RXQ11" s="394"/>
      <c r="RXR11" s="394"/>
      <c r="RXS11" s="394"/>
      <c r="RXT11" s="394"/>
      <c r="RXU11" s="394"/>
      <c r="RXV11" s="394"/>
      <c r="RXW11" s="394"/>
      <c r="RXX11" s="395"/>
      <c r="RXY11" s="394"/>
      <c r="RXZ11" s="394"/>
      <c r="RYA11" s="394"/>
      <c r="RYB11" s="394"/>
      <c r="RYC11" s="394"/>
      <c r="RYD11" s="394"/>
      <c r="RYE11" s="394"/>
      <c r="RYF11" s="395"/>
      <c r="RYG11" s="394"/>
      <c r="RYH11" s="394"/>
      <c r="RYI11" s="394"/>
      <c r="RYJ11" s="394"/>
      <c r="RYK11" s="394"/>
      <c r="RYL11" s="394"/>
      <c r="RYM11" s="394"/>
      <c r="RYN11" s="395"/>
      <c r="RYO11" s="394"/>
      <c r="RYP11" s="394"/>
      <c r="RYQ11" s="394"/>
      <c r="RYR11" s="394"/>
      <c r="RYS11" s="394"/>
      <c r="RYT11" s="394"/>
      <c r="RYU11" s="394"/>
      <c r="RYV11" s="395"/>
      <c r="RYW11" s="394"/>
      <c r="RYX11" s="394"/>
      <c r="RYY11" s="394"/>
      <c r="RYZ11" s="394"/>
      <c r="RZA11" s="394"/>
      <c r="RZB11" s="394"/>
      <c r="RZC11" s="394"/>
      <c r="RZD11" s="395"/>
      <c r="RZE11" s="394"/>
      <c r="RZF11" s="394"/>
      <c r="RZG11" s="394"/>
      <c r="RZH11" s="394"/>
      <c r="RZI11" s="394"/>
      <c r="RZJ11" s="394"/>
      <c r="RZK11" s="394"/>
      <c r="RZL11" s="395"/>
      <c r="RZM11" s="394"/>
      <c r="RZN11" s="394"/>
      <c r="RZO11" s="394"/>
      <c r="RZP11" s="394"/>
      <c r="RZQ11" s="394"/>
      <c r="RZR11" s="394"/>
      <c r="RZS11" s="394"/>
      <c r="RZT11" s="395"/>
      <c r="RZU11" s="394"/>
      <c r="RZV11" s="394"/>
      <c r="RZW11" s="394"/>
      <c r="RZX11" s="394"/>
      <c r="RZY11" s="394"/>
      <c r="RZZ11" s="394"/>
      <c r="SAA11" s="394"/>
      <c r="SAB11" s="395"/>
      <c r="SAC11" s="394"/>
      <c r="SAD11" s="394"/>
      <c r="SAE11" s="394"/>
      <c r="SAF11" s="394"/>
      <c r="SAG11" s="394"/>
      <c r="SAH11" s="394"/>
      <c r="SAI11" s="394"/>
      <c r="SAJ11" s="395"/>
      <c r="SAK11" s="394"/>
      <c r="SAL11" s="394"/>
      <c r="SAM11" s="394"/>
      <c r="SAN11" s="394"/>
      <c r="SAO11" s="394"/>
      <c r="SAP11" s="394"/>
      <c r="SAQ11" s="394"/>
      <c r="SAR11" s="395"/>
      <c r="SAS11" s="394"/>
      <c r="SAT11" s="394"/>
      <c r="SAU11" s="394"/>
      <c r="SAV11" s="394"/>
      <c r="SAW11" s="394"/>
      <c r="SAX11" s="394"/>
      <c r="SAY11" s="394"/>
      <c r="SAZ11" s="395"/>
      <c r="SBA11" s="394"/>
      <c r="SBB11" s="394"/>
      <c r="SBC11" s="394"/>
      <c r="SBD11" s="394"/>
      <c r="SBE11" s="394"/>
      <c r="SBF11" s="394"/>
      <c r="SBG11" s="394"/>
      <c r="SBH11" s="395"/>
      <c r="SBI11" s="394"/>
      <c r="SBJ11" s="394"/>
      <c r="SBK11" s="394"/>
      <c r="SBL11" s="394"/>
      <c r="SBM11" s="394"/>
      <c r="SBN11" s="394"/>
      <c r="SBO11" s="394"/>
      <c r="SBP11" s="395"/>
      <c r="SBQ11" s="394"/>
      <c r="SBR11" s="394"/>
      <c r="SBS11" s="394"/>
      <c r="SBT11" s="394"/>
      <c r="SBU11" s="394"/>
      <c r="SBV11" s="394"/>
      <c r="SBW11" s="394"/>
      <c r="SBX11" s="395"/>
      <c r="SBY11" s="394"/>
      <c r="SBZ11" s="394"/>
      <c r="SCA11" s="394"/>
      <c r="SCB11" s="394"/>
      <c r="SCC11" s="394"/>
      <c r="SCD11" s="394"/>
      <c r="SCE11" s="394"/>
      <c r="SCF11" s="395"/>
      <c r="SCG11" s="394"/>
      <c r="SCH11" s="394"/>
      <c r="SCI11" s="394"/>
      <c r="SCJ11" s="394"/>
      <c r="SCK11" s="394"/>
      <c r="SCL11" s="394"/>
      <c r="SCM11" s="394"/>
      <c r="SCN11" s="395"/>
      <c r="SCO11" s="394"/>
      <c r="SCP11" s="394"/>
      <c r="SCQ11" s="394"/>
      <c r="SCR11" s="394"/>
      <c r="SCS11" s="394"/>
      <c r="SCT11" s="394"/>
      <c r="SCU11" s="394"/>
      <c r="SCV11" s="395"/>
      <c r="SCW11" s="394"/>
      <c r="SCX11" s="394"/>
      <c r="SCY11" s="394"/>
      <c r="SCZ11" s="394"/>
      <c r="SDA11" s="394"/>
      <c r="SDB11" s="394"/>
      <c r="SDC11" s="394"/>
      <c r="SDD11" s="395"/>
      <c r="SDE11" s="394"/>
      <c r="SDF11" s="394"/>
      <c r="SDG11" s="394"/>
      <c r="SDH11" s="394"/>
      <c r="SDI11" s="394"/>
      <c r="SDJ11" s="394"/>
      <c r="SDK11" s="394"/>
      <c r="SDL11" s="395"/>
      <c r="SDM11" s="394"/>
      <c r="SDN11" s="394"/>
      <c r="SDO11" s="394"/>
      <c r="SDP11" s="394"/>
      <c r="SDQ11" s="394"/>
      <c r="SDR11" s="394"/>
      <c r="SDS11" s="394"/>
      <c r="SDT11" s="395"/>
      <c r="SDU11" s="394"/>
      <c r="SDV11" s="394"/>
      <c r="SDW11" s="394"/>
      <c r="SDX11" s="394"/>
      <c r="SDY11" s="394"/>
      <c r="SDZ11" s="394"/>
      <c r="SEA11" s="394"/>
      <c r="SEB11" s="395"/>
      <c r="SEC11" s="394"/>
      <c r="SED11" s="394"/>
      <c r="SEE11" s="394"/>
      <c r="SEF11" s="394"/>
      <c r="SEG11" s="394"/>
      <c r="SEH11" s="394"/>
      <c r="SEI11" s="394"/>
      <c r="SEJ11" s="395"/>
      <c r="SEK11" s="394"/>
      <c r="SEL11" s="394"/>
      <c r="SEM11" s="394"/>
      <c r="SEN11" s="394"/>
      <c r="SEO11" s="394"/>
      <c r="SEP11" s="394"/>
      <c r="SEQ11" s="394"/>
      <c r="SER11" s="395"/>
      <c r="SES11" s="394"/>
      <c r="SET11" s="394"/>
      <c r="SEU11" s="394"/>
      <c r="SEV11" s="394"/>
      <c r="SEW11" s="394"/>
      <c r="SEX11" s="394"/>
      <c r="SEY11" s="394"/>
      <c r="SEZ11" s="395"/>
      <c r="SFA11" s="394"/>
      <c r="SFB11" s="394"/>
      <c r="SFC11" s="394"/>
      <c r="SFD11" s="394"/>
      <c r="SFE11" s="394"/>
      <c r="SFF11" s="394"/>
      <c r="SFG11" s="394"/>
      <c r="SFH11" s="395"/>
      <c r="SFI11" s="394"/>
      <c r="SFJ11" s="394"/>
      <c r="SFK11" s="394"/>
      <c r="SFL11" s="394"/>
      <c r="SFM11" s="394"/>
      <c r="SFN11" s="394"/>
      <c r="SFO11" s="394"/>
      <c r="SFP11" s="395"/>
      <c r="SFQ11" s="394"/>
      <c r="SFR11" s="394"/>
      <c r="SFS11" s="394"/>
      <c r="SFT11" s="394"/>
      <c r="SFU11" s="394"/>
      <c r="SFV11" s="394"/>
      <c r="SFW11" s="394"/>
      <c r="SFX11" s="395"/>
      <c r="SFY11" s="394"/>
      <c r="SFZ11" s="394"/>
      <c r="SGA11" s="394"/>
      <c r="SGB11" s="394"/>
      <c r="SGC11" s="394"/>
      <c r="SGD11" s="394"/>
      <c r="SGE11" s="394"/>
      <c r="SGF11" s="395"/>
      <c r="SGG11" s="394"/>
      <c r="SGH11" s="394"/>
      <c r="SGI11" s="394"/>
      <c r="SGJ11" s="394"/>
      <c r="SGK11" s="394"/>
      <c r="SGL11" s="394"/>
      <c r="SGM11" s="394"/>
      <c r="SGN11" s="395"/>
      <c r="SGO11" s="394"/>
      <c r="SGP11" s="394"/>
      <c r="SGQ11" s="394"/>
      <c r="SGR11" s="394"/>
      <c r="SGS11" s="394"/>
      <c r="SGT11" s="394"/>
      <c r="SGU11" s="394"/>
      <c r="SGV11" s="395"/>
      <c r="SGW11" s="394"/>
      <c r="SGX11" s="394"/>
      <c r="SGY11" s="394"/>
      <c r="SGZ11" s="394"/>
      <c r="SHA11" s="394"/>
      <c r="SHB11" s="394"/>
      <c r="SHC11" s="394"/>
      <c r="SHD11" s="395"/>
      <c r="SHE11" s="394"/>
      <c r="SHF11" s="394"/>
      <c r="SHG11" s="394"/>
      <c r="SHH11" s="394"/>
      <c r="SHI11" s="394"/>
      <c r="SHJ11" s="394"/>
      <c r="SHK11" s="394"/>
      <c r="SHL11" s="395"/>
      <c r="SHM11" s="394"/>
      <c r="SHN11" s="394"/>
      <c r="SHO11" s="394"/>
      <c r="SHP11" s="394"/>
      <c r="SHQ11" s="394"/>
      <c r="SHR11" s="394"/>
      <c r="SHS11" s="394"/>
      <c r="SHT11" s="395"/>
      <c r="SHU11" s="394"/>
      <c r="SHV11" s="394"/>
      <c r="SHW11" s="394"/>
      <c r="SHX11" s="394"/>
      <c r="SHY11" s="394"/>
      <c r="SHZ11" s="394"/>
      <c r="SIA11" s="394"/>
      <c r="SIB11" s="395"/>
      <c r="SIC11" s="394"/>
      <c r="SID11" s="394"/>
      <c r="SIE11" s="394"/>
      <c r="SIF11" s="394"/>
      <c r="SIG11" s="394"/>
      <c r="SIH11" s="394"/>
      <c r="SII11" s="394"/>
      <c r="SIJ11" s="395"/>
      <c r="SIK11" s="394"/>
      <c r="SIL11" s="394"/>
      <c r="SIM11" s="394"/>
      <c r="SIN11" s="394"/>
      <c r="SIO11" s="394"/>
      <c r="SIP11" s="394"/>
      <c r="SIQ11" s="394"/>
      <c r="SIR11" s="395"/>
      <c r="SIS11" s="394"/>
      <c r="SIT11" s="394"/>
      <c r="SIU11" s="394"/>
      <c r="SIV11" s="394"/>
      <c r="SIW11" s="394"/>
      <c r="SIX11" s="394"/>
      <c r="SIY11" s="394"/>
      <c r="SIZ11" s="395"/>
      <c r="SJA11" s="394"/>
      <c r="SJB11" s="394"/>
      <c r="SJC11" s="394"/>
      <c r="SJD11" s="394"/>
      <c r="SJE11" s="394"/>
      <c r="SJF11" s="394"/>
      <c r="SJG11" s="394"/>
      <c r="SJH11" s="395"/>
      <c r="SJI11" s="394"/>
      <c r="SJJ11" s="394"/>
      <c r="SJK11" s="394"/>
      <c r="SJL11" s="394"/>
      <c r="SJM11" s="394"/>
      <c r="SJN11" s="394"/>
      <c r="SJO11" s="394"/>
      <c r="SJP11" s="395"/>
      <c r="SJQ11" s="394"/>
      <c r="SJR11" s="394"/>
      <c r="SJS11" s="394"/>
      <c r="SJT11" s="394"/>
      <c r="SJU11" s="394"/>
      <c r="SJV11" s="394"/>
      <c r="SJW11" s="394"/>
      <c r="SJX11" s="395"/>
      <c r="SJY11" s="394"/>
      <c r="SJZ11" s="394"/>
      <c r="SKA11" s="394"/>
      <c r="SKB11" s="394"/>
      <c r="SKC11" s="394"/>
      <c r="SKD11" s="394"/>
      <c r="SKE11" s="394"/>
      <c r="SKF11" s="395"/>
      <c r="SKG11" s="394"/>
      <c r="SKH11" s="394"/>
      <c r="SKI11" s="394"/>
      <c r="SKJ11" s="394"/>
      <c r="SKK11" s="394"/>
      <c r="SKL11" s="394"/>
      <c r="SKM11" s="394"/>
      <c r="SKN11" s="395"/>
      <c r="SKO11" s="394"/>
      <c r="SKP11" s="394"/>
      <c r="SKQ11" s="394"/>
      <c r="SKR11" s="394"/>
      <c r="SKS11" s="394"/>
      <c r="SKT11" s="394"/>
      <c r="SKU11" s="394"/>
      <c r="SKV11" s="395"/>
      <c r="SKW11" s="394"/>
      <c r="SKX11" s="394"/>
      <c r="SKY11" s="394"/>
      <c r="SKZ11" s="394"/>
      <c r="SLA11" s="394"/>
      <c r="SLB11" s="394"/>
      <c r="SLC11" s="394"/>
      <c r="SLD11" s="395"/>
      <c r="SLE11" s="394"/>
      <c r="SLF11" s="394"/>
      <c r="SLG11" s="394"/>
      <c r="SLH11" s="394"/>
      <c r="SLI11" s="394"/>
      <c r="SLJ11" s="394"/>
      <c r="SLK11" s="394"/>
      <c r="SLL11" s="395"/>
      <c r="SLM11" s="394"/>
      <c r="SLN11" s="394"/>
      <c r="SLO11" s="394"/>
      <c r="SLP11" s="394"/>
      <c r="SLQ11" s="394"/>
      <c r="SLR11" s="394"/>
      <c r="SLS11" s="394"/>
      <c r="SLT11" s="395"/>
      <c r="SLU11" s="394"/>
      <c r="SLV11" s="394"/>
      <c r="SLW11" s="394"/>
      <c r="SLX11" s="394"/>
      <c r="SLY11" s="394"/>
      <c r="SLZ11" s="394"/>
      <c r="SMA11" s="394"/>
      <c r="SMB11" s="395"/>
      <c r="SMC11" s="394"/>
      <c r="SMD11" s="394"/>
      <c r="SME11" s="394"/>
      <c r="SMF11" s="394"/>
      <c r="SMG11" s="394"/>
      <c r="SMH11" s="394"/>
      <c r="SMI11" s="394"/>
      <c r="SMJ11" s="395"/>
      <c r="SMK11" s="394"/>
      <c r="SML11" s="394"/>
      <c r="SMM11" s="394"/>
      <c r="SMN11" s="394"/>
      <c r="SMO11" s="394"/>
      <c r="SMP11" s="394"/>
      <c r="SMQ11" s="394"/>
      <c r="SMR11" s="395"/>
      <c r="SMS11" s="394"/>
      <c r="SMT11" s="394"/>
      <c r="SMU11" s="394"/>
      <c r="SMV11" s="394"/>
      <c r="SMW11" s="394"/>
      <c r="SMX11" s="394"/>
      <c r="SMY11" s="394"/>
      <c r="SMZ11" s="395"/>
      <c r="SNA11" s="394"/>
      <c r="SNB11" s="394"/>
      <c r="SNC11" s="394"/>
      <c r="SND11" s="394"/>
      <c r="SNE11" s="394"/>
      <c r="SNF11" s="394"/>
      <c r="SNG11" s="394"/>
      <c r="SNH11" s="395"/>
      <c r="SNI11" s="394"/>
      <c r="SNJ11" s="394"/>
      <c r="SNK11" s="394"/>
      <c r="SNL11" s="394"/>
      <c r="SNM11" s="394"/>
      <c r="SNN11" s="394"/>
      <c r="SNO11" s="394"/>
      <c r="SNP11" s="395"/>
      <c r="SNQ11" s="394"/>
      <c r="SNR11" s="394"/>
      <c r="SNS11" s="394"/>
      <c r="SNT11" s="394"/>
      <c r="SNU11" s="394"/>
      <c r="SNV11" s="394"/>
      <c r="SNW11" s="394"/>
      <c r="SNX11" s="395"/>
      <c r="SNY11" s="394"/>
      <c r="SNZ11" s="394"/>
      <c r="SOA11" s="394"/>
      <c r="SOB11" s="394"/>
      <c r="SOC11" s="394"/>
      <c r="SOD11" s="394"/>
      <c r="SOE11" s="394"/>
      <c r="SOF11" s="395"/>
      <c r="SOG11" s="394"/>
      <c r="SOH11" s="394"/>
      <c r="SOI11" s="394"/>
      <c r="SOJ11" s="394"/>
      <c r="SOK11" s="394"/>
      <c r="SOL11" s="394"/>
      <c r="SOM11" s="394"/>
      <c r="SON11" s="395"/>
      <c r="SOO11" s="394"/>
      <c r="SOP11" s="394"/>
      <c r="SOQ11" s="394"/>
      <c r="SOR11" s="394"/>
      <c r="SOS11" s="394"/>
      <c r="SOT11" s="394"/>
      <c r="SOU11" s="394"/>
      <c r="SOV11" s="395"/>
      <c r="SOW11" s="394"/>
      <c r="SOX11" s="394"/>
      <c r="SOY11" s="394"/>
      <c r="SOZ11" s="394"/>
      <c r="SPA11" s="394"/>
      <c r="SPB11" s="394"/>
      <c r="SPC11" s="394"/>
      <c r="SPD11" s="395"/>
      <c r="SPE11" s="394"/>
      <c r="SPF11" s="394"/>
      <c r="SPG11" s="394"/>
      <c r="SPH11" s="394"/>
      <c r="SPI11" s="394"/>
      <c r="SPJ11" s="394"/>
      <c r="SPK11" s="394"/>
      <c r="SPL11" s="395"/>
      <c r="SPM11" s="394"/>
      <c r="SPN11" s="394"/>
      <c r="SPO11" s="394"/>
      <c r="SPP11" s="394"/>
      <c r="SPQ11" s="394"/>
      <c r="SPR11" s="394"/>
      <c r="SPS11" s="394"/>
      <c r="SPT11" s="395"/>
      <c r="SPU11" s="394"/>
      <c r="SPV11" s="394"/>
      <c r="SPW11" s="394"/>
      <c r="SPX11" s="394"/>
      <c r="SPY11" s="394"/>
      <c r="SPZ11" s="394"/>
      <c r="SQA11" s="394"/>
      <c r="SQB11" s="395"/>
      <c r="SQC11" s="394"/>
      <c r="SQD11" s="394"/>
      <c r="SQE11" s="394"/>
      <c r="SQF11" s="394"/>
      <c r="SQG11" s="394"/>
      <c r="SQH11" s="394"/>
      <c r="SQI11" s="394"/>
      <c r="SQJ11" s="395"/>
      <c r="SQK11" s="394"/>
      <c r="SQL11" s="394"/>
      <c r="SQM11" s="394"/>
      <c r="SQN11" s="394"/>
      <c r="SQO11" s="394"/>
      <c r="SQP11" s="394"/>
      <c r="SQQ11" s="394"/>
      <c r="SQR11" s="395"/>
      <c r="SQS11" s="394"/>
      <c r="SQT11" s="394"/>
      <c r="SQU11" s="394"/>
      <c r="SQV11" s="394"/>
      <c r="SQW11" s="394"/>
      <c r="SQX11" s="394"/>
      <c r="SQY11" s="394"/>
      <c r="SQZ11" s="395"/>
      <c r="SRA11" s="394"/>
      <c r="SRB11" s="394"/>
      <c r="SRC11" s="394"/>
      <c r="SRD11" s="394"/>
      <c r="SRE11" s="394"/>
      <c r="SRF11" s="394"/>
      <c r="SRG11" s="394"/>
      <c r="SRH11" s="395"/>
      <c r="SRI11" s="394"/>
      <c r="SRJ11" s="394"/>
      <c r="SRK11" s="394"/>
      <c r="SRL11" s="394"/>
      <c r="SRM11" s="394"/>
      <c r="SRN11" s="394"/>
      <c r="SRO11" s="394"/>
      <c r="SRP11" s="395"/>
      <c r="SRQ11" s="394"/>
      <c r="SRR11" s="394"/>
      <c r="SRS11" s="394"/>
      <c r="SRT11" s="394"/>
      <c r="SRU11" s="394"/>
      <c r="SRV11" s="394"/>
      <c r="SRW11" s="394"/>
      <c r="SRX11" s="395"/>
      <c r="SRY11" s="394"/>
      <c r="SRZ11" s="394"/>
      <c r="SSA11" s="394"/>
      <c r="SSB11" s="394"/>
      <c r="SSC11" s="394"/>
      <c r="SSD11" s="394"/>
      <c r="SSE11" s="394"/>
      <c r="SSF11" s="395"/>
      <c r="SSG11" s="394"/>
      <c r="SSH11" s="394"/>
      <c r="SSI11" s="394"/>
      <c r="SSJ11" s="394"/>
      <c r="SSK11" s="394"/>
      <c r="SSL11" s="394"/>
      <c r="SSM11" s="394"/>
      <c r="SSN11" s="395"/>
      <c r="SSO11" s="394"/>
      <c r="SSP11" s="394"/>
      <c r="SSQ11" s="394"/>
      <c r="SSR11" s="394"/>
      <c r="SSS11" s="394"/>
      <c r="SST11" s="394"/>
      <c r="SSU11" s="394"/>
      <c r="SSV11" s="395"/>
      <c r="SSW11" s="394"/>
      <c r="SSX11" s="394"/>
      <c r="SSY11" s="394"/>
      <c r="SSZ11" s="394"/>
      <c r="STA11" s="394"/>
      <c r="STB11" s="394"/>
      <c r="STC11" s="394"/>
      <c r="STD11" s="395"/>
      <c r="STE11" s="394"/>
      <c r="STF11" s="394"/>
      <c r="STG11" s="394"/>
      <c r="STH11" s="394"/>
      <c r="STI11" s="394"/>
      <c r="STJ11" s="394"/>
      <c r="STK11" s="394"/>
      <c r="STL11" s="395"/>
      <c r="STM11" s="394"/>
      <c r="STN11" s="394"/>
      <c r="STO11" s="394"/>
      <c r="STP11" s="394"/>
      <c r="STQ11" s="394"/>
      <c r="STR11" s="394"/>
      <c r="STS11" s="394"/>
      <c r="STT11" s="395"/>
      <c r="STU11" s="394"/>
      <c r="STV11" s="394"/>
      <c r="STW11" s="394"/>
      <c r="STX11" s="394"/>
      <c r="STY11" s="394"/>
      <c r="STZ11" s="394"/>
      <c r="SUA11" s="394"/>
      <c r="SUB11" s="395"/>
      <c r="SUC11" s="394"/>
      <c r="SUD11" s="394"/>
      <c r="SUE11" s="394"/>
      <c r="SUF11" s="394"/>
      <c r="SUG11" s="394"/>
      <c r="SUH11" s="394"/>
      <c r="SUI11" s="394"/>
      <c r="SUJ11" s="395"/>
      <c r="SUK11" s="394"/>
      <c r="SUL11" s="394"/>
      <c r="SUM11" s="394"/>
      <c r="SUN11" s="394"/>
      <c r="SUO11" s="394"/>
      <c r="SUP11" s="394"/>
      <c r="SUQ11" s="394"/>
      <c r="SUR11" s="395"/>
      <c r="SUS11" s="394"/>
      <c r="SUT11" s="394"/>
      <c r="SUU11" s="394"/>
      <c r="SUV11" s="394"/>
      <c r="SUW11" s="394"/>
      <c r="SUX11" s="394"/>
      <c r="SUY11" s="394"/>
      <c r="SUZ11" s="395"/>
      <c r="SVA11" s="394"/>
      <c r="SVB11" s="394"/>
      <c r="SVC11" s="394"/>
      <c r="SVD11" s="394"/>
      <c r="SVE11" s="394"/>
      <c r="SVF11" s="394"/>
      <c r="SVG11" s="394"/>
      <c r="SVH11" s="395"/>
      <c r="SVI11" s="394"/>
      <c r="SVJ11" s="394"/>
      <c r="SVK11" s="394"/>
      <c r="SVL11" s="394"/>
      <c r="SVM11" s="394"/>
      <c r="SVN11" s="394"/>
      <c r="SVO11" s="394"/>
      <c r="SVP11" s="395"/>
      <c r="SVQ11" s="394"/>
      <c r="SVR11" s="394"/>
      <c r="SVS11" s="394"/>
      <c r="SVT11" s="394"/>
      <c r="SVU11" s="394"/>
      <c r="SVV11" s="394"/>
      <c r="SVW11" s="394"/>
      <c r="SVX11" s="395"/>
      <c r="SVY11" s="394"/>
      <c r="SVZ11" s="394"/>
      <c r="SWA11" s="394"/>
      <c r="SWB11" s="394"/>
      <c r="SWC11" s="394"/>
      <c r="SWD11" s="394"/>
      <c r="SWE11" s="394"/>
      <c r="SWF11" s="395"/>
      <c r="SWG11" s="394"/>
      <c r="SWH11" s="394"/>
      <c r="SWI11" s="394"/>
      <c r="SWJ11" s="394"/>
      <c r="SWK11" s="394"/>
      <c r="SWL11" s="394"/>
      <c r="SWM11" s="394"/>
      <c r="SWN11" s="395"/>
      <c r="SWO11" s="394"/>
      <c r="SWP11" s="394"/>
      <c r="SWQ11" s="394"/>
      <c r="SWR11" s="394"/>
      <c r="SWS11" s="394"/>
      <c r="SWT11" s="394"/>
      <c r="SWU11" s="394"/>
      <c r="SWV11" s="395"/>
      <c r="SWW11" s="394"/>
      <c r="SWX11" s="394"/>
      <c r="SWY11" s="394"/>
      <c r="SWZ11" s="394"/>
      <c r="SXA11" s="394"/>
      <c r="SXB11" s="394"/>
      <c r="SXC11" s="394"/>
      <c r="SXD11" s="395"/>
      <c r="SXE11" s="394"/>
      <c r="SXF11" s="394"/>
      <c r="SXG11" s="394"/>
      <c r="SXH11" s="394"/>
      <c r="SXI11" s="394"/>
      <c r="SXJ11" s="394"/>
      <c r="SXK11" s="394"/>
      <c r="SXL11" s="395"/>
      <c r="SXM11" s="394"/>
      <c r="SXN11" s="394"/>
      <c r="SXO11" s="394"/>
      <c r="SXP11" s="394"/>
      <c r="SXQ11" s="394"/>
      <c r="SXR11" s="394"/>
      <c r="SXS11" s="394"/>
      <c r="SXT11" s="395"/>
      <c r="SXU11" s="394"/>
      <c r="SXV11" s="394"/>
      <c r="SXW11" s="394"/>
      <c r="SXX11" s="394"/>
      <c r="SXY11" s="394"/>
      <c r="SXZ11" s="394"/>
      <c r="SYA11" s="394"/>
      <c r="SYB11" s="395"/>
      <c r="SYC11" s="394"/>
      <c r="SYD11" s="394"/>
      <c r="SYE11" s="394"/>
      <c r="SYF11" s="394"/>
      <c r="SYG11" s="394"/>
      <c r="SYH11" s="394"/>
      <c r="SYI11" s="394"/>
      <c r="SYJ11" s="395"/>
      <c r="SYK11" s="394"/>
      <c r="SYL11" s="394"/>
      <c r="SYM11" s="394"/>
      <c r="SYN11" s="394"/>
      <c r="SYO11" s="394"/>
      <c r="SYP11" s="394"/>
      <c r="SYQ11" s="394"/>
      <c r="SYR11" s="395"/>
      <c r="SYS11" s="394"/>
      <c r="SYT11" s="394"/>
      <c r="SYU11" s="394"/>
      <c r="SYV11" s="394"/>
      <c r="SYW11" s="394"/>
      <c r="SYX11" s="394"/>
      <c r="SYY11" s="394"/>
      <c r="SYZ11" s="395"/>
      <c r="SZA11" s="394"/>
      <c r="SZB11" s="394"/>
      <c r="SZC11" s="394"/>
      <c r="SZD11" s="394"/>
      <c r="SZE11" s="394"/>
      <c r="SZF11" s="394"/>
      <c r="SZG11" s="394"/>
      <c r="SZH11" s="395"/>
      <c r="SZI11" s="394"/>
      <c r="SZJ11" s="394"/>
      <c r="SZK11" s="394"/>
      <c r="SZL11" s="394"/>
      <c r="SZM11" s="394"/>
      <c r="SZN11" s="394"/>
      <c r="SZO11" s="394"/>
      <c r="SZP11" s="395"/>
      <c r="SZQ11" s="394"/>
      <c r="SZR11" s="394"/>
      <c r="SZS11" s="394"/>
      <c r="SZT11" s="394"/>
      <c r="SZU11" s="394"/>
      <c r="SZV11" s="394"/>
      <c r="SZW11" s="394"/>
      <c r="SZX11" s="395"/>
      <c r="SZY11" s="394"/>
      <c r="SZZ11" s="394"/>
      <c r="TAA11" s="394"/>
      <c r="TAB11" s="394"/>
      <c r="TAC11" s="394"/>
      <c r="TAD11" s="394"/>
      <c r="TAE11" s="394"/>
      <c r="TAF11" s="395"/>
      <c r="TAG11" s="394"/>
      <c r="TAH11" s="394"/>
      <c r="TAI11" s="394"/>
      <c r="TAJ11" s="394"/>
      <c r="TAK11" s="394"/>
      <c r="TAL11" s="394"/>
      <c r="TAM11" s="394"/>
      <c r="TAN11" s="395"/>
      <c r="TAO11" s="394"/>
      <c r="TAP11" s="394"/>
      <c r="TAQ11" s="394"/>
      <c r="TAR11" s="394"/>
      <c r="TAS11" s="394"/>
      <c r="TAT11" s="394"/>
      <c r="TAU11" s="394"/>
      <c r="TAV11" s="395"/>
      <c r="TAW11" s="394"/>
      <c r="TAX11" s="394"/>
      <c r="TAY11" s="394"/>
      <c r="TAZ11" s="394"/>
      <c r="TBA11" s="394"/>
      <c r="TBB11" s="394"/>
      <c r="TBC11" s="394"/>
      <c r="TBD11" s="395"/>
      <c r="TBE11" s="394"/>
      <c r="TBF11" s="394"/>
      <c r="TBG11" s="394"/>
      <c r="TBH11" s="394"/>
      <c r="TBI11" s="394"/>
      <c r="TBJ11" s="394"/>
      <c r="TBK11" s="394"/>
      <c r="TBL11" s="395"/>
      <c r="TBM11" s="394"/>
      <c r="TBN11" s="394"/>
      <c r="TBO11" s="394"/>
      <c r="TBP11" s="394"/>
      <c r="TBQ11" s="394"/>
      <c r="TBR11" s="394"/>
      <c r="TBS11" s="394"/>
      <c r="TBT11" s="395"/>
      <c r="TBU11" s="394"/>
      <c r="TBV11" s="394"/>
      <c r="TBW11" s="394"/>
      <c r="TBX11" s="394"/>
      <c r="TBY11" s="394"/>
      <c r="TBZ11" s="394"/>
      <c r="TCA11" s="394"/>
      <c r="TCB11" s="395"/>
      <c r="TCC11" s="394"/>
      <c r="TCD11" s="394"/>
      <c r="TCE11" s="394"/>
      <c r="TCF11" s="394"/>
      <c r="TCG11" s="394"/>
      <c r="TCH11" s="394"/>
      <c r="TCI11" s="394"/>
      <c r="TCJ11" s="395"/>
      <c r="TCK11" s="394"/>
      <c r="TCL11" s="394"/>
      <c r="TCM11" s="394"/>
      <c r="TCN11" s="394"/>
      <c r="TCO11" s="394"/>
      <c r="TCP11" s="394"/>
      <c r="TCQ11" s="394"/>
      <c r="TCR11" s="395"/>
      <c r="TCS11" s="394"/>
      <c r="TCT11" s="394"/>
      <c r="TCU11" s="394"/>
      <c r="TCV11" s="394"/>
      <c r="TCW11" s="394"/>
      <c r="TCX11" s="394"/>
      <c r="TCY11" s="394"/>
      <c r="TCZ11" s="395"/>
      <c r="TDA11" s="394"/>
      <c r="TDB11" s="394"/>
      <c r="TDC11" s="394"/>
      <c r="TDD11" s="394"/>
      <c r="TDE11" s="394"/>
      <c r="TDF11" s="394"/>
      <c r="TDG11" s="394"/>
      <c r="TDH11" s="395"/>
      <c r="TDI11" s="394"/>
      <c r="TDJ11" s="394"/>
      <c r="TDK11" s="394"/>
      <c r="TDL11" s="394"/>
      <c r="TDM11" s="394"/>
      <c r="TDN11" s="394"/>
      <c r="TDO11" s="394"/>
      <c r="TDP11" s="395"/>
      <c r="TDQ11" s="394"/>
      <c r="TDR11" s="394"/>
      <c r="TDS11" s="394"/>
      <c r="TDT11" s="394"/>
      <c r="TDU11" s="394"/>
      <c r="TDV11" s="394"/>
      <c r="TDW11" s="394"/>
      <c r="TDX11" s="395"/>
      <c r="TDY11" s="394"/>
      <c r="TDZ11" s="394"/>
      <c r="TEA11" s="394"/>
      <c r="TEB11" s="394"/>
      <c r="TEC11" s="394"/>
      <c r="TED11" s="394"/>
      <c r="TEE11" s="394"/>
      <c r="TEF11" s="395"/>
      <c r="TEG11" s="394"/>
      <c r="TEH11" s="394"/>
      <c r="TEI11" s="394"/>
      <c r="TEJ11" s="394"/>
      <c r="TEK11" s="394"/>
      <c r="TEL11" s="394"/>
      <c r="TEM11" s="394"/>
      <c r="TEN11" s="395"/>
      <c r="TEO11" s="394"/>
      <c r="TEP11" s="394"/>
      <c r="TEQ11" s="394"/>
      <c r="TER11" s="394"/>
      <c r="TES11" s="394"/>
      <c r="TET11" s="394"/>
      <c r="TEU11" s="394"/>
      <c r="TEV11" s="395"/>
      <c r="TEW11" s="394"/>
      <c r="TEX11" s="394"/>
      <c r="TEY11" s="394"/>
      <c r="TEZ11" s="394"/>
      <c r="TFA11" s="394"/>
      <c r="TFB11" s="394"/>
      <c r="TFC11" s="394"/>
      <c r="TFD11" s="395"/>
      <c r="TFE11" s="394"/>
      <c r="TFF11" s="394"/>
      <c r="TFG11" s="394"/>
      <c r="TFH11" s="394"/>
      <c r="TFI11" s="394"/>
      <c r="TFJ11" s="394"/>
      <c r="TFK11" s="394"/>
      <c r="TFL11" s="395"/>
      <c r="TFM11" s="394"/>
      <c r="TFN11" s="394"/>
      <c r="TFO11" s="394"/>
      <c r="TFP11" s="394"/>
      <c r="TFQ11" s="394"/>
      <c r="TFR11" s="394"/>
      <c r="TFS11" s="394"/>
      <c r="TFT11" s="395"/>
      <c r="TFU11" s="394"/>
      <c r="TFV11" s="394"/>
      <c r="TFW11" s="394"/>
      <c r="TFX11" s="394"/>
      <c r="TFY11" s="394"/>
      <c r="TFZ11" s="394"/>
      <c r="TGA11" s="394"/>
      <c r="TGB11" s="395"/>
      <c r="TGC11" s="394"/>
      <c r="TGD11" s="394"/>
      <c r="TGE11" s="394"/>
      <c r="TGF11" s="394"/>
      <c r="TGG11" s="394"/>
      <c r="TGH11" s="394"/>
      <c r="TGI11" s="394"/>
      <c r="TGJ11" s="395"/>
      <c r="TGK11" s="394"/>
      <c r="TGL11" s="394"/>
      <c r="TGM11" s="394"/>
      <c r="TGN11" s="394"/>
      <c r="TGO11" s="394"/>
      <c r="TGP11" s="394"/>
      <c r="TGQ11" s="394"/>
      <c r="TGR11" s="395"/>
      <c r="TGS11" s="394"/>
      <c r="TGT11" s="394"/>
      <c r="TGU11" s="394"/>
      <c r="TGV11" s="394"/>
      <c r="TGW11" s="394"/>
      <c r="TGX11" s="394"/>
      <c r="TGY11" s="394"/>
      <c r="TGZ11" s="395"/>
      <c r="THA11" s="394"/>
      <c r="THB11" s="394"/>
      <c r="THC11" s="394"/>
      <c r="THD11" s="394"/>
      <c r="THE11" s="394"/>
      <c r="THF11" s="394"/>
      <c r="THG11" s="394"/>
      <c r="THH11" s="395"/>
      <c r="THI11" s="394"/>
      <c r="THJ11" s="394"/>
      <c r="THK11" s="394"/>
      <c r="THL11" s="394"/>
      <c r="THM11" s="394"/>
      <c r="THN11" s="394"/>
      <c r="THO11" s="394"/>
      <c r="THP11" s="395"/>
      <c r="THQ11" s="394"/>
      <c r="THR11" s="394"/>
      <c r="THS11" s="394"/>
      <c r="THT11" s="394"/>
      <c r="THU11" s="394"/>
      <c r="THV11" s="394"/>
      <c r="THW11" s="394"/>
      <c r="THX11" s="395"/>
      <c r="THY11" s="394"/>
      <c r="THZ11" s="394"/>
      <c r="TIA11" s="394"/>
      <c r="TIB11" s="394"/>
      <c r="TIC11" s="394"/>
      <c r="TID11" s="394"/>
      <c r="TIE11" s="394"/>
      <c r="TIF11" s="395"/>
      <c r="TIG11" s="394"/>
      <c r="TIH11" s="394"/>
      <c r="TII11" s="394"/>
      <c r="TIJ11" s="394"/>
      <c r="TIK11" s="394"/>
      <c r="TIL11" s="394"/>
      <c r="TIM11" s="394"/>
      <c r="TIN11" s="395"/>
      <c r="TIO11" s="394"/>
      <c r="TIP11" s="394"/>
      <c r="TIQ11" s="394"/>
      <c r="TIR11" s="394"/>
      <c r="TIS11" s="394"/>
      <c r="TIT11" s="394"/>
      <c r="TIU11" s="394"/>
      <c r="TIV11" s="395"/>
      <c r="TIW11" s="394"/>
      <c r="TIX11" s="394"/>
      <c r="TIY11" s="394"/>
      <c r="TIZ11" s="394"/>
      <c r="TJA11" s="394"/>
      <c r="TJB11" s="394"/>
      <c r="TJC11" s="394"/>
      <c r="TJD11" s="395"/>
      <c r="TJE11" s="394"/>
      <c r="TJF11" s="394"/>
      <c r="TJG11" s="394"/>
      <c r="TJH11" s="394"/>
      <c r="TJI11" s="394"/>
      <c r="TJJ11" s="394"/>
      <c r="TJK11" s="394"/>
      <c r="TJL11" s="395"/>
      <c r="TJM11" s="394"/>
      <c r="TJN11" s="394"/>
      <c r="TJO11" s="394"/>
      <c r="TJP11" s="394"/>
      <c r="TJQ11" s="394"/>
      <c r="TJR11" s="394"/>
      <c r="TJS11" s="394"/>
      <c r="TJT11" s="395"/>
      <c r="TJU11" s="394"/>
      <c r="TJV11" s="394"/>
      <c r="TJW11" s="394"/>
      <c r="TJX11" s="394"/>
      <c r="TJY11" s="394"/>
      <c r="TJZ11" s="394"/>
      <c r="TKA11" s="394"/>
      <c r="TKB11" s="395"/>
      <c r="TKC11" s="394"/>
      <c r="TKD11" s="394"/>
      <c r="TKE11" s="394"/>
      <c r="TKF11" s="394"/>
      <c r="TKG11" s="394"/>
      <c r="TKH11" s="394"/>
      <c r="TKI11" s="394"/>
      <c r="TKJ11" s="395"/>
      <c r="TKK11" s="394"/>
      <c r="TKL11" s="394"/>
      <c r="TKM11" s="394"/>
      <c r="TKN11" s="394"/>
      <c r="TKO11" s="394"/>
      <c r="TKP11" s="394"/>
      <c r="TKQ11" s="394"/>
      <c r="TKR11" s="395"/>
      <c r="TKS11" s="394"/>
      <c r="TKT11" s="394"/>
      <c r="TKU11" s="394"/>
      <c r="TKV11" s="394"/>
      <c r="TKW11" s="394"/>
      <c r="TKX11" s="394"/>
      <c r="TKY11" s="394"/>
      <c r="TKZ11" s="395"/>
      <c r="TLA11" s="394"/>
      <c r="TLB11" s="394"/>
      <c r="TLC11" s="394"/>
      <c r="TLD11" s="394"/>
      <c r="TLE11" s="394"/>
      <c r="TLF11" s="394"/>
      <c r="TLG11" s="394"/>
      <c r="TLH11" s="395"/>
      <c r="TLI11" s="394"/>
      <c r="TLJ11" s="394"/>
      <c r="TLK11" s="394"/>
      <c r="TLL11" s="394"/>
      <c r="TLM11" s="394"/>
      <c r="TLN11" s="394"/>
      <c r="TLO11" s="394"/>
      <c r="TLP11" s="395"/>
      <c r="TLQ11" s="394"/>
      <c r="TLR11" s="394"/>
      <c r="TLS11" s="394"/>
      <c r="TLT11" s="394"/>
      <c r="TLU11" s="394"/>
      <c r="TLV11" s="394"/>
      <c r="TLW11" s="394"/>
      <c r="TLX11" s="395"/>
      <c r="TLY11" s="394"/>
      <c r="TLZ11" s="394"/>
      <c r="TMA11" s="394"/>
      <c r="TMB11" s="394"/>
      <c r="TMC11" s="394"/>
      <c r="TMD11" s="394"/>
      <c r="TME11" s="394"/>
      <c r="TMF11" s="395"/>
      <c r="TMG11" s="394"/>
      <c r="TMH11" s="394"/>
      <c r="TMI11" s="394"/>
      <c r="TMJ11" s="394"/>
      <c r="TMK11" s="394"/>
      <c r="TML11" s="394"/>
      <c r="TMM11" s="394"/>
      <c r="TMN11" s="395"/>
      <c r="TMO11" s="394"/>
      <c r="TMP11" s="394"/>
      <c r="TMQ11" s="394"/>
      <c r="TMR11" s="394"/>
      <c r="TMS11" s="394"/>
      <c r="TMT11" s="394"/>
      <c r="TMU11" s="394"/>
      <c r="TMV11" s="395"/>
      <c r="TMW11" s="394"/>
      <c r="TMX11" s="394"/>
      <c r="TMY11" s="394"/>
      <c r="TMZ11" s="394"/>
      <c r="TNA11" s="394"/>
      <c r="TNB11" s="394"/>
      <c r="TNC11" s="394"/>
      <c r="TND11" s="395"/>
      <c r="TNE11" s="394"/>
      <c r="TNF11" s="394"/>
      <c r="TNG11" s="394"/>
      <c r="TNH11" s="394"/>
      <c r="TNI11" s="394"/>
      <c r="TNJ11" s="394"/>
      <c r="TNK11" s="394"/>
      <c r="TNL11" s="395"/>
      <c r="TNM11" s="394"/>
      <c r="TNN11" s="394"/>
      <c r="TNO11" s="394"/>
      <c r="TNP11" s="394"/>
      <c r="TNQ11" s="394"/>
      <c r="TNR11" s="394"/>
      <c r="TNS11" s="394"/>
      <c r="TNT11" s="395"/>
      <c r="TNU11" s="394"/>
      <c r="TNV11" s="394"/>
      <c r="TNW11" s="394"/>
      <c r="TNX11" s="394"/>
      <c r="TNY11" s="394"/>
      <c r="TNZ11" s="394"/>
      <c r="TOA11" s="394"/>
      <c r="TOB11" s="395"/>
      <c r="TOC11" s="394"/>
      <c r="TOD11" s="394"/>
      <c r="TOE11" s="394"/>
      <c r="TOF11" s="394"/>
      <c r="TOG11" s="394"/>
      <c r="TOH11" s="394"/>
      <c r="TOI11" s="394"/>
      <c r="TOJ11" s="395"/>
      <c r="TOK11" s="394"/>
      <c r="TOL11" s="394"/>
      <c r="TOM11" s="394"/>
      <c r="TON11" s="394"/>
      <c r="TOO11" s="394"/>
      <c r="TOP11" s="394"/>
      <c r="TOQ11" s="394"/>
      <c r="TOR11" s="395"/>
      <c r="TOS11" s="394"/>
      <c r="TOT11" s="394"/>
      <c r="TOU11" s="394"/>
      <c r="TOV11" s="394"/>
      <c r="TOW11" s="394"/>
      <c r="TOX11" s="394"/>
      <c r="TOY11" s="394"/>
      <c r="TOZ11" s="395"/>
      <c r="TPA11" s="394"/>
      <c r="TPB11" s="394"/>
      <c r="TPC11" s="394"/>
      <c r="TPD11" s="394"/>
      <c r="TPE11" s="394"/>
      <c r="TPF11" s="394"/>
      <c r="TPG11" s="394"/>
      <c r="TPH11" s="395"/>
      <c r="TPI11" s="394"/>
      <c r="TPJ11" s="394"/>
      <c r="TPK11" s="394"/>
      <c r="TPL11" s="394"/>
      <c r="TPM11" s="394"/>
      <c r="TPN11" s="394"/>
      <c r="TPO11" s="394"/>
      <c r="TPP11" s="395"/>
      <c r="TPQ11" s="394"/>
      <c r="TPR11" s="394"/>
      <c r="TPS11" s="394"/>
      <c r="TPT11" s="394"/>
      <c r="TPU11" s="394"/>
      <c r="TPV11" s="394"/>
      <c r="TPW11" s="394"/>
      <c r="TPX11" s="395"/>
      <c r="TPY11" s="394"/>
      <c r="TPZ11" s="394"/>
      <c r="TQA11" s="394"/>
      <c r="TQB11" s="394"/>
      <c r="TQC11" s="394"/>
      <c r="TQD11" s="394"/>
      <c r="TQE11" s="394"/>
      <c r="TQF11" s="395"/>
      <c r="TQG11" s="394"/>
      <c r="TQH11" s="394"/>
      <c r="TQI11" s="394"/>
      <c r="TQJ11" s="394"/>
      <c r="TQK11" s="394"/>
      <c r="TQL11" s="394"/>
      <c r="TQM11" s="394"/>
      <c r="TQN11" s="395"/>
      <c r="TQO11" s="394"/>
      <c r="TQP11" s="394"/>
      <c r="TQQ11" s="394"/>
      <c r="TQR11" s="394"/>
      <c r="TQS11" s="394"/>
      <c r="TQT11" s="394"/>
      <c r="TQU11" s="394"/>
      <c r="TQV11" s="395"/>
      <c r="TQW11" s="394"/>
      <c r="TQX11" s="394"/>
      <c r="TQY11" s="394"/>
      <c r="TQZ11" s="394"/>
      <c r="TRA11" s="394"/>
      <c r="TRB11" s="394"/>
      <c r="TRC11" s="394"/>
      <c r="TRD11" s="395"/>
      <c r="TRE11" s="394"/>
      <c r="TRF11" s="394"/>
      <c r="TRG11" s="394"/>
      <c r="TRH11" s="394"/>
      <c r="TRI11" s="394"/>
      <c r="TRJ11" s="394"/>
      <c r="TRK11" s="394"/>
      <c r="TRL11" s="395"/>
      <c r="TRM11" s="394"/>
      <c r="TRN11" s="394"/>
      <c r="TRO11" s="394"/>
      <c r="TRP11" s="394"/>
      <c r="TRQ11" s="394"/>
      <c r="TRR11" s="394"/>
      <c r="TRS11" s="394"/>
      <c r="TRT11" s="395"/>
      <c r="TRU11" s="394"/>
      <c r="TRV11" s="394"/>
      <c r="TRW11" s="394"/>
      <c r="TRX11" s="394"/>
      <c r="TRY11" s="394"/>
      <c r="TRZ11" s="394"/>
      <c r="TSA11" s="394"/>
      <c r="TSB11" s="395"/>
      <c r="TSC11" s="394"/>
      <c r="TSD11" s="394"/>
      <c r="TSE11" s="394"/>
      <c r="TSF11" s="394"/>
      <c r="TSG11" s="394"/>
      <c r="TSH11" s="394"/>
      <c r="TSI11" s="394"/>
      <c r="TSJ11" s="395"/>
      <c r="TSK11" s="394"/>
      <c r="TSL11" s="394"/>
      <c r="TSM11" s="394"/>
      <c r="TSN11" s="394"/>
      <c r="TSO11" s="394"/>
      <c r="TSP11" s="394"/>
      <c r="TSQ11" s="394"/>
      <c r="TSR11" s="395"/>
      <c r="TSS11" s="394"/>
      <c r="TST11" s="394"/>
      <c r="TSU11" s="394"/>
      <c r="TSV11" s="394"/>
      <c r="TSW11" s="394"/>
      <c r="TSX11" s="394"/>
      <c r="TSY11" s="394"/>
      <c r="TSZ11" s="395"/>
      <c r="TTA11" s="394"/>
      <c r="TTB11" s="394"/>
      <c r="TTC11" s="394"/>
      <c r="TTD11" s="394"/>
      <c r="TTE11" s="394"/>
      <c r="TTF11" s="394"/>
      <c r="TTG11" s="394"/>
      <c r="TTH11" s="395"/>
      <c r="TTI11" s="394"/>
      <c r="TTJ11" s="394"/>
      <c r="TTK11" s="394"/>
      <c r="TTL11" s="394"/>
      <c r="TTM11" s="394"/>
      <c r="TTN11" s="394"/>
      <c r="TTO11" s="394"/>
      <c r="TTP11" s="395"/>
      <c r="TTQ11" s="394"/>
      <c r="TTR11" s="394"/>
      <c r="TTS11" s="394"/>
      <c r="TTT11" s="394"/>
      <c r="TTU11" s="394"/>
      <c r="TTV11" s="394"/>
      <c r="TTW11" s="394"/>
      <c r="TTX11" s="395"/>
      <c r="TTY11" s="394"/>
      <c r="TTZ11" s="394"/>
      <c r="TUA11" s="394"/>
      <c r="TUB11" s="394"/>
      <c r="TUC11" s="394"/>
      <c r="TUD11" s="394"/>
      <c r="TUE11" s="394"/>
      <c r="TUF11" s="395"/>
      <c r="TUG11" s="394"/>
      <c r="TUH11" s="394"/>
      <c r="TUI11" s="394"/>
      <c r="TUJ11" s="394"/>
      <c r="TUK11" s="394"/>
      <c r="TUL11" s="394"/>
      <c r="TUM11" s="394"/>
      <c r="TUN11" s="395"/>
      <c r="TUO11" s="394"/>
      <c r="TUP11" s="394"/>
      <c r="TUQ11" s="394"/>
      <c r="TUR11" s="394"/>
      <c r="TUS11" s="394"/>
      <c r="TUT11" s="394"/>
      <c r="TUU11" s="394"/>
      <c r="TUV11" s="395"/>
      <c r="TUW11" s="394"/>
      <c r="TUX11" s="394"/>
      <c r="TUY11" s="394"/>
      <c r="TUZ11" s="394"/>
      <c r="TVA11" s="394"/>
      <c r="TVB11" s="394"/>
      <c r="TVC11" s="394"/>
      <c r="TVD11" s="395"/>
      <c r="TVE11" s="394"/>
      <c r="TVF11" s="394"/>
      <c r="TVG11" s="394"/>
      <c r="TVH11" s="394"/>
      <c r="TVI11" s="394"/>
      <c r="TVJ11" s="394"/>
      <c r="TVK11" s="394"/>
      <c r="TVL11" s="395"/>
      <c r="TVM11" s="394"/>
      <c r="TVN11" s="394"/>
      <c r="TVO11" s="394"/>
      <c r="TVP11" s="394"/>
      <c r="TVQ11" s="394"/>
      <c r="TVR11" s="394"/>
      <c r="TVS11" s="394"/>
      <c r="TVT11" s="395"/>
      <c r="TVU11" s="394"/>
      <c r="TVV11" s="394"/>
      <c r="TVW11" s="394"/>
      <c r="TVX11" s="394"/>
      <c r="TVY11" s="394"/>
      <c r="TVZ11" s="394"/>
      <c r="TWA11" s="394"/>
      <c r="TWB11" s="395"/>
      <c r="TWC11" s="394"/>
      <c r="TWD11" s="394"/>
      <c r="TWE11" s="394"/>
      <c r="TWF11" s="394"/>
      <c r="TWG11" s="394"/>
      <c r="TWH11" s="394"/>
      <c r="TWI11" s="394"/>
      <c r="TWJ11" s="395"/>
      <c r="TWK11" s="394"/>
      <c r="TWL11" s="394"/>
      <c r="TWM11" s="394"/>
      <c r="TWN11" s="394"/>
      <c r="TWO11" s="394"/>
      <c r="TWP11" s="394"/>
      <c r="TWQ11" s="394"/>
      <c r="TWR11" s="395"/>
      <c r="TWS11" s="394"/>
      <c r="TWT11" s="394"/>
      <c r="TWU11" s="394"/>
      <c r="TWV11" s="394"/>
      <c r="TWW11" s="394"/>
      <c r="TWX11" s="394"/>
      <c r="TWY11" s="394"/>
      <c r="TWZ11" s="395"/>
      <c r="TXA11" s="394"/>
      <c r="TXB11" s="394"/>
      <c r="TXC11" s="394"/>
      <c r="TXD11" s="394"/>
      <c r="TXE11" s="394"/>
      <c r="TXF11" s="394"/>
      <c r="TXG11" s="394"/>
      <c r="TXH11" s="395"/>
      <c r="TXI11" s="394"/>
      <c r="TXJ11" s="394"/>
      <c r="TXK11" s="394"/>
      <c r="TXL11" s="394"/>
      <c r="TXM11" s="394"/>
      <c r="TXN11" s="394"/>
      <c r="TXO11" s="394"/>
      <c r="TXP11" s="395"/>
      <c r="TXQ11" s="394"/>
      <c r="TXR11" s="394"/>
      <c r="TXS11" s="394"/>
      <c r="TXT11" s="394"/>
      <c r="TXU11" s="394"/>
      <c r="TXV11" s="394"/>
      <c r="TXW11" s="394"/>
      <c r="TXX11" s="395"/>
      <c r="TXY11" s="394"/>
      <c r="TXZ11" s="394"/>
      <c r="TYA11" s="394"/>
      <c r="TYB11" s="394"/>
      <c r="TYC11" s="394"/>
      <c r="TYD11" s="394"/>
      <c r="TYE11" s="394"/>
      <c r="TYF11" s="395"/>
      <c r="TYG11" s="394"/>
      <c r="TYH11" s="394"/>
      <c r="TYI11" s="394"/>
      <c r="TYJ11" s="394"/>
      <c r="TYK11" s="394"/>
      <c r="TYL11" s="394"/>
      <c r="TYM11" s="394"/>
      <c r="TYN11" s="395"/>
      <c r="TYO11" s="394"/>
      <c r="TYP11" s="394"/>
      <c r="TYQ11" s="394"/>
      <c r="TYR11" s="394"/>
      <c r="TYS11" s="394"/>
      <c r="TYT11" s="394"/>
      <c r="TYU11" s="394"/>
      <c r="TYV11" s="395"/>
      <c r="TYW11" s="394"/>
      <c r="TYX11" s="394"/>
      <c r="TYY11" s="394"/>
      <c r="TYZ11" s="394"/>
      <c r="TZA11" s="394"/>
      <c r="TZB11" s="394"/>
      <c r="TZC11" s="394"/>
      <c r="TZD11" s="395"/>
      <c r="TZE11" s="394"/>
      <c r="TZF11" s="394"/>
      <c r="TZG11" s="394"/>
      <c r="TZH11" s="394"/>
      <c r="TZI11" s="394"/>
      <c r="TZJ11" s="394"/>
      <c r="TZK11" s="394"/>
      <c r="TZL11" s="395"/>
      <c r="TZM11" s="394"/>
      <c r="TZN11" s="394"/>
      <c r="TZO11" s="394"/>
      <c r="TZP11" s="394"/>
      <c r="TZQ11" s="394"/>
      <c r="TZR11" s="394"/>
      <c r="TZS11" s="394"/>
      <c r="TZT11" s="395"/>
      <c r="TZU11" s="394"/>
      <c r="TZV11" s="394"/>
      <c r="TZW11" s="394"/>
      <c r="TZX11" s="394"/>
      <c r="TZY11" s="394"/>
      <c r="TZZ11" s="394"/>
      <c r="UAA11" s="394"/>
      <c r="UAB11" s="395"/>
      <c r="UAC11" s="394"/>
      <c r="UAD11" s="394"/>
      <c r="UAE11" s="394"/>
      <c r="UAF11" s="394"/>
      <c r="UAG11" s="394"/>
      <c r="UAH11" s="394"/>
      <c r="UAI11" s="394"/>
      <c r="UAJ11" s="395"/>
      <c r="UAK11" s="394"/>
      <c r="UAL11" s="394"/>
      <c r="UAM11" s="394"/>
      <c r="UAN11" s="394"/>
      <c r="UAO11" s="394"/>
      <c r="UAP11" s="394"/>
      <c r="UAQ11" s="394"/>
      <c r="UAR11" s="395"/>
      <c r="UAS11" s="394"/>
      <c r="UAT11" s="394"/>
      <c r="UAU11" s="394"/>
      <c r="UAV11" s="394"/>
      <c r="UAW11" s="394"/>
      <c r="UAX11" s="394"/>
      <c r="UAY11" s="394"/>
      <c r="UAZ11" s="395"/>
      <c r="UBA11" s="394"/>
      <c r="UBB11" s="394"/>
      <c r="UBC11" s="394"/>
      <c r="UBD11" s="394"/>
      <c r="UBE11" s="394"/>
      <c r="UBF11" s="394"/>
      <c r="UBG11" s="394"/>
      <c r="UBH11" s="395"/>
      <c r="UBI11" s="394"/>
      <c r="UBJ11" s="394"/>
      <c r="UBK11" s="394"/>
      <c r="UBL11" s="394"/>
      <c r="UBM11" s="394"/>
      <c r="UBN11" s="394"/>
      <c r="UBO11" s="394"/>
      <c r="UBP11" s="395"/>
      <c r="UBQ11" s="394"/>
      <c r="UBR11" s="394"/>
      <c r="UBS11" s="394"/>
      <c r="UBT11" s="394"/>
      <c r="UBU11" s="394"/>
      <c r="UBV11" s="394"/>
      <c r="UBW11" s="394"/>
      <c r="UBX11" s="395"/>
      <c r="UBY11" s="394"/>
      <c r="UBZ11" s="394"/>
      <c r="UCA11" s="394"/>
      <c r="UCB11" s="394"/>
      <c r="UCC11" s="394"/>
      <c r="UCD11" s="394"/>
      <c r="UCE11" s="394"/>
      <c r="UCF11" s="395"/>
      <c r="UCG11" s="394"/>
      <c r="UCH11" s="394"/>
      <c r="UCI11" s="394"/>
      <c r="UCJ11" s="394"/>
      <c r="UCK11" s="394"/>
      <c r="UCL11" s="394"/>
      <c r="UCM11" s="394"/>
      <c r="UCN11" s="395"/>
      <c r="UCO11" s="394"/>
      <c r="UCP11" s="394"/>
      <c r="UCQ11" s="394"/>
      <c r="UCR11" s="394"/>
      <c r="UCS11" s="394"/>
      <c r="UCT11" s="394"/>
      <c r="UCU11" s="394"/>
      <c r="UCV11" s="395"/>
      <c r="UCW11" s="394"/>
      <c r="UCX11" s="394"/>
      <c r="UCY11" s="394"/>
      <c r="UCZ11" s="394"/>
      <c r="UDA11" s="394"/>
      <c r="UDB11" s="394"/>
      <c r="UDC11" s="394"/>
      <c r="UDD11" s="395"/>
      <c r="UDE11" s="394"/>
      <c r="UDF11" s="394"/>
      <c r="UDG11" s="394"/>
      <c r="UDH11" s="394"/>
      <c r="UDI11" s="394"/>
      <c r="UDJ11" s="394"/>
      <c r="UDK11" s="394"/>
      <c r="UDL11" s="395"/>
      <c r="UDM11" s="394"/>
      <c r="UDN11" s="394"/>
      <c r="UDO11" s="394"/>
      <c r="UDP11" s="394"/>
      <c r="UDQ11" s="394"/>
      <c r="UDR11" s="394"/>
      <c r="UDS11" s="394"/>
      <c r="UDT11" s="395"/>
      <c r="UDU11" s="394"/>
      <c r="UDV11" s="394"/>
      <c r="UDW11" s="394"/>
      <c r="UDX11" s="394"/>
      <c r="UDY11" s="394"/>
      <c r="UDZ11" s="394"/>
      <c r="UEA11" s="394"/>
      <c r="UEB11" s="395"/>
      <c r="UEC11" s="394"/>
      <c r="UED11" s="394"/>
      <c r="UEE11" s="394"/>
      <c r="UEF11" s="394"/>
      <c r="UEG11" s="394"/>
      <c r="UEH11" s="394"/>
      <c r="UEI11" s="394"/>
      <c r="UEJ11" s="395"/>
      <c r="UEK11" s="394"/>
      <c r="UEL11" s="394"/>
      <c r="UEM11" s="394"/>
      <c r="UEN11" s="394"/>
      <c r="UEO11" s="394"/>
      <c r="UEP11" s="394"/>
      <c r="UEQ11" s="394"/>
      <c r="UER11" s="395"/>
      <c r="UES11" s="394"/>
      <c r="UET11" s="394"/>
      <c r="UEU11" s="394"/>
      <c r="UEV11" s="394"/>
      <c r="UEW11" s="394"/>
      <c r="UEX11" s="394"/>
      <c r="UEY11" s="394"/>
      <c r="UEZ11" s="395"/>
      <c r="UFA11" s="394"/>
      <c r="UFB11" s="394"/>
      <c r="UFC11" s="394"/>
      <c r="UFD11" s="394"/>
      <c r="UFE11" s="394"/>
      <c r="UFF11" s="394"/>
      <c r="UFG11" s="394"/>
      <c r="UFH11" s="395"/>
      <c r="UFI11" s="394"/>
      <c r="UFJ11" s="394"/>
      <c r="UFK11" s="394"/>
      <c r="UFL11" s="394"/>
      <c r="UFM11" s="394"/>
      <c r="UFN11" s="394"/>
      <c r="UFO11" s="394"/>
      <c r="UFP11" s="395"/>
      <c r="UFQ11" s="394"/>
      <c r="UFR11" s="394"/>
      <c r="UFS11" s="394"/>
      <c r="UFT11" s="394"/>
      <c r="UFU11" s="394"/>
      <c r="UFV11" s="394"/>
      <c r="UFW11" s="394"/>
      <c r="UFX11" s="395"/>
      <c r="UFY11" s="394"/>
      <c r="UFZ11" s="394"/>
      <c r="UGA11" s="394"/>
      <c r="UGB11" s="394"/>
      <c r="UGC11" s="394"/>
      <c r="UGD11" s="394"/>
      <c r="UGE11" s="394"/>
      <c r="UGF11" s="395"/>
      <c r="UGG11" s="394"/>
      <c r="UGH11" s="394"/>
      <c r="UGI11" s="394"/>
      <c r="UGJ11" s="394"/>
      <c r="UGK11" s="394"/>
      <c r="UGL11" s="394"/>
      <c r="UGM11" s="394"/>
      <c r="UGN11" s="395"/>
      <c r="UGO11" s="394"/>
      <c r="UGP11" s="394"/>
      <c r="UGQ11" s="394"/>
      <c r="UGR11" s="394"/>
      <c r="UGS11" s="394"/>
      <c r="UGT11" s="394"/>
      <c r="UGU11" s="394"/>
      <c r="UGV11" s="395"/>
      <c r="UGW11" s="394"/>
      <c r="UGX11" s="394"/>
      <c r="UGY11" s="394"/>
      <c r="UGZ11" s="394"/>
      <c r="UHA11" s="394"/>
      <c r="UHB11" s="394"/>
      <c r="UHC11" s="394"/>
      <c r="UHD11" s="395"/>
      <c r="UHE11" s="394"/>
      <c r="UHF11" s="394"/>
      <c r="UHG11" s="394"/>
      <c r="UHH11" s="394"/>
      <c r="UHI11" s="394"/>
      <c r="UHJ11" s="394"/>
      <c r="UHK11" s="394"/>
      <c r="UHL11" s="395"/>
      <c r="UHM11" s="394"/>
      <c r="UHN11" s="394"/>
      <c r="UHO11" s="394"/>
      <c r="UHP11" s="394"/>
      <c r="UHQ11" s="394"/>
      <c r="UHR11" s="394"/>
      <c r="UHS11" s="394"/>
      <c r="UHT11" s="395"/>
      <c r="UHU11" s="394"/>
      <c r="UHV11" s="394"/>
      <c r="UHW11" s="394"/>
      <c r="UHX11" s="394"/>
      <c r="UHY11" s="394"/>
      <c r="UHZ11" s="394"/>
      <c r="UIA11" s="394"/>
      <c r="UIB11" s="395"/>
      <c r="UIC11" s="394"/>
      <c r="UID11" s="394"/>
      <c r="UIE11" s="394"/>
      <c r="UIF11" s="394"/>
      <c r="UIG11" s="394"/>
      <c r="UIH11" s="394"/>
      <c r="UII11" s="394"/>
      <c r="UIJ11" s="395"/>
      <c r="UIK11" s="394"/>
      <c r="UIL11" s="394"/>
      <c r="UIM11" s="394"/>
      <c r="UIN11" s="394"/>
      <c r="UIO11" s="394"/>
      <c r="UIP11" s="394"/>
      <c r="UIQ11" s="394"/>
      <c r="UIR11" s="395"/>
      <c r="UIS11" s="394"/>
      <c r="UIT11" s="394"/>
      <c r="UIU11" s="394"/>
      <c r="UIV11" s="394"/>
      <c r="UIW11" s="394"/>
      <c r="UIX11" s="394"/>
      <c r="UIY11" s="394"/>
      <c r="UIZ11" s="395"/>
      <c r="UJA11" s="394"/>
      <c r="UJB11" s="394"/>
      <c r="UJC11" s="394"/>
      <c r="UJD11" s="394"/>
      <c r="UJE11" s="394"/>
      <c r="UJF11" s="394"/>
      <c r="UJG11" s="394"/>
      <c r="UJH11" s="395"/>
      <c r="UJI11" s="394"/>
      <c r="UJJ11" s="394"/>
      <c r="UJK11" s="394"/>
      <c r="UJL11" s="394"/>
      <c r="UJM11" s="394"/>
      <c r="UJN11" s="394"/>
      <c r="UJO11" s="394"/>
      <c r="UJP11" s="395"/>
      <c r="UJQ11" s="394"/>
      <c r="UJR11" s="394"/>
      <c r="UJS11" s="394"/>
      <c r="UJT11" s="394"/>
      <c r="UJU11" s="394"/>
      <c r="UJV11" s="394"/>
      <c r="UJW11" s="394"/>
      <c r="UJX11" s="395"/>
      <c r="UJY11" s="394"/>
      <c r="UJZ11" s="394"/>
      <c r="UKA11" s="394"/>
      <c r="UKB11" s="394"/>
      <c r="UKC11" s="394"/>
      <c r="UKD11" s="394"/>
      <c r="UKE11" s="394"/>
      <c r="UKF11" s="395"/>
      <c r="UKG11" s="394"/>
      <c r="UKH11" s="394"/>
      <c r="UKI11" s="394"/>
      <c r="UKJ11" s="394"/>
      <c r="UKK11" s="394"/>
      <c r="UKL11" s="394"/>
      <c r="UKM11" s="394"/>
      <c r="UKN11" s="395"/>
      <c r="UKO11" s="394"/>
      <c r="UKP11" s="394"/>
      <c r="UKQ11" s="394"/>
      <c r="UKR11" s="394"/>
      <c r="UKS11" s="394"/>
      <c r="UKT11" s="394"/>
      <c r="UKU11" s="394"/>
      <c r="UKV11" s="395"/>
      <c r="UKW11" s="394"/>
      <c r="UKX11" s="394"/>
      <c r="UKY11" s="394"/>
      <c r="UKZ11" s="394"/>
      <c r="ULA11" s="394"/>
      <c r="ULB11" s="394"/>
      <c r="ULC11" s="394"/>
      <c r="ULD11" s="395"/>
      <c r="ULE11" s="394"/>
      <c r="ULF11" s="394"/>
      <c r="ULG11" s="394"/>
      <c r="ULH11" s="394"/>
      <c r="ULI11" s="394"/>
      <c r="ULJ11" s="394"/>
      <c r="ULK11" s="394"/>
      <c r="ULL11" s="395"/>
      <c r="ULM11" s="394"/>
      <c r="ULN11" s="394"/>
      <c r="ULO11" s="394"/>
      <c r="ULP11" s="394"/>
      <c r="ULQ11" s="394"/>
      <c r="ULR11" s="394"/>
      <c r="ULS11" s="394"/>
      <c r="ULT11" s="395"/>
      <c r="ULU11" s="394"/>
      <c r="ULV11" s="394"/>
      <c r="ULW11" s="394"/>
      <c r="ULX11" s="394"/>
      <c r="ULY11" s="394"/>
      <c r="ULZ11" s="394"/>
      <c r="UMA11" s="394"/>
      <c r="UMB11" s="395"/>
      <c r="UMC11" s="394"/>
      <c r="UMD11" s="394"/>
      <c r="UME11" s="394"/>
      <c r="UMF11" s="394"/>
      <c r="UMG11" s="394"/>
      <c r="UMH11" s="394"/>
      <c r="UMI11" s="394"/>
      <c r="UMJ11" s="395"/>
      <c r="UMK11" s="394"/>
      <c r="UML11" s="394"/>
      <c r="UMM11" s="394"/>
      <c r="UMN11" s="394"/>
      <c r="UMO11" s="394"/>
      <c r="UMP11" s="394"/>
      <c r="UMQ11" s="394"/>
      <c r="UMR11" s="395"/>
      <c r="UMS11" s="394"/>
      <c r="UMT11" s="394"/>
      <c r="UMU11" s="394"/>
      <c r="UMV11" s="394"/>
      <c r="UMW11" s="394"/>
      <c r="UMX11" s="394"/>
      <c r="UMY11" s="394"/>
      <c r="UMZ11" s="395"/>
      <c r="UNA11" s="394"/>
      <c r="UNB11" s="394"/>
      <c r="UNC11" s="394"/>
      <c r="UND11" s="394"/>
      <c r="UNE11" s="394"/>
      <c r="UNF11" s="394"/>
      <c r="UNG11" s="394"/>
      <c r="UNH11" s="395"/>
      <c r="UNI11" s="394"/>
      <c r="UNJ11" s="394"/>
      <c r="UNK11" s="394"/>
      <c r="UNL11" s="394"/>
      <c r="UNM11" s="394"/>
      <c r="UNN11" s="394"/>
      <c r="UNO11" s="394"/>
      <c r="UNP11" s="395"/>
      <c r="UNQ11" s="394"/>
      <c r="UNR11" s="394"/>
      <c r="UNS11" s="394"/>
      <c r="UNT11" s="394"/>
      <c r="UNU11" s="394"/>
      <c r="UNV11" s="394"/>
      <c r="UNW11" s="394"/>
      <c r="UNX11" s="395"/>
      <c r="UNY11" s="394"/>
      <c r="UNZ11" s="394"/>
      <c r="UOA11" s="394"/>
      <c r="UOB11" s="394"/>
      <c r="UOC11" s="394"/>
      <c r="UOD11" s="394"/>
      <c r="UOE11" s="394"/>
      <c r="UOF11" s="395"/>
      <c r="UOG11" s="394"/>
      <c r="UOH11" s="394"/>
      <c r="UOI11" s="394"/>
      <c r="UOJ11" s="394"/>
      <c r="UOK11" s="394"/>
      <c r="UOL11" s="394"/>
      <c r="UOM11" s="394"/>
      <c r="UON11" s="395"/>
      <c r="UOO11" s="394"/>
      <c r="UOP11" s="394"/>
      <c r="UOQ11" s="394"/>
      <c r="UOR11" s="394"/>
      <c r="UOS11" s="394"/>
      <c r="UOT11" s="394"/>
      <c r="UOU11" s="394"/>
      <c r="UOV11" s="395"/>
      <c r="UOW11" s="394"/>
      <c r="UOX11" s="394"/>
      <c r="UOY11" s="394"/>
      <c r="UOZ11" s="394"/>
      <c r="UPA11" s="394"/>
      <c r="UPB11" s="394"/>
      <c r="UPC11" s="394"/>
      <c r="UPD11" s="395"/>
      <c r="UPE11" s="394"/>
      <c r="UPF11" s="394"/>
      <c r="UPG11" s="394"/>
      <c r="UPH11" s="394"/>
      <c r="UPI11" s="394"/>
      <c r="UPJ11" s="394"/>
      <c r="UPK11" s="394"/>
      <c r="UPL11" s="395"/>
      <c r="UPM11" s="394"/>
      <c r="UPN11" s="394"/>
      <c r="UPO11" s="394"/>
      <c r="UPP11" s="394"/>
      <c r="UPQ11" s="394"/>
      <c r="UPR11" s="394"/>
      <c r="UPS11" s="394"/>
      <c r="UPT11" s="395"/>
      <c r="UPU11" s="394"/>
      <c r="UPV11" s="394"/>
      <c r="UPW11" s="394"/>
      <c r="UPX11" s="394"/>
      <c r="UPY11" s="394"/>
      <c r="UPZ11" s="394"/>
      <c r="UQA11" s="394"/>
      <c r="UQB11" s="395"/>
      <c r="UQC11" s="394"/>
      <c r="UQD11" s="394"/>
      <c r="UQE11" s="394"/>
      <c r="UQF11" s="394"/>
      <c r="UQG11" s="394"/>
      <c r="UQH11" s="394"/>
      <c r="UQI11" s="394"/>
      <c r="UQJ11" s="395"/>
      <c r="UQK11" s="394"/>
      <c r="UQL11" s="394"/>
      <c r="UQM11" s="394"/>
      <c r="UQN11" s="394"/>
      <c r="UQO11" s="394"/>
      <c r="UQP11" s="394"/>
      <c r="UQQ11" s="394"/>
      <c r="UQR11" s="395"/>
      <c r="UQS11" s="394"/>
      <c r="UQT11" s="394"/>
      <c r="UQU11" s="394"/>
      <c r="UQV11" s="394"/>
      <c r="UQW11" s="394"/>
      <c r="UQX11" s="394"/>
      <c r="UQY11" s="394"/>
      <c r="UQZ11" s="395"/>
      <c r="URA11" s="394"/>
      <c r="URB11" s="394"/>
      <c r="URC11" s="394"/>
      <c r="URD11" s="394"/>
      <c r="URE11" s="394"/>
      <c r="URF11" s="394"/>
      <c r="URG11" s="394"/>
      <c r="URH11" s="395"/>
      <c r="URI11" s="394"/>
      <c r="URJ11" s="394"/>
      <c r="URK11" s="394"/>
      <c r="URL11" s="394"/>
      <c r="URM11" s="394"/>
      <c r="URN11" s="394"/>
      <c r="URO11" s="394"/>
      <c r="URP11" s="395"/>
      <c r="URQ11" s="394"/>
      <c r="URR11" s="394"/>
      <c r="URS11" s="394"/>
      <c r="URT11" s="394"/>
      <c r="URU11" s="394"/>
      <c r="URV11" s="394"/>
      <c r="URW11" s="394"/>
      <c r="URX11" s="395"/>
      <c r="URY11" s="394"/>
      <c r="URZ11" s="394"/>
      <c r="USA11" s="394"/>
      <c r="USB11" s="394"/>
      <c r="USC11" s="394"/>
      <c r="USD11" s="394"/>
      <c r="USE11" s="394"/>
      <c r="USF11" s="395"/>
      <c r="USG11" s="394"/>
      <c r="USH11" s="394"/>
      <c r="USI11" s="394"/>
      <c r="USJ11" s="394"/>
      <c r="USK11" s="394"/>
      <c r="USL11" s="394"/>
      <c r="USM11" s="394"/>
      <c r="USN11" s="395"/>
      <c r="USO11" s="394"/>
      <c r="USP11" s="394"/>
      <c r="USQ11" s="394"/>
      <c r="USR11" s="394"/>
      <c r="USS11" s="394"/>
      <c r="UST11" s="394"/>
      <c r="USU11" s="394"/>
      <c r="USV11" s="395"/>
      <c r="USW11" s="394"/>
      <c r="USX11" s="394"/>
      <c r="USY11" s="394"/>
      <c r="USZ11" s="394"/>
      <c r="UTA11" s="394"/>
      <c r="UTB11" s="394"/>
      <c r="UTC11" s="394"/>
      <c r="UTD11" s="395"/>
      <c r="UTE11" s="394"/>
      <c r="UTF11" s="394"/>
      <c r="UTG11" s="394"/>
      <c r="UTH11" s="394"/>
      <c r="UTI11" s="394"/>
      <c r="UTJ11" s="394"/>
      <c r="UTK11" s="394"/>
      <c r="UTL11" s="395"/>
      <c r="UTM11" s="394"/>
      <c r="UTN11" s="394"/>
      <c r="UTO11" s="394"/>
      <c r="UTP11" s="394"/>
      <c r="UTQ11" s="394"/>
      <c r="UTR11" s="394"/>
      <c r="UTS11" s="394"/>
      <c r="UTT11" s="395"/>
      <c r="UTU11" s="394"/>
      <c r="UTV11" s="394"/>
      <c r="UTW11" s="394"/>
      <c r="UTX11" s="394"/>
      <c r="UTY11" s="394"/>
      <c r="UTZ11" s="394"/>
      <c r="UUA11" s="394"/>
      <c r="UUB11" s="395"/>
      <c r="UUC11" s="394"/>
      <c r="UUD11" s="394"/>
      <c r="UUE11" s="394"/>
      <c r="UUF11" s="394"/>
      <c r="UUG11" s="394"/>
      <c r="UUH11" s="394"/>
      <c r="UUI11" s="394"/>
      <c r="UUJ11" s="395"/>
      <c r="UUK11" s="394"/>
      <c r="UUL11" s="394"/>
      <c r="UUM11" s="394"/>
      <c r="UUN11" s="394"/>
      <c r="UUO11" s="394"/>
      <c r="UUP11" s="394"/>
      <c r="UUQ11" s="394"/>
      <c r="UUR11" s="395"/>
      <c r="UUS11" s="394"/>
      <c r="UUT11" s="394"/>
      <c r="UUU11" s="394"/>
      <c r="UUV11" s="394"/>
      <c r="UUW11" s="394"/>
      <c r="UUX11" s="394"/>
      <c r="UUY11" s="394"/>
      <c r="UUZ11" s="395"/>
      <c r="UVA11" s="394"/>
      <c r="UVB11" s="394"/>
      <c r="UVC11" s="394"/>
      <c r="UVD11" s="394"/>
      <c r="UVE11" s="394"/>
      <c r="UVF11" s="394"/>
      <c r="UVG11" s="394"/>
      <c r="UVH11" s="395"/>
      <c r="UVI11" s="394"/>
      <c r="UVJ11" s="394"/>
      <c r="UVK11" s="394"/>
      <c r="UVL11" s="394"/>
      <c r="UVM11" s="394"/>
      <c r="UVN11" s="394"/>
      <c r="UVO11" s="394"/>
      <c r="UVP11" s="395"/>
      <c r="UVQ11" s="394"/>
      <c r="UVR11" s="394"/>
      <c r="UVS11" s="394"/>
      <c r="UVT11" s="394"/>
      <c r="UVU11" s="394"/>
      <c r="UVV11" s="394"/>
      <c r="UVW11" s="394"/>
      <c r="UVX11" s="395"/>
      <c r="UVY11" s="394"/>
      <c r="UVZ11" s="394"/>
      <c r="UWA11" s="394"/>
      <c r="UWB11" s="394"/>
      <c r="UWC11" s="394"/>
      <c r="UWD11" s="394"/>
      <c r="UWE11" s="394"/>
      <c r="UWF11" s="395"/>
      <c r="UWG11" s="394"/>
      <c r="UWH11" s="394"/>
      <c r="UWI11" s="394"/>
      <c r="UWJ11" s="394"/>
      <c r="UWK11" s="394"/>
      <c r="UWL11" s="394"/>
      <c r="UWM11" s="394"/>
      <c r="UWN11" s="395"/>
      <c r="UWO11" s="394"/>
      <c r="UWP11" s="394"/>
      <c r="UWQ11" s="394"/>
      <c r="UWR11" s="394"/>
      <c r="UWS11" s="394"/>
      <c r="UWT11" s="394"/>
      <c r="UWU11" s="394"/>
      <c r="UWV11" s="395"/>
      <c r="UWW11" s="394"/>
      <c r="UWX11" s="394"/>
      <c r="UWY11" s="394"/>
      <c r="UWZ11" s="394"/>
      <c r="UXA11" s="394"/>
      <c r="UXB11" s="394"/>
      <c r="UXC11" s="394"/>
      <c r="UXD11" s="395"/>
      <c r="UXE11" s="394"/>
      <c r="UXF11" s="394"/>
      <c r="UXG11" s="394"/>
      <c r="UXH11" s="394"/>
      <c r="UXI11" s="394"/>
      <c r="UXJ11" s="394"/>
      <c r="UXK11" s="394"/>
      <c r="UXL11" s="395"/>
      <c r="UXM11" s="394"/>
      <c r="UXN11" s="394"/>
      <c r="UXO11" s="394"/>
      <c r="UXP11" s="394"/>
      <c r="UXQ11" s="394"/>
      <c r="UXR11" s="394"/>
      <c r="UXS11" s="394"/>
      <c r="UXT11" s="395"/>
      <c r="UXU11" s="394"/>
      <c r="UXV11" s="394"/>
      <c r="UXW11" s="394"/>
      <c r="UXX11" s="394"/>
      <c r="UXY11" s="394"/>
      <c r="UXZ11" s="394"/>
      <c r="UYA11" s="394"/>
      <c r="UYB11" s="395"/>
      <c r="UYC11" s="394"/>
      <c r="UYD11" s="394"/>
      <c r="UYE11" s="394"/>
      <c r="UYF11" s="394"/>
      <c r="UYG11" s="394"/>
      <c r="UYH11" s="394"/>
      <c r="UYI11" s="394"/>
      <c r="UYJ11" s="395"/>
      <c r="UYK11" s="394"/>
      <c r="UYL11" s="394"/>
      <c r="UYM11" s="394"/>
      <c r="UYN11" s="394"/>
      <c r="UYO11" s="394"/>
      <c r="UYP11" s="394"/>
      <c r="UYQ11" s="394"/>
      <c r="UYR11" s="395"/>
      <c r="UYS11" s="394"/>
      <c r="UYT11" s="394"/>
      <c r="UYU11" s="394"/>
      <c r="UYV11" s="394"/>
      <c r="UYW11" s="394"/>
      <c r="UYX11" s="394"/>
      <c r="UYY11" s="394"/>
      <c r="UYZ11" s="395"/>
      <c r="UZA11" s="394"/>
      <c r="UZB11" s="394"/>
      <c r="UZC11" s="394"/>
      <c r="UZD11" s="394"/>
      <c r="UZE11" s="394"/>
      <c r="UZF11" s="394"/>
      <c r="UZG11" s="394"/>
      <c r="UZH11" s="395"/>
      <c r="UZI11" s="394"/>
      <c r="UZJ11" s="394"/>
      <c r="UZK11" s="394"/>
      <c r="UZL11" s="394"/>
      <c r="UZM11" s="394"/>
      <c r="UZN11" s="394"/>
      <c r="UZO11" s="394"/>
      <c r="UZP11" s="395"/>
      <c r="UZQ11" s="394"/>
      <c r="UZR11" s="394"/>
      <c r="UZS11" s="394"/>
      <c r="UZT11" s="394"/>
      <c r="UZU11" s="394"/>
      <c r="UZV11" s="394"/>
      <c r="UZW11" s="394"/>
      <c r="UZX11" s="395"/>
      <c r="UZY11" s="394"/>
      <c r="UZZ11" s="394"/>
      <c r="VAA11" s="394"/>
      <c r="VAB11" s="394"/>
      <c r="VAC11" s="394"/>
      <c r="VAD11" s="394"/>
      <c r="VAE11" s="394"/>
      <c r="VAF11" s="395"/>
      <c r="VAG11" s="394"/>
      <c r="VAH11" s="394"/>
      <c r="VAI11" s="394"/>
      <c r="VAJ11" s="394"/>
      <c r="VAK11" s="394"/>
      <c r="VAL11" s="394"/>
      <c r="VAM11" s="394"/>
      <c r="VAN11" s="395"/>
      <c r="VAO11" s="394"/>
      <c r="VAP11" s="394"/>
      <c r="VAQ11" s="394"/>
      <c r="VAR11" s="394"/>
      <c r="VAS11" s="394"/>
      <c r="VAT11" s="394"/>
      <c r="VAU11" s="394"/>
      <c r="VAV11" s="395"/>
      <c r="VAW11" s="394"/>
      <c r="VAX11" s="394"/>
      <c r="VAY11" s="394"/>
      <c r="VAZ11" s="394"/>
      <c r="VBA11" s="394"/>
      <c r="VBB11" s="394"/>
      <c r="VBC11" s="394"/>
      <c r="VBD11" s="395"/>
      <c r="VBE11" s="394"/>
      <c r="VBF11" s="394"/>
      <c r="VBG11" s="394"/>
      <c r="VBH11" s="394"/>
      <c r="VBI11" s="394"/>
      <c r="VBJ11" s="394"/>
      <c r="VBK11" s="394"/>
      <c r="VBL11" s="395"/>
      <c r="VBM11" s="394"/>
      <c r="VBN11" s="394"/>
      <c r="VBO11" s="394"/>
      <c r="VBP11" s="394"/>
      <c r="VBQ11" s="394"/>
      <c r="VBR11" s="394"/>
      <c r="VBS11" s="394"/>
      <c r="VBT11" s="395"/>
      <c r="VBU11" s="394"/>
      <c r="VBV11" s="394"/>
      <c r="VBW11" s="394"/>
      <c r="VBX11" s="394"/>
      <c r="VBY11" s="394"/>
      <c r="VBZ11" s="394"/>
      <c r="VCA11" s="394"/>
      <c r="VCB11" s="395"/>
      <c r="VCC11" s="394"/>
      <c r="VCD11" s="394"/>
      <c r="VCE11" s="394"/>
      <c r="VCF11" s="394"/>
      <c r="VCG11" s="394"/>
      <c r="VCH11" s="394"/>
      <c r="VCI11" s="394"/>
      <c r="VCJ11" s="395"/>
      <c r="VCK11" s="394"/>
      <c r="VCL11" s="394"/>
      <c r="VCM11" s="394"/>
      <c r="VCN11" s="394"/>
      <c r="VCO11" s="394"/>
      <c r="VCP11" s="394"/>
      <c r="VCQ11" s="394"/>
      <c r="VCR11" s="395"/>
      <c r="VCS11" s="394"/>
      <c r="VCT11" s="394"/>
      <c r="VCU11" s="394"/>
      <c r="VCV11" s="394"/>
      <c r="VCW11" s="394"/>
      <c r="VCX11" s="394"/>
      <c r="VCY11" s="394"/>
      <c r="VCZ11" s="395"/>
      <c r="VDA11" s="394"/>
      <c r="VDB11" s="394"/>
      <c r="VDC11" s="394"/>
      <c r="VDD11" s="394"/>
      <c r="VDE11" s="394"/>
      <c r="VDF11" s="394"/>
      <c r="VDG11" s="394"/>
      <c r="VDH11" s="395"/>
      <c r="VDI11" s="394"/>
      <c r="VDJ11" s="394"/>
      <c r="VDK11" s="394"/>
      <c r="VDL11" s="394"/>
      <c r="VDM11" s="394"/>
      <c r="VDN11" s="394"/>
      <c r="VDO11" s="394"/>
      <c r="VDP11" s="395"/>
      <c r="VDQ11" s="394"/>
      <c r="VDR11" s="394"/>
      <c r="VDS11" s="394"/>
      <c r="VDT11" s="394"/>
      <c r="VDU11" s="394"/>
      <c r="VDV11" s="394"/>
      <c r="VDW11" s="394"/>
      <c r="VDX11" s="395"/>
      <c r="VDY11" s="394"/>
      <c r="VDZ11" s="394"/>
      <c r="VEA11" s="394"/>
      <c r="VEB11" s="394"/>
      <c r="VEC11" s="394"/>
      <c r="VED11" s="394"/>
      <c r="VEE11" s="394"/>
      <c r="VEF11" s="395"/>
      <c r="VEG11" s="394"/>
      <c r="VEH11" s="394"/>
      <c r="VEI11" s="394"/>
      <c r="VEJ11" s="394"/>
      <c r="VEK11" s="394"/>
      <c r="VEL11" s="394"/>
      <c r="VEM11" s="394"/>
      <c r="VEN11" s="395"/>
      <c r="VEO11" s="394"/>
      <c r="VEP11" s="394"/>
      <c r="VEQ11" s="394"/>
      <c r="VER11" s="394"/>
      <c r="VES11" s="394"/>
      <c r="VET11" s="394"/>
      <c r="VEU11" s="394"/>
      <c r="VEV11" s="395"/>
      <c r="VEW11" s="394"/>
      <c r="VEX11" s="394"/>
      <c r="VEY11" s="394"/>
      <c r="VEZ11" s="394"/>
      <c r="VFA11" s="394"/>
      <c r="VFB11" s="394"/>
      <c r="VFC11" s="394"/>
      <c r="VFD11" s="395"/>
      <c r="VFE11" s="394"/>
      <c r="VFF11" s="394"/>
      <c r="VFG11" s="394"/>
      <c r="VFH11" s="394"/>
      <c r="VFI11" s="394"/>
      <c r="VFJ11" s="394"/>
      <c r="VFK11" s="394"/>
      <c r="VFL11" s="395"/>
      <c r="VFM11" s="394"/>
      <c r="VFN11" s="394"/>
      <c r="VFO11" s="394"/>
      <c r="VFP11" s="394"/>
      <c r="VFQ11" s="394"/>
      <c r="VFR11" s="394"/>
      <c r="VFS11" s="394"/>
      <c r="VFT11" s="395"/>
      <c r="VFU11" s="394"/>
      <c r="VFV11" s="394"/>
      <c r="VFW11" s="394"/>
      <c r="VFX11" s="394"/>
      <c r="VFY11" s="394"/>
      <c r="VFZ11" s="394"/>
      <c r="VGA11" s="394"/>
      <c r="VGB11" s="395"/>
      <c r="VGC11" s="394"/>
      <c r="VGD11" s="394"/>
      <c r="VGE11" s="394"/>
      <c r="VGF11" s="394"/>
      <c r="VGG11" s="394"/>
      <c r="VGH11" s="394"/>
      <c r="VGI11" s="394"/>
      <c r="VGJ11" s="395"/>
      <c r="VGK11" s="394"/>
      <c r="VGL11" s="394"/>
      <c r="VGM11" s="394"/>
      <c r="VGN11" s="394"/>
      <c r="VGO11" s="394"/>
      <c r="VGP11" s="394"/>
      <c r="VGQ11" s="394"/>
      <c r="VGR11" s="395"/>
      <c r="VGS11" s="394"/>
      <c r="VGT11" s="394"/>
      <c r="VGU11" s="394"/>
      <c r="VGV11" s="394"/>
      <c r="VGW11" s="394"/>
      <c r="VGX11" s="394"/>
      <c r="VGY11" s="394"/>
      <c r="VGZ11" s="395"/>
      <c r="VHA11" s="394"/>
      <c r="VHB11" s="394"/>
      <c r="VHC11" s="394"/>
      <c r="VHD11" s="394"/>
      <c r="VHE11" s="394"/>
      <c r="VHF11" s="394"/>
      <c r="VHG11" s="394"/>
      <c r="VHH11" s="395"/>
      <c r="VHI11" s="394"/>
      <c r="VHJ11" s="394"/>
      <c r="VHK11" s="394"/>
      <c r="VHL11" s="394"/>
      <c r="VHM11" s="394"/>
      <c r="VHN11" s="394"/>
      <c r="VHO11" s="394"/>
      <c r="VHP11" s="395"/>
      <c r="VHQ11" s="394"/>
      <c r="VHR11" s="394"/>
      <c r="VHS11" s="394"/>
      <c r="VHT11" s="394"/>
      <c r="VHU11" s="394"/>
      <c r="VHV11" s="394"/>
      <c r="VHW11" s="394"/>
      <c r="VHX11" s="395"/>
      <c r="VHY11" s="394"/>
      <c r="VHZ11" s="394"/>
      <c r="VIA11" s="394"/>
      <c r="VIB11" s="394"/>
      <c r="VIC11" s="394"/>
      <c r="VID11" s="394"/>
      <c r="VIE11" s="394"/>
      <c r="VIF11" s="395"/>
      <c r="VIG11" s="394"/>
      <c r="VIH11" s="394"/>
      <c r="VII11" s="394"/>
      <c r="VIJ11" s="394"/>
      <c r="VIK11" s="394"/>
      <c r="VIL11" s="394"/>
      <c r="VIM11" s="394"/>
      <c r="VIN11" s="395"/>
      <c r="VIO11" s="394"/>
      <c r="VIP11" s="394"/>
      <c r="VIQ11" s="394"/>
      <c r="VIR11" s="394"/>
      <c r="VIS11" s="394"/>
      <c r="VIT11" s="394"/>
      <c r="VIU11" s="394"/>
      <c r="VIV11" s="395"/>
      <c r="VIW11" s="394"/>
      <c r="VIX11" s="394"/>
      <c r="VIY11" s="394"/>
      <c r="VIZ11" s="394"/>
      <c r="VJA11" s="394"/>
      <c r="VJB11" s="394"/>
      <c r="VJC11" s="394"/>
      <c r="VJD11" s="395"/>
      <c r="VJE11" s="394"/>
      <c r="VJF11" s="394"/>
      <c r="VJG11" s="394"/>
      <c r="VJH11" s="394"/>
      <c r="VJI11" s="394"/>
      <c r="VJJ11" s="394"/>
      <c r="VJK11" s="394"/>
      <c r="VJL11" s="395"/>
      <c r="VJM11" s="394"/>
      <c r="VJN11" s="394"/>
      <c r="VJO11" s="394"/>
      <c r="VJP11" s="394"/>
      <c r="VJQ11" s="394"/>
      <c r="VJR11" s="394"/>
      <c r="VJS11" s="394"/>
      <c r="VJT11" s="395"/>
      <c r="VJU11" s="394"/>
      <c r="VJV11" s="394"/>
      <c r="VJW11" s="394"/>
      <c r="VJX11" s="394"/>
      <c r="VJY11" s="394"/>
      <c r="VJZ11" s="394"/>
      <c r="VKA11" s="394"/>
      <c r="VKB11" s="395"/>
      <c r="VKC11" s="394"/>
      <c r="VKD11" s="394"/>
      <c r="VKE11" s="394"/>
      <c r="VKF11" s="394"/>
      <c r="VKG11" s="394"/>
      <c r="VKH11" s="394"/>
      <c r="VKI11" s="394"/>
      <c r="VKJ11" s="395"/>
      <c r="VKK11" s="394"/>
      <c r="VKL11" s="394"/>
      <c r="VKM11" s="394"/>
      <c r="VKN11" s="394"/>
      <c r="VKO11" s="394"/>
      <c r="VKP11" s="394"/>
      <c r="VKQ11" s="394"/>
      <c r="VKR11" s="395"/>
      <c r="VKS11" s="394"/>
      <c r="VKT11" s="394"/>
      <c r="VKU11" s="394"/>
      <c r="VKV11" s="394"/>
      <c r="VKW11" s="394"/>
      <c r="VKX11" s="394"/>
      <c r="VKY11" s="394"/>
      <c r="VKZ11" s="395"/>
      <c r="VLA11" s="394"/>
      <c r="VLB11" s="394"/>
      <c r="VLC11" s="394"/>
      <c r="VLD11" s="394"/>
      <c r="VLE11" s="394"/>
      <c r="VLF11" s="394"/>
      <c r="VLG11" s="394"/>
      <c r="VLH11" s="395"/>
      <c r="VLI11" s="394"/>
      <c r="VLJ11" s="394"/>
      <c r="VLK11" s="394"/>
      <c r="VLL11" s="394"/>
      <c r="VLM11" s="394"/>
      <c r="VLN11" s="394"/>
      <c r="VLO11" s="394"/>
      <c r="VLP11" s="395"/>
      <c r="VLQ11" s="394"/>
      <c r="VLR11" s="394"/>
      <c r="VLS11" s="394"/>
      <c r="VLT11" s="394"/>
      <c r="VLU11" s="394"/>
      <c r="VLV11" s="394"/>
      <c r="VLW11" s="394"/>
      <c r="VLX11" s="395"/>
      <c r="VLY11" s="394"/>
      <c r="VLZ11" s="394"/>
      <c r="VMA11" s="394"/>
      <c r="VMB11" s="394"/>
      <c r="VMC11" s="394"/>
      <c r="VMD11" s="394"/>
      <c r="VME11" s="394"/>
      <c r="VMF11" s="395"/>
      <c r="VMG11" s="394"/>
      <c r="VMH11" s="394"/>
      <c r="VMI11" s="394"/>
      <c r="VMJ11" s="394"/>
      <c r="VMK11" s="394"/>
      <c r="VML11" s="394"/>
      <c r="VMM11" s="394"/>
      <c r="VMN11" s="395"/>
      <c r="VMO11" s="394"/>
      <c r="VMP11" s="394"/>
      <c r="VMQ11" s="394"/>
      <c r="VMR11" s="394"/>
      <c r="VMS11" s="394"/>
      <c r="VMT11" s="394"/>
      <c r="VMU11" s="394"/>
      <c r="VMV11" s="395"/>
      <c r="VMW11" s="394"/>
      <c r="VMX11" s="394"/>
      <c r="VMY11" s="394"/>
      <c r="VMZ11" s="394"/>
      <c r="VNA11" s="394"/>
      <c r="VNB11" s="394"/>
      <c r="VNC11" s="394"/>
      <c r="VND11" s="395"/>
      <c r="VNE11" s="394"/>
      <c r="VNF11" s="394"/>
      <c r="VNG11" s="394"/>
      <c r="VNH11" s="394"/>
      <c r="VNI11" s="394"/>
      <c r="VNJ11" s="394"/>
      <c r="VNK11" s="394"/>
      <c r="VNL11" s="395"/>
      <c r="VNM11" s="394"/>
      <c r="VNN11" s="394"/>
      <c r="VNO11" s="394"/>
      <c r="VNP11" s="394"/>
      <c r="VNQ11" s="394"/>
      <c r="VNR11" s="394"/>
      <c r="VNS11" s="394"/>
      <c r="VNT11" s="395"/>
      <c r="VNU11" s="394"/>
      <c r="VNV11" s="394"/>
      <c r="VNW11" s="394"/>
      <c r="VNX11" s="394"/>
      <c r="VNY11" s="394"/>
      <c r="VNZ11" s="394"/>
      <c r="VOA11" s="394"/>
      <c r="VOB11" s="395"/>
      <c r="VOC11" s="394"/>
      <c r="VOD11" s="394"/>
      <c r="VOE11" s="394"/>
      <c r="VOF11" s="394"/>
      <c r="VOG11" s="394"/>
      <c r="VOH11" s="394"/>
      <c r="VOI11" s="394"/>
      <c r="VOJ11" s="395"/>
      <c r="VOK11" s="394"/>
      <c r="VOL11" s="394"/>
      <c r="VOM11" s="394"/>
      <c r="VON11" s="394"/>
      <c r="VOO11" s="394"/>
      <c r="VOP11" s="394"/>
      <c r="VOQ11" s="394"/>
      <c r="VOR11" s="395"/>
      <c r="VOS11" s="394"/>
      <c r="VOT11" s="394"/>
      <c r="VOU11" s="394"/>
      <c r="VOV11" s="394"/>
      <c r="VOW11" s="394"/>
      <c r="VOX11" s="394"/>
      <c r="VOY11" s="394"/>
      <c r="VOZ11" s="395"/>
      <c r="VPA11" s="394"/>
      <c r="VPB11" s="394"/>
      <c r="VPC11" s="394"/>
      <c r="VPD11" s="394"/>
      <c r="VPE11" s="394"/>
      <c r="VPF11" s="394"/>
      <c r="VPG11" s="394"/>
      <c r="VPH11" s="395"/>
      <c r="VPI11" s="394"/>
      <c r="VPJ11" s="394"/>
      <c r="VPK11" s="394"/>
      <c r="VPL11" s="394"/>
      <c r="VPM11" s="394"/>
      <c r="VPN11" s="394"/>
      <c r="VPO11" s="394"/>
      <c r="VPP11" s="395"/>
      <c r="VPQ11" s="394"/>
      <c r="VPR11" s="394"/>
      <c r="VPS11" s="394"/>
      <c r="VPT11" s="394"/>
      <c r="VPU11" s="394"/>
      <c r="VPV11" s="394"/>
      <c r="VPW11" s="394"/>
      <c r="VPX11" s="395"/>
      <c r="VPY11" s="394"/>
      <c r="VPZ11" s="394"/>
      <c r="VQA11" s="394"/>
      <c r="VQB11" s="394"/>
      <c r="VQC11" s="394"/>
      <c r="VQD11" s="394"/>
      <c r="VQE11" s="394"/>
      <c r="VQF11" s="395"/>
      <c r="VQG11" s="394"/>
      <c r="VQH11" s="394"/>
      <c r="VQI11" s="394"/>
      <c r="VQJ11" s="394"/>
      <c r="VQK11" s="394"/>
      <c r="VQL11" s="394"/>
      <c r="VQM11" s="394"/>
      <c r="VQN11" s="395"/>
      <c r="VQO11" s="394"/>
      <c r="VQP11" s="394"/>
      <c r="VQQ11" s="394"/>
      <c r="VQR11" s="394"/>
      <c r="VQS11" s="394"/>
      <c r="VQT11" s="394"/>
      <c r="VQU11" s="394"/>
      <c r="VQV11" s="395"/>
      <c r="VQW11" s="394"/>
      <c r="VQX11" s="394"/>
      <c r="VQY11" s="394"/>
      <c r="VQZ11" s="394"/>
      <c r="VRA11" s="394"/>
      <c r="VRB11" s="394"/>
      <c r="VRC11" s="394"/>
      <c r="VRD11" s="395"/>
      <c r="VRE11" s="394"/>
      <c r="VRF11" s="394"/>
      <c r="VRG11" s="394"/>
      <c r="VRH11" s="394"/>
      <c r="VRI11" s="394"/>
      <c r="VRJ11" s="394"/>
      <c r="VRK11" s="394"/>
      <c r="VRL11" s="395"/>
      <c r="VRM11" s="394"/>
      <c r="VRN11" s="394"/>
      <c r="VRO11" s="394"/>
      <c r="VRP11" s="394"/>
      <c r="VRQ11" s="394"/>
      <c r="VRR11" s="394"/>
      <c r="VRS11" s="394"/>
      <c r="VRT11" s="395"/>
      <c r="VRU11" s="394"/>
      <c r="VRV11" s="394"/>
      <c r="VRW11" s="394"/>
      <c r="VRX11" s="394"/>
      <c r="VRY11" s="394"/>
      <c r="VRZ11" s="394"/>
      <c r="VSA11" s="394"/>
      <c r="VSB11" s="395"/>
      <c r="VSC11" s="394"/>
      <c r="VSD11" s="394"/>
      <c r="VSE11" s="394"/>
      <c r="VSF11" s="394"/>
      <c r="VSG11" s="394"/>
      <c r="VSH11" s="394"/>
      <c r="VSI11" s="394"/>
      <c r="VSJ11" s="395"/>
      <c r="VSK11" s="394"/>
      <c r="VSL11" s="394"/>
      <c r="VSM11" s="394"/>
      <c r="VSN11" s="394"/>
      <c r="VSO11" s="394"/>
      <c r="VSP11" s="394"/>
      <c r="VSQ11" s="394"/>
      <c r="VSR11" s="395"/>
      <c r="VSS11" s="394"/>
      <c r="VST11" s="394"/>
      <c r="VSU11" s="394"/>
      <c r="VSV11" s="394"/>
      <c r="VSW11" s="394"/>
      <c r="VSX11" s="394"/>
      <c r="VSY11" s="394"/>
      <c r="VSZ11" s="395"/>
      <c r="VTA11" s="394"/>
      <c r="VTB11" s="394"/>
      <c r="VTC11" s="394"/>
      <c r="VTD11" s="394"/>
      <c r="VTE11" s="394"/>
      <c r="VTF11" s="394"/>
      <c r="VTG11" s="394"/>
      <c r="VTH11" s="395"/>
      <c r="VTI11" s="394"/>
      <c r="VTJ11" s="394"/>
      <c r="VTK11" s="394"/>
      <c r="VTL11" s="394"/>
      <c r="VTM11" s="394"/>
      <c r="VTN11" s="394"/>
      <c r="VTO11" s="394"/>
      <c r="VTP11" s="395"/>
      <c r="VTQ11" s="394"/>
      <c r="VTR11" s="394"/>
      <c r="VTS11" s="394"/>
      <c r="VTT11" s="394"/>
      <c r="VTU11" s="394"/>
      <c r="VTV11" s="394"/>
      <c r="VTW11" s="394"/>
      <c r="VTX11" s="395"/>
      <c r="VTY11" s="394"/>
      <c r="VTZ11" s="394"/>
      <c r="VUA11" s="394"/>
      <c r="VUB11" s="394"/>
      <c r="VUC11" s="394"/>
      <c r="VUD11" s="394"/>
      <c r="VUE11" s="394"/>
      <c r="VUF11" s="395"/>
      <c r="VUG11" s="394"/>
      <c r="VUH11" s="394"/>
      <c r="VUI11" s="394"/>
      <c r="VUJ11" s="394"/>
      <c r="VUK11" s="394"/>
      <c r="VUL11" s="394"/>
      <c r="VUM11" s="394"/>
      <c r="VUN11" s="395"/>
      <c r="VUO11" s="394"/>
      <c r="VUP11" s="394"/>
      <c r="VUQ11" s="394"/>
      <c r="VUR11" s="394"/>
      <c r="VUS11" s="394"/>
      <c r="VUT11" s="394"/>
      <c r="VUU11" s="394"/>
      <c r="VUV11" s="395"/>
      <c r="VUW11" s="394"/>
      <c r="VUX11" s="394"/>
      <c r="VUY11" s="394"/>
      <c r="VUZ11" s="394"/>
      <c r="VVA11" s="394"/>
      <c r="VVB11" s="394"/>
      <c r="VVC11" s="394"/>
      <c r="VVD11" s="395"/>
      <c r="VVE11" s="394"/>
      <c r="VVF11" s="394"/>
      <c r="VVG11" s="394"/>
      <c r="VVH11" s="394"/>
      <c r="VVI11" s="394"/>
      <c r="VVJ11" s="394"/>
      <c r="VVK11" s="394"/>
      <c r="VVL11" s="395"/>
      <c r="VVM11" s="394"/>
      <c r="VVN11" s="394"/>
      <c r="VVO11" s="394"/>
      <c r="VVP11" s="394"/>
      <c r="VVQ11" s="394"/>
      <c r="VVR11" s="394"/>
      <c r="VVS11" s="394"/>
      <c r="VVT11" s="395"/>
      <c r="VVU11" s="394"/>
      <c r="VVV11" s="394"/>
      <c r="VVW11" s="394"/>
      <c r="VVX11" s="394"/>
      <c r="VVY11" s="394"/>
      <c r="VVZ11" s="394"/>
      <c r="VWA11" s="394"/>
      <c r="VWB11" s="395"/>
      <c r="VWC11" s="394"/>
      <c r="VWD11" s="394"/>
      <c r="VWE11" s="394"/>
      <c r="VWF11" s="394"/>
      <c r="VWG11" s="394"/>
      <c r="VWH11" s="394"/>
      <c r="VWI11" s="394"/>
      <c r="VWJ11" s="395"/>
      <c r="VWK11" s="394"/>
      <c r="VWL11" s="394"/>
      <c r="VWM11" s="394"/>
      <c r="VWN11" s="394"/>
      <c r="VWO11" s="394"/>
      <c r="VWP11" s="394"/>
      <c r="VWQ11" s="394"/>
      <c r="VWR11" s="395"/>
      <c r="VWS11" s="394"/>
      <c r="VWT11" s="394"/>
      <c r="VWU11" s="394"/>
      <c r="VWV11" s="394"/>
      <c r="VWW11" s="394"/>
      <c r="VWX11" s="394"/>
      <c r="VWY11" s="394"/>
      <c r="VWZ11" s="395"/>
      <c r="VXA11" s="394"/>
      <c r="VXB11" s="394"/>
      <c r="VXC11" s="394"/>
      <c r="VXD11" s="394"/>
      <c r="VXE11" s="394"/>
      <c r="VXF11" s="394"/>
      <c r="VXG11" s="394"/>
      <c r="VXH11" s="395"/>
      <c r="VXI11" s="394"/>
      <c r="VXJ11" s="394"/>
      <c r="VXK11" s="394"/>
      <c r="VXL11" s="394"/>
      <c r="VXM11" s="394"/>
      <c r="VXN11" s="394"/>
      <c r="VXO11" s="394"/>
      <c r="VXP11" s="395"/>
      <c r="VXQ11" s="394"/>
      <c r="VXR11" s="394"/>
      <c r="VXS11" s="394"/>
      <c r="VXT11" s="394"/>
      <c r="VXU11" s="394"/>
      <c r="VXV11" s="394"/>
      <c r="VXW11" s="394"/>
      <c r="VXX11" s="395"/>
      <c r="VXY11" s="394"/>
      <c r="VXZ11" s="394"/>
      <c r="VYA11" s="394"/>
      <c r="VYB11" s="394"/>
      <c r="VYC11" s="394"/>
      <c r="VYD11" s="394"/>
      <c r="VYE11" s="394"/>
      <c r="VYF11" s="395"/>
      <c r="VYG11" s="394"/>
      <c r="VYH11" s="394"/>
      <c r="VYI11" s="394"/>
      <c r="VYJ11" s="394"/>
      <c r="VYK11" s="394"/>
      <c r="VYL11" s="394"/>
      <c r="VYM11" s="394"/>
      <c r="VYN11" s="395"/>
      <c r="VYO11" s="394"/>
      <c r="VYP11" s="394"/>
      <c r="VYQ11" s="394"/>
      <c r="VYR11" s="394"/>
      <c r="VYS11" s="394"/>
      <c r="VYT11" s="394"/>
      <c r="VYU11" s="394"/>
      <c r="VYV11" s="395"/>
      <c r="VYW11" s="394"/>
      <c r="VYX11" s="394"/>
      <c r="VYY11" s="394"/>
      <c r="VYZ11" s="394"/>
      <c r="VZA11" s="394"/>
      <c r="VZB11" s="394"/>
      <c r="VZC11" s="394"/>
      <c r="VZD11" s="395"/>
      <c r="VZE11" s="394"/>
      <c r="VZF11" s="394"/>
      <c r="VZG11" s="394"/>
      <c r="VZH11" s="394"/>
      <c r="VZI11" s="394"/>
      <c r="VZJ11" s="394"/>
      <c r="VZK11" s="394"/>
      <c r="VZL11" s="395"/>
      <c r="VZM11" s="394"/>
      <c r="VZN11" s="394"/>
      <c r="VZO11" s="394"/>
      <c r="VZP11" s="394"/>
      <c r="VZQ11" s="394"/>
      <c r="VZR11" s="394"/>
      <c r="VZS11" s="394"/>
      <c r="VZT11" s="395"/>
      <c r="VZU11" s="394"/>
      <c r="VZV11" s="394"/>
      <c r="VZW11" s="394"/>
      <c r="VZX11" s="394"/>
      <c r="VZY11" s="394"/>
      <c r="VZZ11" s="394"/>
      <c r="WAA11" s="394"/>
      <c r="WAB11" s="395"/>
      <c r="WAC11" s="394"/>
      <c r="WAD11" s="394"/>
      <c r="WAE11" s="394"/>
      <c r="WAF11" s="394"/>
      <c r="WAG11" s="394"/>
      <c r="WAH11" s="394"/>
      <c r="WAI11" s="394"/>
      <c r="WAJ11" s="395"/>
      <c r="WAK11" s="394"/>
      <c r="WAL11" s="394"/>
      <c r="WAM11" s="394"/>
      <c r="WAN11" s="394"/>
      <c r="WAO11" s="394"/>
      <c r="WAP11" s="394"/>
      <c r="WAQ11" s="394"/>
      <c r="WAR11" s="395"/>
      <c r="WAS11" s="394"/>
      <c r="WAT11" s="394"/>
      <c r="WAU11" s="394"/>
      <c r="WAV11" s="394"/>
      <c r="WAW11" s="394"/>
      <c r="WAX11" s="394"/>
      <c r="WAY11" s="394"/>
      <c r="WAZ11" s="395"/>
      <c r="WBA11" s="394"/>
      <c r="WBB11" s="394"/>
      <c r="WBC11" s="394"/>
      <c r="WBD11" s="394"/>
      <c r="WBE11" s="394"/>
      <c r="WBF11" s="394"/>
      <c r="WBG11" s="394"/>
      <c r="WBH11" s="395"/>
      <c r="WBI11" s="394"/>
      <c r="WBJ11" s="394"/>
      <c r="WBK11" s="394"/>
      <c r="WBL11" s="394"/>
      <c r="WBM11" s="394"/>
      <c r="WBN11" s="394"/>
      <c r="WBO11" s="394"/>
      <c r="WBP11" s="395"/>
      <c r="WBQ11" s="394"/>
      <c r="WBR11" s="394"/>
      <c r="WBS11" s="394"/>
      <c r="WBT11" s="394"/>
      <c r="WBU11" s="394"/>
      <c r="WBV11" s="394"/>
      <c r="WBW11" s="394"/>
      <c r="WBX11" s="395"/>
      <c r="WBY11" s="394"/>
      <c r="WBZ11" s="394"/>
      <c r="WCA11" s="394"/>
      <c r="WCB11" s="394"/>
      <c r="WCC11" s="394"/>
      <c r="WCD11" s="394"/>
      <c r="WCE11" s="394"/>
      <c r="WCF11" s="395"/>
      <c r="WCG11" s="394"/>
      <c r="WCH11" s="394"/>
      <c r="WCI11" s="394"/>
      <c r="WCJ11" s="394"/>
      <c r="WCK11" s="394"/>
      <c r="WCL11" s="394"/>
      <c r="WCM11" s="394"/>
      <c r="WCN11" s="395"/>
      <c r="WCO11" s="394"/>
      <c r="WCP11" s="394"/>
      <c r="WCQ11" s="394"/>
      <c r="WCR11" s="394"/>
      <c r="WCS11" s="394"/>
      <c r="WCT11" s="394"/>
      <c r="WCU11" s="394"/>
      <c r="WCV11" s="395"/>
      <c r="WCW11" s="394"/>
      <c r="WCX11" s="394"/>
      <c r="WCY11" s="394"/>
      <c r="WCZ11" s="394"/>
      <c r="WDA11" s="394"/>
      <c r="WDB11" s="394"/>
      <c r="WDC11" s="394"/>
      <c r="WDD11" s="395"/>
      <c r="WDE11" s="394"/>
      <c r="WDF11" s="394"/>
      <c r="WDG11" s="394"/>
      <c r="WDH11" s="394"/>
      <c r="WDI11" s="394"/>
      <c r="WDJ11" s="394"/>
      <c r="WDK11" s="394"/>
      <c r="WDL11" s="395"/>
      <c r="WDM11" s="394"/>
      <c r="WDN11" s="394"/>
      <c r="WDO11" s="394"/>
      <c r="WDP11" s="394"/>
      <c r="WDQ11" s="394"/>
      <c r="WDR11" s="394"/>
      <c r="WDS11" s="394"/>
      <c r="WDT11" s="395"/>
      <c r="WDU11" s="394"/>
      <c r="WDV11" s="394"/>
      <c r="WDW11" s="394"/>
      <c r="WDX11" s="394"/>
      <c r="WDY11" s="394"/>
      <c r="WDZ11" s="394"/>
      <c r="WEA11" s="394"/>
      <c r="WEB11" s="395"/>
      <c r="WEC11" s="394"/>
      <c r="WED11" s="394"/>
      <c r="WEE11" s="394"/>
      <c r="WEF11" s="394"/>
      <c r="WEG11" s="394"/>
      <c r="WEH11" s="394"/>
      <c r="WEI11" s="394"/>
      <c r="WEJ11" s="395"/>
      <c r="WEK11" s="394"/>
      <c r="WEL11" s="394"/>
      <c r="WEM11" s="394"/>
      <c r="WEN11" s="394"/>
      <c r="WEO11" s="394"/>
      <c r="WEP11" s="394"/>
      <c r="WEQ11" s="394"/>
      <c r="WER11" s="395"/>
      <c r="WES11" s="394"/>
      <c r="WET11" s="394"/>
      <c r="WEU11" s="394"/>
      <c r="WEV11" s="394"/>
      <c r="WEW11" s="394"/>
      <c r="WEX11" s="394"/>
      <c r="WEY11" s="394"/>
      <c r="WEZ11" s="395"/>
      <c r="WFA11" s="394"/>
      <c r="WFB11" s="394"/>
      <c r="WFC11" s="394"/>
      <c r="WFD11" s="394"/>
      <c r="WFE11" s="394"/>
      <c r="WFF11" s="394"/>
      <c r="WFG11" s="394"/>
      <c r="WFH11" s="395"/>
      <c r="WFI11" s="394"/>
      <c r="WFJ11" s="394"/>
      <c r="WFK11" s="394"/>
      <c r="WFL11" s="394"/>
      <c r="WFM11" s="394"/>
      <c r="WFN11" s="394"/>
      <c r="WFO11" s="394"/>
      <c r="WFP11" s="395"/>
      <c r="WFQ11" s="394"/>
      <c r="WFR11" s="394"/>
      <c r="WFS11" s="394"/>
      <c r="WFT11" s="394"/>
      <c r="WFU11" s="394"/>
      <c r="WFV11" s="394"/>
      <c r="WFW11" s="394"/>
      <c r="WFX11" s="395"/>
      <c r="WFY11" s="394"/>
      <c r="WFZ11" s="394"/>
      <c r="WGA11" s="394"/>
      <c r="WGB11" s="394"/>
      <c r="WGC11" s="394"/>
      <c r="WGD11" s="394"/>
      <c r="WGE11" s="394"/>
      <c r="WGF11" s="395"/>
      <c r="WGG11" s="394"/>
      <c r="WGH11" s="394"/>
      <c r="WGI11" s="394"/>
      <c r="WGJ11" s="394"/>
      <c r="WGK11" s="394"/>
      <c r="WGL11" s="394"/>
      <c r="WGM11" s="394"/>
      <c r="WGN11" s="395"/>
      <c r="WGO11" s="394"/>
      <c r="WGP11" s="394"/>
      <c r="WGQ11" s="394"/>
      <c r="WGR11" s="394"/>
      <c r="WGS11" s="394"/>
      <c r="WGT11" s="394"/>
      <c r="WGU11" s="394"/>
      <c r="WGV11" s="395"/>
      <c r="WGW11" s="394"/>
      <c r="WGX11" s="394"/>
      <c r="WGY11" s="394"/>
      <c r="WGZ11" s="394"/>
      <c r="WHA11" s="394"/>
      <c r="WHB11" s="394"/>
      <c r="WHC11" s="394"/>
      <c r="WHD11" s="395"/>
      <c r="WHE11" s="394"/>
      <c r="WHF11" s="394"/>
      <c r="WHG11" s="394"/>
      <c r="WHH11" s="394"/>
      <c r="WHI11" s="394"/>
      <c r="WHJ11" s="394"/>
      <c r="WHK11" s="394"/>
      <c r="WHL11" s="395"/>
      <c r="WHM11" s="394"/>
      <c r="WHN11" s="394"/>
      <c r="WHO11" s="394"/>
      <c r="WHP11" s="394"/>
      <c r="WHQ11" s="394"/>
      <c r="WHR11" s="394"/>
      <c r="WHS11" s="394"/>
      <c r="WHT11" s="395"/>
      <c r="WHU11" s="394"/>
      <c r="WHV11" s="394"/>
      <c r="WHW11" s="394"/>
      <c r="WHX11" s="394"/>
      <c r="WHY11" s="394"/>
      <c r="WHZ11" s="394"/>
      <c r="WIA11" s="394"/>
      <c r="WIB11" s="395"/>
      <c r="WIC11" s="394"/>
      <c r="WID11" s="394"/>
      <c r="WIE11" s="394"/>
      <c r="WIF11" s="394"/>
      <c r="WIG11" s="394"/>
      <c r="WIH11" s="394"/>
      <c r="WII11" s="394"/>
      <c r="WIJ11" s="395"/>
      <c r="WIK11" s="394"/>
      <c r="WIL11" s="394"/>
      <c r="WIM11" s="394"/>
      <c r="WIN11" s="394"/>
      <c r="WIO11" s="394"/>
      <c r="WIP11" s="394"/>
      <c r="WIQ11" s="394"/>
      <c r="WIR11" s="395"/>
      <c r="WIS11" s="394"/>
      <c r="WIT11" s="394"/>
      <c r="WIU11" s="394"/>
      <c r="WIV11" s="394"/>
      <c r="WIW11" s="394"/>
      <c r="WIX11" s="394"/>
      <c r="WIY11" s="394"/>
      <c r="WIZ11" s="395"/>
      <c r="WJA11" s="394"/>
      <c r="WJB11" s="394"/>
      <c r="WJC11" s="394"/>
      <c r="WJD11" s="394"/>
      <c r="WJE11" s="394"/>
      <c r="WJF11" s="394"/>
      <c r="WJG11" s="394"/>
      <c r="WJH11" s="395"/>
      <c r="WJI11" s="394"/>
      <c r="WJJ11" s="394"/>
      <c r="WJK11" s="394"/>
      <c r="WJL11" s="394"/>
      <c r="WJM11" s="394"/>
      <c r="WJN11" s="394"/>
      <c r="WJO11" s="394"/>
      <c r="WJP11" s="395"/>
      <c r="WJQ11" s="394"/>
      <c r="WJR11" s="394"/>
      <c r="WJS11" s="394"/>
      <c r="WJT11" s="394"/>
      <c r="WJU11" s="394"/>
      <c r="WJV11" s="394"/>
      <c r="WJW11" s="394"/>
      <c r="WJX11" s="395"/>
      <c r="WJY11" s="394"/>
      <c r="WJZ11" s="394"/>
      <c r="WKA11" s="394"/>
      <c r="WKB11" s="394"/>
      <c r="WKC11" s="394"/>
      <c r="WKD11" s="394"/>
      <c r="WKE11" s="394"/>
      <c r="WKF11" s="395"/>
      <c r="WKG11" s="394"/>
      <c r="WKH11" s="394"/>
      <c r="WKI11" s="394"/>
      <c r="WKJ11" s="394"/>
      <c r="WKK11" s="394"/>
      <c r="WKL11" s="394"/>
      <c r="WKM11" s="394"/>
      <c r="WKN11" s="395"/>
      <c r="WKO11" s="394"/>
      <c r="WKP11" s="394"/>
      <c r="WKQ11" s="394"/>
      <c r="WKR11" s="394"/>
      <c r="WKS11" s="394"/>
      <c r="WKT11" s="394"/>
      <c r="WKU11" s="394"/>
      <c r="WKV11" s="395"/>
      <c r="WKW11" s="394"/>
      <c r="WKX11" s="394"/>
      <c r="WKY11" s="394"/>
      <c r="WKZ11" s="394"/>
      <c r="WLA11" s="394"/>
      <c r="WLB11" s="394"/>
      <c r="WLC11" s="394"/>
      <c r="WLD11" s="395"/>
      <c r="WLE11" s="394"/>
      <c r="WLF11" s="394"/>
      <c r="WLG11" s="394"/>
      <c r="WLH11" s="394"/>
      <c r="WLI11" s="394"/>
      <c r="WLJ11" s="394"/>
      <c r="WLK11" s="394"/>
      <c r="WLL11" s="395"/>
      <c r="WLM11" s="394"/>
      <c r="WLN11" s="394"/>
      <c r="WLO11" s="394"/>
      <c r="WLP11" s="394"/>
      <c r="WLQ11" s="394"/>
      <c r="WLR11" s="394"/>
      <c r="WLS11" s="394"/>
      <c r="WLT11" s="395"/>
      <c r="WLU11" s="394"/>
      <c r="WLV11" s="394"/>
      <c r="WLW11" s="394"/>
      <c r="WLX11" s="394"/>
      <c r="WLY11" s="394"/>
      <c r="WLZ11" s="394"/>
      <c r="WMA11" s="394"/>
      <c r="WMB11" s="395"/>
      <c r="WMC11" s="394"/>
      <c r="WMD11" s="394"/>
      <c r="WME11" s="394"/>
      <c r="WMF11" s="394"/>
      <c r="WMG11" s="394"/>
      <c r="WMH11" s="394"/>
      <c r="WMI11" s="394"/>
      <c r="WMJ11" s="395"/>
      <c r="WMK11" s="394"/>
      <c r="WML11" s="394"/>
      <c r="WMM11" s="394"/>
      <c r="WMN11" s="394"/>
      <c r="WMO11" s="394"/>
      <c r="WMP11" s="394"/>
      <c r="WMQ11" s="394"/>
      <c r="WMR11" s="395"/>
      <c r="WMS11" s="394"/>
      <c r="WMT11" s="394"/>
      <c r="WMU11" s="394"/>
      <c r="WMV11" s="394"/>
      <c r="WMW11" s="394"/>
      <c r="WMX11" s="394"/>
      <c r="WMY11" s="394"/>
      <c r="WMZ11" s="395"/>
      <c r="WNA11" s="394"/>
      <c r="WNB11" s="394"/>
      <c r="WNC11" s="394"/>
      <c r="WND11" s="394"/>
      <c r="WNE11" s="394"/>
      <c r="WNF11" s="394"/>
      <c r="WNG11" s="394"/>
      <c r="WNH11" s="395"/>
      <c r="WNI11" s="394"/>
      <c r="WNJ11" s="394"/>
      <c r="WNK11" s="394"/>
      <c r="WNL11" s="394"/>
      <c r="WNM11" s="394"/>
      <c r="WNN11" s="394"/>
      <c r="WNO11" s="394"/>
      <c r="WNP11" s="395"/>
      <c r="WNQ11" s="394"/>
      <c r="WNR11" s="394"/>
      <c r="WNS11" s="394"/>
      <c r="WNT11" s="394"/>
      <c r="WNU11" s="394"/>
      <c r="WNV11" s="394"/>
      <c r="WNW11" s="394"/>
      <c r="WNX11" s="395"/>
      <c r="WNY11" s="394"/>
      <c r="WNZ11" s="394"/>
      <c r="WOA11" s="394"/>
      <c r="WOB11" s="394"/>
      <c r="WOC11" s="394"/>
      <c r="WOD11" s="394"/>
      <c r="WOE11" s="394"/>
      <c r="WOF11" s="395"/>
      <c r="WOG11" s="394"/>
      <c r="WOH11" s="394"/>
      <c r="WOI11" s="394"/>
      <c r="WOJ11" s="394"/>
      <c r="WOK11" s="394"/>
      <c r="WOL11" s="394"/>
      <c r="WOM11" s="394"/>
      <c r="WON11" s="395"/>
      <c r="WOO11" s="394"/>
      <c r="WOP11" s="394"/>
      <c r="WOQ11" s="394"/>
      <c r="WOR11" s="394"/>
      <c r="WOS11" s="394"/>
      <c r="WOT11" s="394"/>
      <c r="WOU11" s="394"/>
      <c r="WOV11" s="395"/>
      <c r="WOW11" s="394"/>
      <c r="WOX11" s="394"/>
      <c r="WOY11" s="394"/>
      <c r="WOZ11" s="394"/>
      <c r="WPA11" s="394"/>
      <c r="WPB11" s="394"/>
      <c r="WPC11" s="394"/>
      <c r="WPD11" s="395"/>
      <c r="WPE11" s="394"/>
      <c r="WPF11" s="394"/>
      <c r="WPG11" s="394"/>
      <c r="WPH11" s="394"/>
      <c r="WPI11" s="394"/>
      <c r="WPJ11" s="394"/>
      <c r="WPK11" s="394"/>
      <c r="WPL11" s="395"/>
      <c r="WPM11" s="394"/>
      <c r="WPN11" s="394"/>
      <c r="WPO11" s="394"/>
      <c r="WPP11" s="394"/>
      <c r="WPQ11" s="394"/>
      <c r="WPR11" s="394"/>
      <c r="WPS11" s="394"/>
      <c r="WPT11" s="395"/>
      <c r="WPU11" s="394"/>
      <c r="WPV11" s="394"/>
      <c r="WPW11" s="394"/>
      <c r="WPX11" s="394"/>
      <c r="WPY11" s="394"/>
      <c r="WPZ11" s="394"/>
      <c r="WQA11" s="394"/>
      <c r="WQB11" s="395"/>
      <c r="WQC11" s="394"/>
      <c r="WQD11" s="394"/>
      <c r="WQE11" s="394"/>
      <c r="WQF11" s="394"/>
      <c r="WQG11" s="394"/>
      <c r="WQH11" s="394"/>
      <c r="WQI11" s="394"/>
      <c r="WQJ11" s="395"/>
      <c r="WQK11" s="394"/>
      <c r="WQL11" s="394"/>
      <c r="WQM11" s="394"/>
      <c r="WQN11" s="394"/>
      <c r="WQO11" s="394"/>
      <c r="WQP11" s="394"/>
      <c r="WQQ11" s="394"/>
      <c r="WQR11" s="395"/>
      <c r="WQS11" s="394"/>
      <c r="WQT11" s="394"/>
      <c r="WQU11" s="394"/>
      <c r="WQV11" s="394"/>
      <c r="WQW11" s="394"/>
      <c r="WQX11" s="394"/>
      <c r="WQY11" s="394"/>
      <c r="WQZ11" s="395"/>
      <c r="WRA11" s="394"/>
      <c r="WRB11" s="394"/>
      <c r="WRC11" s="394"/>
      <c r="WRD11" s="394"/>
      <c r="WRE11" s="394"/>
      <c r="WRF11" s="394"/>
      <c r="WRG11" s="394"/>
      <c r="WRH11" s="395"/>
      <c r="WRI11" s="394"/>
      <c r="WRJ11" s="394"/>
      <c r="WRK11" s="394"/>
      <c r="WRL11" s="394"/>
      <c r="WRM11" s="394"/>
      <c r="WRN11" s="394"/>
      <c r="WRO11" s="394"/>
      <c r="WRP11" s="395"/>
      <c r="WRQ11" s="394"/>
      <c r="WRR11" s="394"/>
      <c r="WRS11" s="394"/>
      <c r="WRT11" s="394"/>
      <c r="WRU11" s="394"/>
      <c r="WRV11" s="394"/>
      <c r="WRW11" s="394"/>
      <c r="WRX11" s="395"/>
      <c r="WRY11" s="394"/>
      <c r="WRZ11" s="394"/>
      <c r="WSA11" s="394"/>
      <c r="WSB11" s="394"/>
      <c r="WSC11" s="394"/>
      <c r="WSD11" s="394"/>
      <c r="WSE11" s="394"/>
      <c r="WSF11" s="395"/>
      <c r="WSG11" s="394"/>
      <c r="WSH11" s="394"/>
      <c r="WSI11" s="394"/>
      <c r="WSJ11" s="394"/>
      <c r="WSK11" s="394"/>
      <c r="WSL11" s="394"/>
      <c r="WSM11" s="394"/>
      <c r="WSN11" s="395"/>
      <c r="WSO11" s="394"/>
      <c r="WSP11" s="394"/>
      <c r="WSQ11" s="394"/>
      <c r="WSR11" s="394"/>
      <c r="WSS11" s="394"/>
      <c r="WST11" s="394"/>
      <c r="WSU11" s="394"/>
      <c r="WSV11" s="395"/>
      <c r="WSW11" s="394"/>
      <c r="WSX11" s="394"/>
      <c r="WSY11" s="394"/>
      <c r="WSZ11" s="394"/>
      <c r="WTA11" s="394"/>
      <c r="WTB11" s="394"/>
      <c r="WTC11" s="394"/>
      <c r="WTD11" s="395"/>
      <c r="WTE11" s="394"/>
      <c r="WTF11" s="394"/>
      <c r="WTG11" s="394"/>
      <c r="WTH11" s="394"/>
      <c r="WTI11" s="394"/>
      <c r="WTJ11" s="394"/>
      <c r="WTK11" s="394"/>
      <c r="WTL11" s="395"/>
      <c r="WTM11" s="394"/>
      <c r="WTN11" s="394"/>
      <c r="WTO11" s="394"/>
      <c r="WTP11" s="394"/>
      <c r="WTQ11" s="394"/>
      <c r="WTR11" s="394"/>
      <c r="WTS11" s="394"/>
      <c r="WTT11" s="395"/>
      <c r="WTU11" s="394"/>
      <c r="WTV11" s="394"/>
      <c r="WTW11" s="394"/>
      <c r="WTX11" s="394"/>
      <c r="WTY11" s="394"/>
      <c r="WTZ11" s="394"/>
      <c r="WUA11" s="394"/>
      <c r="WUB11" s="395"/>
      <c r="WUC11" s="394"/>
      <c r="WUD11" s="394"/>
      <c r="WUE11" s="394"/>
      <c r="WUF11" s="394"/>
      <c r="WUG11" s="394"/>
      <c r="WUH11" s="394"/>
      <c r="WUI11" s="394"/>
      <c r="WUJ11" s="395"/>
      <c r="WUK11" s="394"/>
      <c r="WUL11" s="394"/>
      <c r="WUM11" s="394"/>
      <c r="WUN11" s="394"/>
      <c r="WUO11" s="394"/>
      <c r="WUP11" s="394"/>
      <c r="WUQ11" s="394"/>
      <c r="WUR11" s="395"/>
      <c r="WUS11" s="394"/>
      <c r="WUT11" s="394"/>
      <c r="WUU11" s="394"/>
      <c r="WUV11" s="394"/>
      <c r="WUW11" s="394"/>
      <c r="WUX11" s="394"/>
      <c r="WUY11" s="394"/>
      <c r="WUZ11" s="395"/>
      <c r="WVA11" s="394"/>
      <c r="WVB11" s="394"/>
      <c r="WVC11" s="394"/>
      <c r="WVD11" s="394"/>
      <c r="WVE11" s="394"/>
      <c r="WVF11" s="394"/>
      <c r="WVG11" s="394"/>
      <c r="WVH11" s="395"/>
      <c r="WVI11" s="394"/>
      <c r="WVJ11" s="394"/>
      <c r="WVK11" s="394"/>
      <c r="WVL11" s="394"/>
      <c r="WVM11" s="394"/>
      <c r="WVN11" s="394"/>
      <c r="WVO11" s="394"/>
      <c r="WVP11" s="395"/>
      <c r="WVQ11" s="394"/>
      <c r="WVR11" s="394"/>
      <c r="WVS11" s="394"/>
      <c r="WVT11" s="394"/>
      <c r="WVU11" s="394"/>
      <c r="WVV11" s="394"/>
      <c r="WVW11" s="394"/>
      <c r="WVX11" s="395"/>
      <c r="WVY11" s="394"/>
      <c r="WVZ11" s="394"/>
      <c r="WWA11" s="394"/>
      <c r="WWB11" s="394"/>
      <c r="WWC11" s="394"/>
      <c r="WWD11" s="394"/>
      <c r="WWE11" s="394"/>
      <c r="WWF11" s="395"/>
      <c r="WWG11" s="394"/>
      <c r="WWH11" s="394"/>
      <c r="WWI11" s="394"/>
      <c r="WWJ11" s="394"/>
      <c r="WWK11" s="394"/>
      <c r="WWL11" s="394"/>
      <c r="WWM11" s="394"/>
      <c r="WWN11" s="395"/>
      <c r="WWO11" s="394"/>
      <c r="WWP11" s="394"/>
      <c r="WWQ11" s="394"/>
      <c r="WWR11" s="394"/>
      <c r="WWS11" s="394"/>
      <c r="WWT11" s="394"/>
      <c r="WWU11" s="394"/>
      <c r="WWV11" s="395"/>
      <c r="WWW11" s="394"/>
      <c r="WWX11" s="394"/>
      <c r="WWY11" s="394"/>
      <c r="WWZ11" s="394"/>
      <c r="WXA11" s="394"/>
      <c r="WXB11" s="394"/>
      <c r="WXC11" s="394"/>
      <c r="WXD11" s="395"/>
      <c r="WXE11" s="394"/>
      <c r="WXF11" s="394"/>
      <c r="WXG11" s="394"/>
      <c r="WXH11" s="394"/>
      <c r="WXI11" s="394"/>
      <c r="WXJ11" s="394"/>
      <c r="WXK11" s="394"/>
      <c r="WXL11" s="395"/>
      <c r="WXM11" s="394"/>
      <c r="WXN11" s="394"/>
      <c r="WXO11" s="394"/>
      <c r="WXP11" s="394"/>
      <c r="WXQ11" s="394"/>
      <c r="WXR11" s="394"/>
      <c r="WXS11" s="394"/>
      <c r="WXT11" s="395"/>
      <c r="WXU11" s="394"/>
      <c r="WXV11" s="394"/>
      <c r="WXW11" s="394"/>
      <c r="WXX11" s="394"/>
      <c r="WXY11" s="394"/>
      <c r="WXZ11" s="394"/>
      <c r="WYA11" s="394"/>
      <c r="WYB11" s="395"/>
      <c r="WYC11" s="394"/>
      <c r="WYD11" s="394"/>
      <c r="WYE11" s="394"/>
      <c r="WYF11" s="394"/>
      <c r="WYG11" s="394"/>
      <c r="WYH11" s="394"/>
      <c r="WYI11" s="394"/>
      <c r="WYJ11" s="395"/>
      <c r="WYK11" s="394"/>
      <c r="WYL11" s="394"/>
      <c r="WYM11" s="394"/>
      <c r="WYN11" s="394"/>
      <c r="WYO11" s="394"/>
      <c r="WYP11" s="394"/>
      <c r="WYQ11" s="394"/>
      <c r="WYR11" s="395"/>
      <c r="WYS11" s="394"/>
      <c r="WYT11" s="394"/>
      <c r="WYU11" s="394"/>
      <c r="WYV11" s="394"/>
      <c r="WYW11" s="394"/>
      <c r="WYX11" s="394"/>
      <c r="WYY11" s="394"/>
      <c r="WYZ11" s="395"/>
      <c r="WZA11" s="394"/>
      <c r="WZB11" s="394"/>
      <c r="WZC11" s="394"/>
      <c r="WZD11" s="394"/>
      <c r="WZE11" s="394"/>
      <c r="WZF11" s="394"/>
      <c r="WZG11" s="394"/>
      <c r="WZH11" s="395"/>
      <c r="WZI11" s="394"/>
      <c r="WZJ11" s="394"/>
      <c r="WZK11" s="394"/>
      <c r="WZL11" s="394"/>
      <c r="WZM11" s="394"/>
      <c r="WZN11" s="394"/>
      <c r="WZO11" s="394"/>
      <c r="WZP11" s="395"/>
      <c r="WZQ11" s="394"/>
      <c r="WZR11" s="394"/>
      <c r="WZS11" s="394"/>
      <c r="WZT11" s="394"/>
      <c r="WZU11" s="394"/>
      <c r="WZV11" s="394"/>
      <c r="WZW11" s="394"/>
      <c r="WZX11" s="395"/>
      <c r="WZY11" s="394"/>
      <c r="WZZ11" s="394"/>
      <c r="XAA11" s="394"/>
      <c r="XAB11" s="394"/>
      <c r="XAC11" s="394"/>
      <c r="XAD11" s="394"/>
      <c r="XAE11" s="394"/>
      <c r="XAF11" s="395"/>
      <c r="XAG11" s="394"/>
      <c r="XAH11" s="394"/>
      <c r="XAI11" s="394"/>
      <c r="XAJ11" s="394"/>
      <c r="XAK11" s="394"/>
      <c r="XAL11" s="394"/>
      <c r="XAM11" s="394"/>
      <c r="XAN11" s="395"/>
      <c r="XAO11" s="394"/>
      <c r="XAP11" s="394"/>
      <c r="XAQ11" s="394"/>
      <c r="XAR11" s="394"/>
      <c r="XAS11" s="394"/>
      <c r="XAT11" s="394"/>
      <c r="XAU11" s="394"/>
      <c r="XAV11" s="395"/>
      <c r="XAW11" s="394"/>
      <c r="XAX11" s="394"/>
      <c r="XAY11" s="394"/>
      <c r="XAZ11" s="394"/>
      <c r="XBA11" s="394"/>
      <c r="XBB11" s="394"/>
      <c r="XBC11" s="394"/>
      <c r="XBD11" s="395"/>
      <c r="XBE11" s="394"/>
      <c r="XBF11" s="394"/>
      <c r="XBG11" s="394"/>
      <c r="XBH11" s="394"/>
      <c r="XBI11" s="394"/>
      <c r="XBJ11" s="394"/>
      <c r="XBK11" s="394"/>
      <c r="XBL11" s="395"/>
      <c r="XBM11" s="394"/>
      <c r="XBN11" s="394"/>
      <c r="XBO11" s="394"/>
      <c r="XBP11" s="394"/>
      <c r="XBQ11" s="394"/>
      <c r="XBR11" s="394"/>
      <c r="XBS11" s="394"/>
      <c r="XBT11" s="395"/>
      <c r="XBU11" s="394"/>
      <c r="XBV11" s="394"/>
      <c r="XBW11" s="394"/>
      <c r="XBX11" s="394"/>
      <c r="XBY11" s="394"/>
      <c r="XBZ11" s="394"/>
      <c r="XCA11" s="394"/>
      <c r="XCB11" s="395"/>
      <c r="XCC11" s="394"/>
      <c r="XCD11" s="394"/>
      <c r="XCE11" s="394"/>
      <c r="XCF11" s="394"/>
      <c r="XCG11" s="394"/>
      <c r="XCH11" s="394"/>
      <c r="XCI11" s="394"/>
      <c r="XCJ11" s="395"/>
      <c r="XCK11" s="394"/>
      <c r="XCL11" s="394"/>
      <c r="XCM11" s="394"/>
      <c r="XCN11" s="394"/>
      <c r="XCO11" s="394"/>
      <c r="XCP11" s="394"/>
      <c r="XCQ11" s="394"/>
      <c r="XCR11" s="395"/>
      <c r="XCS11" s="394"/>
      <c r="XCT11" s="394"/>
      <c r="XCU11" s="394"/>
      <c r="XCV11" s="394"/>
      <c r="XCW11" s="394"/>
      <c r="XCX11" s="394"/>
      <c r="XCY11" s="394"/>
      <c r="XCZ11" s="395"/>
      <c r="XDA11" s="394"/>
      <c r="XDB11" s="394"/>
      <c r="XDC11" s="394"/>
      <c r="XDD11" s="394"/>
      <c r="XDE11" s="394"/>
      <c r="XDF11" s="394"/>
      <c r="XDG11" s="394"/>
      <c r="XDH11" s="395"/>
      <c r="XDI11" s="394"/>
      <c r="XDJ11" s="394"/>
      <c r="XDK11" s="394"/>
      <c r="XDL11" s="394"/>
      <c r="XDM11" s="394"/>
      <c r="XDN11" s="394"/>
      <c r="XDO11" s="394"/>
      <c r="XDP11" s="395"/>
      <c r="XDQ11" s="394"/>
      <c r="XDR11" s="394"/>
      <c r="XDS11" s="394"/>
      <c r="XDT11" s="394"/>
      <c r="XDU11" s="394"/>
      <c r="XDV11" s="394"/>
      <c r="XDW11" s="394"/>
      <c r="XDX11" s="395"/>
      <c r="XDY11" s="394"/>
      <c r="XDZ11" s="394"/>
      <c r="XEA11" s="394"/>
      <c r="XEB11" s="394"/>
      <c r="XEC11" s="394"/>
      <c r="XED11" s="394"/>
      <c r="XEE11" s="394"/>
      <c r="XEF11" s="395"/>
      <c r="XEG11" s="394"/>
      <c r="XEH11" s="394"/>
      <c r="XEI11" s="394"/>
      <c r="XEJ11" s="394"/>
      <c r="XEK11" s="394"/>
      <c r="XEL11" s="394"/>
      <c r="XEM11" s="394"/>
      <c r="XEN11" s="395"/>
      <c r="XEO11" s="394"/>
      <c r="XEP11" s="394"/>
      <c r="XEQ11" s="394"/>
      <c r="XER11" s="394"/>
      <c r="XES11" s="394"/>
      <c r="XET11" s="394"/>
      <c r="XEU11" s="394"/>
      <c r="XEV11" s="395"/>
      <c r="XEW11" s="394"/>
      <c r="XEX11" s="394"/>
      <c r="XEY11" s="394"/>
      <c r="XEZ11" s="394"/>
      <c r="XFA11" s="394"/>
      <c r="XFB11" s="394"/>
      <c r="XFC11" s="394"/>
      <c r="XFD11" s="395"/>
    </row>
    <row r="12" spans="1:16384" s="399" customFormat="1" ht="5.25" customHeight="1" thickBot="1">
      <c r="A12" s="396"/>
      <c r="B12" s="397"/>
      <c r="C12" s="397"/>
      <c r="D12" s="413"/>
      <c r="E12" s="413"/>
      <c r="F12" s="413"/>
      <c r="G12" s="413"/>
      <c r="H12" s="398"/>
    </row>
    <row r="13" spans="1:16384" s="399" customFormat="1" ht="14.1" customHeight="1" thickBot="1">
      <c r="A13" s="643" t="s">
        <v>29</v>
      </c>
      <c r="B13" s="644"/>
      <c r="C13" s="644"/>
      <c r="D13" s="459"/>
      <c r="E13" s="459"/>
      <c r="F13" s="459"/>
      <c r="G13" s="459"/>
      <c r="H13" s="448"/>
    </row>
    <row r="14" spans="1:16384" s="399" customFormat="1" ht="4.5" customHeight="1">
      <c r="A14" s="396"/>
      <c r="B14" s="397"/>
      <c r="C14" s="397"/>
      <c r="D14" s="440"/>
      <c r="E14" s="440"/>
      <c r="F14" s="440"/>
      <c r="G14" s="440"/>
      <c r="H14" s="398"/>
    </row>
    <row r="15" spans="1:16384" ht="47.25" customHeight="1">
      <c r="A15" s="645" t="s">
        <v>30</v>
      </c>
      <c r="B15" s="646"/>
      <c r="C15" s="390" t="s">
        <v>28</v>
      </c>
      <c r="D15" s="391"/>
      <c r="E15" s="391"/>
      <c r="F15" s="391"/>
      <c r="G15" s="391"/>
      <c r="H15" s="392"/>
    </row>
    <row r="16" spans="1:16384" ht="5.25" customHeight="1">
      <c r="A16" s="401"/>
      <c r="B16" s="394"/>
      <c r="C16" s="394"/>
      <c r="D16" s="394"/>
      <c r="E16" s="394"/>
      <c r="F16" s="394"/>
      <c r="G16" s="394"/>
      <c r="H16" s="402"/>
    </row>
    <row r="17" spans="1:8" s="382" customFormat="1" ht="12.6">
      <c r="A17" s="396" t="s">
        <v>31</v>
      </c>
      <c r="B17" s="397"/>
      <c r="C17" s="397"/>
      <c r="D17" s="397"/>
      <c r="E17" s="397"/>
      <c r="F17" s="397"/>
      <c r="G17" s="397"/>
      <c r="H17" s="398"/>
    </row>
    <row r="18" spans="1:8" s="382" customFormat="1" ht="22.5" customHeight="1" thickBot="1">
      <c r="A18" s="647" t="s">
        <v>32</v>
      </c>
      <c r="B18" s="648"/>
      <c r="C18" s="649"/>
      <c r="D18" s="413"/>
      <c r="E18" s="413"/>
      <c r="F18" s="413"/>
      <c r="G18" s="413"/>
      <c r="H18" s="400"/>
    </row>
    <row r="19" spans="1:8" s="382" customFormat="1" ht="25.35" customHeight="1" thickBot="1">
      <c r="A19" s="403"/>
      <c r="B19" s="641" t="s">
        <v>33</v>
      </c>
      <c r="C19" s="650"/>
      <c r="D19" s="460"/>
      <c r="E19" s="459"/>
      <c r="F19" s="459"/>
      <c r="G19" s="459"/>
      <c r="H19" s="449"/>
    </row>
    <row r="20" spans="1:8" s="382" customFormat="1" ht="25.35" customHeight="1" thickBot="1">
      <c r="A20" s="403"/>
      <c r="B20" s="641" t="s">
        <v>34</v>
      </c>
      <c r="C20" s="650"/>
      <c r="D20" s="459"/>
      <c r="E20" s="459"/>
      <c r="F20" s="459"/>
      <c r="G20" s="459"/>
      <c r="H20" s="449"/>
    </row>
    <row r="21" spans="1:8" s="382" customFormat="1" ht="24" customHeight="1" thickBot="1">
      <c r="A21" s="403"/>
      <c r="B21" s="641" t="s">
        <v>35</v>
      </c>
      <c r="C21" s="650"/>
      <c r="D21" s="459"/>
      <c r="E21" s="460"/>
      <c r="F21" s="459"/>
      <c r="G21" s="459"/>
      <c r="H21" s="449"/>
    </row>
    <row r="22" spans="1:8" s="382" customFormat="1" ht="27" customHeight="1" thickBot="1">
      <c r="A22" s="404"/>
      <c r="B22" s="641" t="s">
        <v>36</v>
      </c>
      <c r="C22" s="642"/>
      <c r="D22" s="459"/>
      <c r="E22" s="459"/>
      <c r="F22" s="459"/>
      <c r="G22" s="459"/>
      <c r="H22" s="450"/>
    </row>
    <row r="23" spans="1:8" s="382" customFormat="1" ht="28.35" customHeight="1" thickBot="1">
      <c r="A23" s="404"/>
      <c r="B23" s="641" t="s">
        <v>37</v>
      </c>
      <c r="C23" s="642"/>
      <c r="D23" s="459"/>
      <c r="E23" s="459"/>
      <c r="F23" s="459"/>
      <c r="G23" s="459"/>
      <c r="H23" s="449"/>
    </row>
    <row r="24" spans="1:8" s="382" customFormat="1" ht="26.45" customHeight="1" thickBot="1">
      <c r="A24" s="404"/>
      <c r="B24" s="641" t="s">
        <v>38</v>
      </c>
      <c r="C24" s="642"/>
      <c r="D24" s="459"/>
      <c r="E24" s="459"/>
      <c r="F24" s="459"/>
      <c r="G24" s="459"/>
      <c r="H24" s="449"/>
    </row>
    <row r="25" spans="1:8" s="382" customFormat="1" ht="27.75" customHeight="1" thickBot="1">
      <c r="A25" s="404"/>
      <c r="B25" s="641" t="s">
        <v>39</v>
      </c>
      <c r="C25" s="642"/>
      <c r="D25" s="459"/>
      <c r="E25" s="459"/>
      <c r="F25" s="459"/>
      <c r="G25" s="459"/>
      <c r="H25" s="449"/>
    </row>
    <row r="26" spans="1:8" s="382" customFormat="1" ht="24.75" customHeight="1" thickBot="1">
      <c r="A26" s="404"/>
      <c r="B26" s="641" t="s">
        <v>40</v>
      </c>
      <c r="C26" s="642"/>
      <c r="D26" s="459"/>
      <c r="E26" s="459"/>
      <c r="F26" s="459"/>
      <c r="G26" s="460"/>
      <c r="H26" s="449"/>
    </row>
    <row r="27" spans="1:8" s="382" customFormat="1" ht="18.600000000000001" customHeight="1" thickBot="1">
      <c r="A27" s="404"/>
      <c r="B27" s="641" t="s">
        <v>41</v>
      </c>
      <c r="C27" s="642"/>
      <c r="D27" s="459"/>
      <c r="E27" s="459"/>
      <c r="F27" s="459"/>
      <c r="G27" s="459"/>
      <c r="H27" s="450"/>
    </row>
    <row r="28" spans="1:8" s="382" customFormat="1" ht="5.25" customHeight="1">
      <c r="A28" s="405"/>
      <c r="B28" s="406"/>
      <c r="C28" s="406"/>
      <c r="D28" s="435"/>
      <c r="E28" s="435"/>
      <c r="F28" s="435"/>
      <c r="G28" s="435"/>
      <c r="H28" s="407"/>
    </row>
    <row r="29" spans="1:8" s="382" customFormat="1" ht="15.95" customHeight="1">
      <c r="A29" s="408" t="s">
        <v>42</v>
      </c>
      <c r="B29" s="409"/>
      <c r="C29" s="410" t="s">
        <v>28</v>
      </c>
      <c r="D29" s="391"/>
      <c r="E29" s="391"/>
      <c r="F29" s="391"/>
      <c r="G29" s="391"/>
      <c r="H29" s="392"/>
    </row>
    <row r="30" spans="1:8" s="382" customFormat="1" ht="5.25" customHeight="1" thickBot="1">
      <c r="A30" s="401"/>
      <c r="B30" s="394"/>
      <c r="C30" s="394"/>
      <c r="D30" s="452"/>
      <c r="E30" s="452"/>
      <c r="F30" s="452"/>
      <c r="G30" s="452"/>
      <c r="H30" s="411"/>
    </row>
    <row r="31" spans="1:8" s="382" customFormat="1" ht="16.5" customHeight="1" thickBot="1">
      <c r="A31" s="412" t="s">
        <v>43</v>
      </c>
      <c r="B31" s="397"/>
      <c r="C31" s="451"/>
      <c r="D31" s="460"/>
      <c r="E31" s="459"/>
      <c r="F31" s="459"/>
      <c r="G31" s="459"/>
      <c r="H31" s="449"/>
    </row>
    <row r="32" spans="1:8" s="382" customFormat="1" ht="5.25" customHeight="1">
      <c r="A32" s="405"/>
      <c r="B32" s="406"/>
      <c r="C32" s="406"/>
      <c r="D32" s="435"/>
      <c r="E32" s="435"/>
      <c r="F32" s="435"/>
      <c r="G32" s="435"/>
      <c r="H32" s="407"/>
    </row>
    <row r="33" spans="1:8" s="382" customFormat="1" ht="15.95" customHeight="1">
      <c r="A33" s="408" t="s">
        <v>44</v>
      </c>
      <c r="B33" s="409"/>
      <c r="C33" s="410" t="s">
        <v>28</v>
      </c>
      <c r="D33" s="391"/>
      <c r="E33" s="391"/>
      <c r="F33" s="391"/>
      <c r="G33" s="391"/>
      <c r="H33" s="392"/>
    </row>
    <row r="34" spans="1:8" s="382" customFormat="1" ht="5.25" customHeight="1" thickBot="1">
      <c r="A34" s="401"/>
      <c r="B34" s="394"/>
      <c r="C34" s="394"/>
      <c r="D34" s="452"/>
      <c r="E34" s="452"/>
      <c r="F34" s="452"/>
      <c r="G34" s="452"/>
      <c r="H34" s="411"/>
    </row>
    <row r="35" spans="1:8" s="382" customFormat="1" ht="19.5" customHeight="1" thickBot="1">
      <c r="A35" s="412" t="s">
        <v>45</v>
      </c>
      <c r="B35" s="397"/>
      <c r="C35" s="451"/>
      <c r="D35" s="459"/>
      <c r="E35" s="459"/>
      <c r="F35" s="459"/>
      <c r="G35" s="459"/>
      <c r="H35" s="449"/>
    </row>
    <row r="36" spans="1:8" s="382" customFormat="1" ht="5.25" customHeight="1">
      <c r="A36" s="405"/>
      <c r="B36" s="406"/>
      <c r="C36" s="406"/>
      <c r="D36" s="435"/>
      <c r="E36" s="435"/>
      <c r="F36" s="435"/>
      <c r="G36" s="435"/>
      <c r="H36" s="407"/>
    </row>
    <row r="37" spans="1:8" s="382" customFormat="1" ht="15.95" customHeight="1">
      <c r="A37" s="408" t="s">
        <v>46</v>
      </c>
      <c r="B37" s="409"/>
      <c r="C37" s="410" t="s">
        <v>28</v>
      </c>
      <c r="D37" s="391"/>
      <c r="E37" s="391"/>
      <c r="F37" s="391"/>
      <c r="G37" s="391"/>
      <c r="H37" s="392"/>
    </row>
    <row r="38" spans="1:8" s="382" customFormat="1" ht="5.25" customHeight="1" thickBot="1">
      <c r="A38" s="401"/>
      <c r="B38" s="394"/>
      <c r="C38" s="394"/>
      <c r="D38" s="452"/>
      <c r="E38" s="452"/>
      <c r="F38" s="452"/>
      <c r="G38" s="452"/>
      <c r="H38" s="411"/>
    </row>
    <row r="39" spans="1:8" s="382" customFormat="1" ht="17.25" customHeight="1" thickBot="1">
      <c r="A39" s="412" t="s">
        <v>47</v>
      </c>
      <c r="B39" s="397"/>
      <c r="C39" s="451"/>
      <c r="D39" s="459"/>
      <c r="E39" s="459"/>
      <c r="F39" s="459"/>
      <c r="G39" s="459"/>
      <c r="H39" s="449"/>
    </row>
    <row r="40" spans="1:8" s="382" customFormat="1" ht="1.5" customHeight="1">
      <c r="A40" s="405"/>
      <c r="B40" s="406"/>
      <c r="C40" s="406"/>
      <c r="D40" s="435"/>
      <c r="E40" s="435"/>
      <c r="F40" s="435"/>
      <c r="G40" s="435"/>
      <c r="H40" s="407"/>
    </row>
    <row r="41" spans="1:8" s="382" customFormat="1" ht="15.95" customHeight="1">
      <c r="A41" s="408" t="s">
        <v>48</v>
      </c>
      <c r="B41" s="409"/>
      <c r="C41" s="410" t="s">
        <v>28</v>
      </c>
      <c r="D41" s="391"/>
      <c r="E41" s="391"/>
      <c r="F41" s="391"/>
      <c r="G41" s="391"/>
      <c r="H41" s="392"/>
    </row>
    <row r="42" spans="1:8" s="382" customFormat="1" ht="5.25" customHeight="1" thickBot="1">
      <c r="A42" s="401"/>
      <c r="B42" s="394"/>
      <c r="C42" s="394"/>
      <c r="D42" s="452"/>
      <c r="E42" s="452"/>
      <c r="F42" s="452"/>
      <c r="G42" s="452"/>
      <c r="H42" s="411"/>
    </row>
    <row r="43" spans="1:8" s="382" customFormat="1" ht="16.350000000000001" customHeight="1" thickBot="1">
      <c r="A43" s="412" t="s">
        <v>49</v>
      </c>
      <c r="B43" s="397"/>
      <c r="C43" s="451"/>
      <c r="D43" s="459"/>
      <c r="E43" s="459"/>
      <c r="F43" s="459"/>
      <c r="G43" s="459"/>
      <c r="H43" s="449"/>
    </row>
    <row r="44" spans="1:8" s="382" customFormat="1" ht="11.25" customHeight="1">
      <c r="A44" s="634" t="s">
        <v>50</v>
      </c>
      <c r="B44" s="635"/>
      <c r="C44" s="413"/>
      <c r="D44" s="454"/>
      <c r="E44" s="454"/>
      <c r="F44" s="454"/>
      <c r="G44" s="453"/>
      <c r="H44" s="414"/>
    </row>
    <row r="45" spans="1:8" s="382" customFormat="1" ht="5.25" customHeight="1">
      <c r="A45" s="405"/>
      <c r="B45" s="406"/>
      <c r="C45" s="406"/>
      <c r="D45" s="406"/>
      <c r="E45" s="406"/>
      <c r="F45" s="406"/>
      <c r="G45" s="406"/>
      <c r="H45" s="407"/>
    </row>
    <row r="46" spans="1:8" s="382" customFormat="1" ht="15.95" customHeight="1">
      <c r="A46" s="408" t="s">
        <v>51</v>
      </c>
      <c r="B46" s="409"/>
      <c r="C46" s="410" t="s">
        <v>28</v>
      </c>
      <c r="D46" s="391"/>
      <c r="E46" s="391"/>
      <c r="F46" s="391"/>
      <c r="G46" s="391"/>
      <c r="H46" s="392"/>
    </row>
    <row r="47" spans="1:8" s="382" customFormat="1" ht="15.6" customHeight="1" thickBot="1">
      <c r="A47" s="415" t="s">
        <v>52</v>
      </c>
      <c r="B47" s="399"/>
      <c r="C47" s="416"/>
      <c r="D47" s="417"/>
      <c r="E47" s="417"/>
      <c r="F47" s="417"/>
      <c r="G47" s="418"/>
      <c r="H47" s="419"/>
    </row>
    <row r="48" spans="1:8" s="382" customFormat="1" ht="20.100000000000001" customHeight="1" thickBot="1">
      <c r="A48" s="636" t="s">
        <v>53</v>
      </c>
      <c r="B48" s="637"/>
      <c r="C48" s="455"/>
      <c r="D48" s="459"/>
      <c r="E48" s="459"/>
      <c r="F48" s="459"/>
      <c r="G48" s="459"/>
      <c r="H48" s="456"/>
    </row>
    <row r="49" spans="1:9" ht="1.5" customHeight="1">
      <c r="A49" s="420"/>
      <c r="B49" s="421"/>
      <c r="C49" s="421"/>
    </row>
    <row r="50" spans="1:9" ht="15.95" customHeight="1">
      <c r="A50" s="408" t="s">
        <v>54</v>
      </c>
      <c r="B50" s="409"/>
      <c r="C50" s="410" t="s">
        <v>28</v>
      </c>
      <c r="D50" s="391"/>
      <c r="E50" s="391"/>
      <c r="F50" s="391"/>
      <c r="G50" s="391"/>
      <c r="H50" s="392"/>
    </row>
    <row r="51" spans="1:9" ht="5.25" customHeight="1">
      <c r="A51" s="424"/>
      <c r="B51" s="425"/>
      <c r="C51" s="425"/>
      <c r="D51" s="425"/>
      <c r="E51" s="425"/>
      <c r="F51" s="425"/>
      <c r="G51" s="425"/>
      <c r="H51" s="426"/>
    </row>
    <row r="52" spans="1:9" s="428" customFormat="1">
      <c r="A52" s="415" t="s">
        <v>55</v>
      </c>
      <c r="B52" s="399"/>
      <c r="C52" s="416"/>
      <c r="D52" s="417"/>
      <c r="E52" s="417"/>
      <c r="F52" s="417"/>
      <c r="G52" s="418"/>
      <c r="H52" s="419"/>
      <c r="I52" s="427"/>
    </row>
    <row r="53" spans="1:9" s="432" customFormat="1" ht="10.5" customHeight="1" thickBot="1">
      <c r="A53" s="429" t="s">
        <v>56</v>
      </c>
      <c r="B53" s="430"/>
      <c r="C53" s="416"/>
      <c r="D53" s="417"/>
      <c r="E53" s="417"/>
      <c r="F53" s="417"/>
      <c r="G53" s="418"/>
      <c r="H53" s="419"/>
      <c r="I53" s="431"/>
    </row>
    <row r="54" spans="1:9" s="428" customFormat="1" ht="22.35" customHeight="1" thickBot="1">
      <c r="A54" s="629" t="s">
        <v>57</v>
      </c>
      <c r="B54" s="630"/>
      <c r="C54" s="630"/>
      <c r="D54" s="459"/>
      <c r="E54" s="459"/>
      <c r="F54" s="460"/>
      <c r="G54" s="459"/>
      <c r="H54" s="449"/>
      <c r="I54" s="427"/>
    </row>
    <row r="55" spans="1:9" s="434" customFormat="1" ht="20.25" customHeight="1" thickBot="1">
      <c r="A55" s="627" t="s">
        <v>58</v>
      </c>
      <c r="B55" s="628"/>
      <c r="C55" s="628"/>
      <c r="D55" s="460"/>
      <c r="E55" s="459"/>
      <c r="F55" s="459"/>
      <c r="G55" s="459"/>
      <c r="H55" s="449"/>
      <c r="I55" s="433"/>
    </row>
    <row r="56" spans="1:9" s="432" customFormat="1" ht="3" customHeight="1">
      <c r="A56" s="638"/>
      <c r="B56" s="639"/>
      <c r="C56" s="640"/>
      <c r="D56" s="435"/>
      <c r="E56" s="435"/>
      <c r="F56" s="435"/>
      <c r="G56" s="435"/>
      <c r="H56" s="407"/>
      <c r="I56" s="431"/>
    </row>
    <row r="57" spans="1:9" ht="15.95" customHeight="1">
      <c r="A57" s="408" t="s">
        <v>59</v>
      </c>
      <c r="B57" s="409"/>
      <c r="C57" s="410" t="s">
        <v>28</v>
      </c>
      <c r="D57" s="391"/>
      <c r="E57" s="391"/>
      <c r="F57" s="391"/>
      <c r="G57" s="391"/>
      <c r="H57" s="436"/>
    </row>
    <row r="58" spans="1:9" ht="5.25" customHeight="1">
      <c r="A58" s="437"/>
      <c r="B58" s="425"/>
      <c r="C58" s="425"/>
      <c r="D58" s="425"/>
      <c r="E58" s="425"/>
      <c r="F58" s="425"/>
      <c r="G58" s="425"/>
      <c r="H58" s="438"/>
    </row>
    <row r="59" spans="1:9" s="432" customFormat="1" ht="9.75" customHeight="1">
      <c r="A59" s="439" t="s">
        <v>60</v>
      </c>
      <c r="B59" s="440"/>
      <c r="C59" s="440"/>
      <c r="D59" s="440"/>
      <c r="E59" s="440"/>
      <c r="F59" s="440"/>
      <c r="G59" s="440"/>
      <c r="H59" s="441"/>
      <c r="I59" s="431"/>
    </row>
    <row r="60" spans="1:9" s="432" customFormat="1" ht="16.350000000000001" customHeight="1" thickBot="1">
      <c r="A60" s="429" t="s">
        <v>56</v>
      </c>
      <c r="B60" s="430"/>
      <c r="C60" s="416"/>
      <c r="D60" s="417"/>
      <c r="E60" s="417"/>
      <c r="F60" s="417"/>
      <c r="G60" s="418"/>
      <c r="H60" s="419"/>
      <c r="I60" s="431"/>
    </row>
    <row r="61" spans="1:9" ht="23.1" customHeight="1" thickBot="1">
      <c r="A61" s="629" t="s">
        <v>61</v>
      </c>
      <c r="B61" s="630"/>
      <c r="C61" s="630"/>
      <c r="D61" s="459"/>
      <c r="E61" s="459"/>
      <c r="F61" s="459"/>
      <c r="G61" s="459"/>
      <c r="H61" s="449"/>
    </row>
    <row r="62" spans="1:9" ht="20.45" customHeight="1" thickBot="1">
      <c r="A62" s="627" t="s">
        <v>62</v>
      </c>
      <c r="B62" s="628"/>
      <c r="C62" s="628"/>
      <c r="D62" s="459"/>
      <c r="E62" s="459"/>
      <c r="F62" s="459"/>
      <c r="G62" s="459"/>
      <c r="H62" s="449"/>
    </row>
    <row r="63" spans="1:9" ht="1.5" customHeight="1">
      <c r="A63" s="420"/>
      <c r="B63" s="421"/>
      <c r="C63" s="421"/>
      <c r="D63" s="442"/>
      <c r="E63" s="442"/>
      <c r="F63" s="442"/>
      <c r="G63" s="442"/>
      <c r="H63" s="414"/>
    </row>
    <row r="64" spans="1:9" ht="15.95" customHeight="1">
      <c r="A64" s="408" t="s">
        <v>63</v>
      </c>
      <c r="B64" s="409"/>
      <c r="C64" s="410" t="s">
        <v>28</v>
      </c>
      <c r="D64" s="391"/>
      <c r="E64" s="391"/>
      <c r="F64" s="391"/>
      <c r="G64" s="391"/>
      <c r="H64" s="436"/>
    </row>
    <row r="65" spans="1:9" ht="3.75" customHeight="1">
      <c r="A65" s="437"/>
      <c r="B65" s="425"/>
      <c r="C65" s="425"/>
      <c r="D65" s="425"/>
      <c r="E65" s="425"/>
      <c r="F65" s="425"/>
      <c r="G65" s="425"/>
      <c r="H65" s="438"/>
    </row>
    <row r="66" spans="1:9" s="432" customFormat="1" ht="9.75" customHeight="1">
      <c r="A66" s="439" t="s">
        <v>64</v>
      </c>
      <c r="B66" s="440"/>
      <c r="C66" s="440"/>
      <c r="D66" s="440"/>
      <c r="E66" s="440"/>
      <c r="F66" s="440"/>
      <c r="G66" s="440"/>
      <c r="H66" s="441"/>
      <c r="I66" s="431"/>
    </row>
    <row r="67" spans="1:9" s="432" customFormat="1" ht="9.75" customHeight="1" thickBot="1">
      <c r="A67" s="429" t="s">
        <v>56</v>
      </c>
      <c r="B67" s="430"/>
      <c r="C67" s="416"/>
      <c r="D67" s="417"/>
      <c r="E67" s="417"/>
      <c r="F67" s="417"/>
      <c r="G67" s="418"/>
      <c r="H67" s="419"/>
      <c r="I67" s="431"/>
    </row>
    <row r="68" spans="1:9" ht="17.45" customHeight="1" thickBot="1">
      <c r="A68" s="629" t="s">
        <v>65</v>
      </c>
      <c r="B68" s="630"/>
      <c r="C68" s="630"/>
      <c r="D68" s="459"/>
      <c r="E68" s="459"/>
      <c r="F68" s="459"/>
      <c r="G68" s="459"/>
      <c r="H68" s="449"/>
    </row>
    <row r="69" spans="1:9" ht="12" thickBot="1">
      <c r="A69" s="443"/>
      <c r="B69" s="444"/>
      <c r="C69" s="444"/>
      <c r="D69" s="457"/>
      <c r="E69" s="457"/>
      <c r="F69" s="457"/>
      <c r="G69" s="457"/>
      <c r="H69" s="445"/>
    </row>
    <row r="70" spans="1:9" ht="20.25" customHeight="1">
      <c r="A70" s="631" t="s">
        <v>66</v>
      </c>
      <c r="B70" s="632"/>
      <c r="C70" s="632"/>
      <c r="D70" s="632"/>
      <c r="E70" s="632"/>
      <c r="F70" s="632"/>
      <c r="G70" s="632"/>
      <c r="H70" s="633"/>
    </row>
    <row r="71" spans="1:9" s="428" customFormat="1">
      <c r="A71" s="446"/>
      <c r="B71" s="422"/>
      <c r="C71" s="422"/>
      <c r="D71" s="422"/>
      <c r="E71" s="422"/>
      <c r="F71" s="422"/>
      <c r="G71" s="422"/>
      <c r="H71" s="423"/>
      <c r="I71" s="427"/>
    </row>
    <row r="72" spans="1:9" s="447" customFormat="1">
      <c r="A72" s="422"/>
      <c r="B72" s="422"/>
      <c r="C72" s="422"/>
      <c r="D72" s="422"/>
      <c r="E72" s="422"/>
      <c r="F72" s="422"/>
      <c r="G72" s="422"/>
      <c r="H72" s="422"/>
    </row>
  </sheetData>
  <mergeCells count="36">
    <mergeCell ref="A11:B11"/>
    <mergeCell ref="C1:H3"/>
    <mergeCell ref="D4:H4"/>
    <mergeCell ref="A5:H5"/>
    <mergeCell ref="A6:H6"/>
    <mergeCell ref="A7:A8"/>
    <mergeCell ref="B7:B8"/>
    <mergeCell ref="C7:C8"/>
    <mergeCell ref="D7:G7"/>
    <mergeCell ref="H7:H8"/>
    <mergeCell ref="A9:A10"/>
    <mergeCell ref="B9:B10"/>
    <mergeCell ref="C9:C10"/>
    <mergeCell ref="D9:G9"/>
    <mergeCell ref="H9:H10"/>
    <mergeCell ref="B27:C27"/>
    <mergeCell ref="A13:C13"/>
    <mergeCell ref="A15:B15"/>
    <mergeCell ref="A18:C18"/>
    <mergeCell ref="B19:C19"/>
    <mergeCell ref="B20:C20"/>
    <mergeCell ref="B21:C21"/>
    <mergeCell ref="B22:C22"/>
    <mergeCell ref="B23:C23"/>
    <mergeCell ref="B24:C24"/>
    <mergeCell ref="B25:C25"/>
    <mergeCell ref="B26:C26"/>
    <mergeCell ref="A62:C62"/>
    <mergeCell ref="A68:C68"/>
    <mergeCell ref="A70:H70"/>
    <mergeCell ref="A44:B44"/>
    <mergeCell ref="A48:B48"/>
    <mergeCell ref="A54:C54"/>
    <mergeCell ref="A55:C55"/>
    <mergeCell ref="A56:C56"/>
    <mergeCell ref="A61:C61"/>
  </mergeCells>
  <dataValidations count="1">
    <dataValidation type="list" allowBlank="1" showInputMessage="1" showErrorMessage="1" sqref="D13:G13 D19:G27 D31:G31 D35:G35 D39:G39 D43:G43 D48:G48 D54:G55 D61:G62 D68:G68" xr:uid="{00000000-0002-0000-0200-000000000000}">
      <formula1>"No Data, ✓"</formula1>
    </dataValidation>
  </dataValidations>
  <hyperlinks>
    <hyperlink ref="A5:H5" r:id="rId1" display="http://thecore.network.lan/en/depts/Finance/Pages/MasterData.aspx" xr:uid="{00000000-0004-0000-0200-000000000000}"/>
    <hyperlink ref="A6:H6" r:id="rId2" display="http://ecmprd.network.lan/ecmlivelinkprd/livelink.exe?func=ll&amp;objId=281750818&amp;objAction=download&amp;viewType=1" xr:uid="{00000000-0004-0000-0200-000001000000}"/>
    <hyperlink ref="A44" r:id="rId3" xr:uid="{00000000-0004-0000-0200-000002000000}"/>
  </hyperlinks>
  <pageMargins left="0.7" right="0.7" top="0.75" bottom="0.75" header="0.3" footer="0.3"/>
  <drawing r:id="rId4"/>
  <legacyDrawing r:id="rId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E307"/>
  <sheetViews>
    <sheetView zoomScale="85" zoomScaleNormal="85" workbookViewId="0">
      <selection activeCell="H16" sqref="H16"/>
    </sheetView>
  </sheetViews>
  <sheetFormatPr defaultRowHeight="14.45"/>
  <cols>
    <col min="1" max="1" width="19.85546875" customWidth="1"/>
    <col min="2" max="2" width="24.85546875" customWidth="1"/>
    <col min="3" max="3" width="17.42578125" customWidth="1"/>
    <col min="4" max="4" width="19.5703125" customWidth="1"/>
    <col min="5" max="5" width="21.42578125" customWidth="1"/>
    <col min="6" max="6" width="16.140625" customWidth="1"/>
    <col min="7" max="7" width="20.42578125" customWidth="1"/>
    <col min="8" max="8" width="16.85546875" customWidth="1"/>
    <col min="9" max="9" width="13.42578125" customWidth="1"/>
    <col min="10" max="11" width="13.85546875" customWidth="1"/>
    <col min="12" max="12" width="14.42578125" customWidth="1"/>
    <col min="13" max="13" width="11.5703125" customWidth="1"/>
    <col min="14" max="14" width="12.140625" customWidth="1"/>
    <col min="15" max="15" width="14.5703125" customWidth="1"/>
    <col min="16" max="16" width="14" customWidth="1"/>
    <col min="17" max="17" width="15.140625" customWidth="1"/>
    <col min="18" max="18" width="15.42578125" customWidth="1"/>
    <col min="19" max="19" width="16.42578125" customWidth="1"/>
    <col min="20" max="21" width="15.5703125" customWidth="1"/>
    <col min="22" max="22" width="14.140625" customWidth="1"/>
    <col min="23" max="23" width="14.5703125" customWidth="1"/>
    <col min="24" max="24" width="21.140625" customWidth="1"/>
    <col min="25" max="25" width="20.140625" customWidth="1"/>
    <col min="26" max="26" width="14.140625" customWidth="1"/>
    <col min="27" max="27" width="14.85546875" customWidth="1"/>
    <col min="28" max="28" width="11.5703125" customWidth="1"/>
    <col min="29" max="29" width="8.85546875" customWidth="1"/>
    <col min="30" max="30" width="15.42578125" customWidth="1"/>
    <col min="31" max="31" width="14.42578125" customWidth="1"/>
    <col min="32" max="32" width="13.5703125" customWidth="1"/>
    <col min="33" max="33" width="15.5703125" customWidth="1"/>
    <col min="34" max="34" width="14.5703125" customWidth="1"/>
    <col min="35" max="35" width="13" customWidth="1"/>
    <col min="36" max="39" width="8.85546875" customWidth="1"/>
    <col min="40" max="40" width="32.5703125" customWidth="1"/>
    <col min="41" max="41" width="20.5703125" customWidth="1"/>
    <col min="42" max="42" width="18" customWidth="1"/>
    <col min="43" max="43" width="18.42578125" customWidth="1"/>
    <col min="44" max="44" width="20.42578125" customWidth="1"/>
    <col min="45" max="45" width="20.85546875" customWidth="1"/>
    <col min="46" max="46" width="24.140625" customWidth="1"/>
    <col min="47" max="49" width="17.5703125" customWidth="1"/>
    <col min="50" max="50" width="15.140625" customWidth="1"/>
    <col min="51" max="51" width="22.42578125" customWidth="1"/>
    <col min="52" max="52" width="18.42578125" customWidth="1"/>
    <col min="53" max="53" width="26.42578125" customWidth="1"/>
    <col min="54" max="54" width="26.5703125" customWidth="1"/>
    <col min="55" max="55" width="21.85546875" customWidth="1"/>
  </cols>
  <sheetData>
    <row r="1" spans="1:55" ht="61.5">
      <c r="A1" s="146" t="s">
        <v>67</v>
      </c>
      <c r="B1" s="143" t="s">
        <v>68</v>
      </c>
      <c r="C1" s="142" t="s">
        <v>69</v>
      </c>
      <c r="D1" s="142" t="s">
        <v>70</v>
      </c>
      <c r="E1" s="142" t="s">
        <v>71</v>
      </c>
      <c r="F1" s="142" t="s">
        <v>72</v>
      </c>
      <c r="G1" s="142" t="s">
        <v>73</v>
      </c>
      <c r="H1" s="142" t="s">
        <v>74</v>
      </c>
      <c r="I1" s="142" t="s">
        <v>75</v>
      </c>
      <c r="J1" s="149" t="s">
        <v>76</v>
      </c>
      <c r="K1" s="150" t="s">
        <v>77</v>
      </c>
      <c r="L1" s="153" t="s">
        <v>78</v>
      </c>
      <c r="M1" s="142" t="s">
        <v>79</v>
      </c>
      <c r="N1" s="142" t="s">
        <v>80</v>
      </c>
      <c r="O1" s="142" t="s">
        <v>81</v>
      </c>
      <c r="P1" s="142" t="s">
        <v>82</v>
      </c>
      <c r="Q1" s="142" t="s">
        <v>83</v>
      </c>
      <c r="R1" s="142" t="s">
        <v>84</v>
      </c>
      <c r="S1" s="161" t="s">
        <v>85</v>
      </c>
      <c r="T1" s="146" t="s">
        <v>86</v>
      </c>
      <c r="U1" s="142" t="s">
        <v>87</v>
      </c>
      <c r="V1" s="142" t="s">
        <v>88</v>
      </c>
      <c r="W1" s="142" t="s">
        <v>89</v>
      </c>
      <c r="X1" s="142" t="s">
        <v>90</v>
      </c>
      <c r="Y1" s="142" t="s">
        <v>91</v>
      </c>
      <c r="Z1" s="142" t="s">
        <v>92</v>
      </c>
      <c r="AA1" s="142" t="s">
        <v>93</v>
      </c>
      <c r="AB1" s="142" t="s">
        <v>94</v>
      </c>
      <c r="AC1" s="142" t="s">
        <v>95</v>
      </c>
      <c r="AD1" s="162" t="s">
        <v>96</v>
      </c>
      <c r="AE1" s="154" t="s">
        <v>97</v>
      </c>
      <c r="AF1" s="146" t="s">
        <v>98</v>
      </c>
      <c r="AG1" s="142" t="s">
        <v>99</v>
      </c>
      <c r="AH1" s="142" t="s">
        <v>100</v>
      </c>
      <c r="AI1" s="142" t="s">
        <v>101</v>
      </c>
      <c r="AJ1" s="147">
        <v>3230</v>
      </c>
      <c r="AK1" s="147">
        <v>3250</v>
      </c>
      <c r="AL1" s="147">
        <v>3230</v>
      </c>
      <c r="AM1" s="148">
        <v>3250</v>
      </c>
      <c r="AN1" s="146" t="s">
        <v>102</v>
      </c>
      <c r="AO1" s="143" t="s">
        <v>103</v>
      </c>
      <c r="AP1" s="142" t="s">
        <v>104</v>
      </c>
      <c r="AQ1" s="150" t="s">
        <v>105</v>
      </c>
      <c r="AR1" s="144" t="s">
        <v>106</v>
      </c>
      <c r="AS1" s="145" t="s">
        <v>107</v>
      </c>
      <c r="AT1" s="145" t="s">
        <v>108</v>
      </c>
      <c r="AU1" s="163" t="s">
        <v>109</v>
      </c>
      <c r="AV1" s="164" t="s">
        <v>110</v>
      </c>
      <c r="AW1" s="164" t="s">
        <v>111</v>
      </c>
      <c r="AX1" s="163" t="s">
        <v>112</v>
      </c>
      <c r="AY1" s="163" t="s">
        <v>113</v>
      </c>
      <c r="AZ1" s="165" t="s">
        <v>114</v>
      </c>
      <c r="BA1" s="158" t="s">
        <v>115</v>
      </c>
      <c r="BB1" s="159" t="s">
        <v>116</v>
      </c>
      <c r="BC1" s="159" t="s">
        <v>117</v>
      </c>
    </row>
    <row r="2" spans="1:55">
      <c r="A2" s="319" t="s">
        <v>118</v>
      </c>
      <c r="B2" s="151"/>
      <c r="C2" s="319" t="s">
        <v>118</v>
      </c>
      <c r="D2" s="319" t="s">
        <v>118</v>
      </c>
      <c r="E2" s="319" t="s">
        <v>118</v>
      </c>
      <c r="F2" s="319" t="s">
        <v>118</v>
      </c>
      <c r="G2" s="319"/>
      <c r="H2" s="319" t="s">
        <v>118</v>
      </c>
      <c r="I2" s="319" t="s">
        <v>118</v>
      </c>
      <c r="J2" s="319" t="s">
        <v>118</v>
      </c>
      <c r="K2" s="319"/>
      <c r="L2" s="319" t="b">
        <v>1</v>
      </c>
      <c r="M2" s="319"/>
      <c r="N2" s="319"/>
      <c r="O2" s="319"/>
      <c r="P2" s="319"/>
      <c r="Q2" s="319"/>
      <c r="R2" s="319"/>
      <c r="S2" s="595"/>
      <c r="T2" s="319" t="s">
        <v>118</v>
      </c>
      <c r="U2" s="319" t="s">
        <v>118</v>
      </c>
      <c r="V2" s="319" t="s">
        <v>118</v>
      </c>
      <c r="W2" s="319" t="s">
        <v>118</v>
      </c>
      <c r="X2" s="319" t="s">
        <v>118</v>
      </c>
      <c r="Y2" s="319" t="s">
        <v>118</v>
      </c>
      <c r="Z2" s="319" t="s">
        <v>118</v>
      </c>
      <c r="AA2" s="319" t="s">
        <v>118</v>
      </c>
      <c r="AB2" s="319" t="s">
        <v>118</v>
      </c>
      <c r="AC2" s="319" t="s">
        <v>118</v>
      </c>
      <c r="AD2" s="319">
        <v>0</v>
      </c>
      <c r="AE2" s="319" t="s">
        <v>119</v>
      </c>
      <c r="AF2" s="319" t="s">
        <v>118</v>
      </c>
      <c r="AG2" s="319">
        <v>0</v>
      </c>
      <c r="AH2" s="319"/>
      <c r="AI2" s="319"/>
      <c r="AJ2" s="319"/>
      <c r="AK2" s="319"/>
      <c r="AL2" s="319"/>
      <c r="AM2" s="319"/>
      <c r="AN2" s="319"/>
      <c r="AO2" s="319"/>
      <c r="AP2" s="319"/>
      <c r="AQ2" s="319"/>
      <c r="AR2" s="319" t="s">
        <v>118</v>
      </c>
      <c r="AS2" s="319"/>
      <c r="AT2" s="319" t="s">
        <v>118</v>
      </c>
      <c r="AU2" s="319" t="s">
        <v>118</v>
      </c>
      <c r="AV2" s="319" t="s">
        <v>118</v>
      </c>
      <c r="AW2" s="319" t="s">
        <v>118</v>
      </c>
      <c r="AX2" s="319" t="s">
        <v>118</v>
      </c>
      <c r="AY2" s="319" t="s">
        <v>118</v>
      </c>
      <c r="AZ2" s="319" t="s">
        <v>118</v>
      </c>
      <c r="BA2" s="319">
        <v>0</v>
      </c>
      <c r="BB2" s="319">
        <v>0</v>
      </c>
      <c r="BC2" s="319">
        <v>0</v>
      </c>
    </row>
    <row r="3" spans="1:55">
      <c r="A3" s="166"/>
      <c r="B3" s="167"/>
      <c r="C3" s="168"/>
      <c r="D3" s="168"/>
      <c r="E3" s="169"/>
      <c r="F3" s="168"/>
      <c r="G3" s="168"/>
      <c r="H3" s="170"/>
      <c r="I3" s="171"/>
      <c r="J3" s="172"/>
      <c r="K3" s="169"/>
      <c r="L3" s="15"/>
      <c r="M3" s="16"/>
      <c r="N3" s="16"/>
      <c r="O3" s="16"/>
      <c r="P3" s="16"/>
      <c r="Q3" s="16"/>
      <c r="R3" s="16"/>
      <c r="S3" s="17"/>
      <c r="T3" s="17"/>
      <c r="U3" s="16"/>
      <c r="V3" s="16"/>
      <c r="W3" s="16"/>
      <c r="X3" s="16"/>
      <c r="Y3" s="16"/>
      <c r="Z3" s="16"/>
      <c r="AA3" s="16"/>
      <c r="AB3" s="16"/>
      <c r="AC3" s="16"/>
      <c r="AD3" s="16"/>
      <c r="AE3" s="16"/>
      <c r="AF3" s="16"/>
      <c r="AG3" s="16"/>
      <c r="AH3" s="16"/>
      <c r="AI3" s="16"/>
      <c r="AJ3" s="15"/>
      <c r="AK3" s="15"/>
      <c r="AL3" s="15"/>
      <c r="AM3" s="596"/>
      <c r="AN3" s="16"/>
      <c r="AO3" s="15"/>
      <c r="AP3" s="16"/>
      <c r="AQ3" s="17"/>
      <c r="AR3" s="16"/>
      <c r="AS3" s="15"/>
      <c r="AT3" s="15"/>
      <c r="AU3" s="16"/>
      <c r="AV3" s="17"/>
      <c r="AW3" s="77"/>
      <c r="AX3" s="77"/>
      <c r="AY3" s="77"/>
      <c r="AZ3" s="596"/>
      <c r="BA3" s="15"/>
      <c r="BB3" s="173"/>
      <c r="BC3" s="173"/>
    </row>
    <row r="4" spans="1:55">
      <c r="A4" s="64" t="s">
        <v>120</v>
      </c>
      <c r="B4" s="65"/>
      <c r="C4" s="65"/>
      <c r="D4" s="65"/>
      <c r="E4" s="66"/>
      <c r="F4" s="66"/>
      <c r="G4" s="66"/>
      <c r="H4" s="66"/>
      <c r="I4" s="66"/>
      <c r="J4" s="19"/>
      <c r="K4" s="19"/>
      <c r="L4" s="597"/>
      <c r="M4" s="66"/>
      <c r="N4" s="66"/>
      <c r="O4" s="66"/>
      <c r="P4" s="66"/>
      <c r="Q4" s="66"/>
      <c r="R4" s="66"/>
      <c r="S4" s="62"/>
      <c r="T4" s="7"/>
      <c r="U4" s="4"/>
      <c r="V4" s="4"/>
      <c r="W4" s="4"/>
      <c r="X4" s="4"/>
      <c r="Y4" s="4"/>
      <c r="Z4" s="4"/>
      <c r="AA4" s="4"/>
      <c r="AB4" s="4"/>
      <c r="AC4" s="4"/>
      <c r="AD4" s="4"/>
      <c r="AE4" s="4"/>
      <c r="AS4" s="6"/>
      <c r="AT4" s="6"/>
      <c r="AU4" s="4"/>
      <c r="AV4" s="7"/>
      <c r="AW4" s="9"/>
      <c r="AX4" s="9"/>
      <c r="AY4" s="9"/>
      <c r="AZ4" s="596"/>
      <c r="BA4" s="6"/>
      <c r="BB4" s="5"/>
      <c r="BC4" s="5"/>
    </row>
    <row r="5" spans="1:55" ht="15.75" customHeight="1" thickBot="1">
      <c r="A5" s="675" t="s">
        <v>121</v>
      </c>
      <c r="B5" s="676"/>
      <c r="C5" s="676"/>
      <c r="D5" s="676"/>
      <c r="E5" s="676"/>
      <c r="F5" s="676"/>
      <c r="G5" s="676"/>
      <c r="H5" s="676"/>
      <c r="I5" s="676"/>
      <c r="J5" s="676"/>
      <c r="K5" s="676"/>
      <c r="L5" s="676"/>
      <c r="M5" s="676"/>
      <c r="N5" s="676"/>
      <c r="O5" s="676"/>
      <c r="P5" s="676"/>
      <c r="Q5" s="676"/>
      <c r="R5" s="676"/>
      <c r="S5" s="676"/>
      <c r="T5" s="676"/>
      <c r="U5" s="677"/>
      <c r="V5" s="4"/>
      <c r="W5" s="4"/>
      <c r="X5" s="4"/>
      <c r="Y5" s="4"/>
      <c r="Z5" s="4"/>
      <c r="AA5" s="4"/>
      <c r="AB5" s="4"/>
      <c r="AC5" s="4"/>
      <c r="AD5" s="4"/>
      <c r="AE5" s="4"/>
      <c r="AS5" s="6"/>
      <c r="AT5" s="6"/>
      <c r="AU5" s="4"/>
      <c r="AV5" s="7"/>
      <c r="AW5" s="9"/>
      <c r="AX5" s="9"/>
      <c r="AY5" s="9"/>
      <c r="AZ5" s="596"/>
      <c r="BA5" s="6"/>
      <c r="BB5" s="5"/>
      <c r="BC5" s="5"/>
    </row>
    <row r="6" spans="1:55" ht="61.5">
      <c r="A6" s="146" t="s">
        <v>67</v>
      </c>
      <c r="B6" s="143" t="s">
        <v>68</v>
      </c>
      <c r="C6" s="142" t="s">
        <v>69</v>
      </c>
      <c r="D6" s="142" t="s">
        <v>72</v>
      </c>
      <c r="E6" s="142" t="s">
        <v>122</v>
      </c>
      <c r="F6" s="142" t="s">
        <v>73</v>
      </c>
      <c r="G6" s="142" t="s">
        <v>74</v>
      </c>
      <c r="H6" s="149" t="s">
        <v>76</v>
      </c>
      <c r="I6" s="150" t="s">
        <v>77</v>
      </c>
      <c r="J6" s="142" t="s">
        <v>79</v>
      </c>
      <c r="K6" s="142" t="s">
        <v>80</v>
      </c>
      <c r="L6" s="142" t="s">
        <v>81</v>
      </c>
      <c r="M6" s="142" t="s">
        <v>82</v>
      </c>
      <c r="N6" s="142" t="s">
        <v>83</v>
      </c>
      <c r="O6" s="142" t="s">
        <v>84</v>
      </c>
      <c r="P6" s="142" t="s">
        <v>93</v>
      </c>
      <c r="Q6" s="142" t="s">
        <v>94</v>
      </c>
      <c r="R6" s="142" t="s">
        <v>95</v>
      </c>
      <c r="S6" s="143" t="s">
        <v>103</v>
      </c>
      <c r="T6" s="144" t="s">
        <v>106</v>
      </c>
      <c r="U6" s="145" t="s">
        <v>107</v>
      </c>
      <c r="V6" s="140" t="s">
        <v>123</v>
      </c>
      <c r="W6" s="4"/>
      <c r="X6" s="4"/>
      <c r="Y6" s="4"/>
      <c r="Z6" s="4"/>
      <c r="AA6" s="4"/>
      <c r="AB6" s="4"/>
      <c r="AC6" s="4"/>
      <c r="AD6" s="4"/>
      <c r="AE6" s="4"/>
      <c r="AF6" s="4"/>
      <c r="AG6" s="4"/>
      <c r="AH6" s="4"/>
      <c r="AI6" s="4"/>
      <c r="AJ6" s="6"/>
      <c r="AK6" s="6"/>
      <c r="AL6" s="6"/>
      <c r="AM6" s="598"/>
      <c r="AN6" s="4"/>
      <c r="AO6" s="6"/>
      <c r="AP6" s="4"/>
      <c r="AQ6" s="7"/>
      <c r="AR6" s="4"/>
      <c r="AS6" s="6"/>
      <c r="AT6" s="6"/>
      <c r="AU6" s="4"/>
      <c r="AV6" s="7"/>
      <c r="AW6" s="9"/>
      <c r="AX6" s="9"/>
      <c r="AY6" s="9"/>
      <c r="AZ6" s="596"/>
      <c r="BA6" s="6"/>
      <c r="BB6" s="5"/>
      <c r="BC6" s="5"/>
    </row>
    <row r="7" spans="1:55">
      <c r="A7" s="344" t="s">
        <v>118</v>
      </c>
      <c r="B7" s="342"/>
      <c r="C7" s="344" t="s">
        <v>118</v>
      </c>
      <c r="D7" s="344"/>
      <c r="E7" s="344" t="s">
        <v>118</v>
      </c>
      <c r="F7" s="344"/>
      <c r="G7" s="344" t="s">
        <v>118</v>
      </c>
      <c r="H7" s="344" t="s">
        <v>118</v>
      </c>
      <c r="I7" s="344"/>
      <c r="J7" s="344"/>
      <c r="K7" s="344"/>
      <c r="L7" s="344"/>
      <c r="M7" s="344"/>
      <c r="N7" s="344"/>
      <c r="O7" s="344"/>
      <c r="P7" s="344" t="s">
        <v>118</v>
      </c>
      <c r="Q7" s="344" t="s">
        <v>118</v>
      </c>
      <c r="R7" s="344" t="s">
        <v>118</v>
      </c>
      <c r="S7" s="344"/>
      <c r="T7" s="344" t="s">
        <v>118</v>
      </c>
      <c r="U7" s="344"/>
      <c r="V7" s="343"/>
      <c r="W7" s="6"/>
      <c r="X7" s="4"/>
      <c r="Y7" s="4"/>
      <c r="Z7" s="4"/>
      <c r="AA7" s="4"/>
      <c r="AB7" s="4"/>
      <c r="AC7" s="4"/>
      <c r="AD7" s="4"/>
      <c r="AE7" s="4"/>
      <c r="AF7" s="4"/>
      <c r="AG7" s="4"/>
      <c r="AH7" s="4"/>
      <c r="AI7" s="4"/>
      <c r="AJ7" s="6"/>
      <c r="AK7" s="6"/>
      <c r="AL7" s="6"/>
      <c r="AM7" s="598"/>
      <c r="AN7" s="4"/>
      <c r="AO7" s="6"/>
      <c r="AP7" s="4"/>
      <c r="AQ7" s="7"/>
      <c r="AR7" s="4"/>
      <c r="AS7" s="6"/>
      <c r="AT7" s="6"/>
      <c r="AU7" s="4"/>
      <c r="AV7" s="7"/>
      <c r="AW7" s="9"/>
      <c r="AX7" s="9"/>
      <c r="AY7" s="9"/>
      <c r="AZ7" s="596"/>
      <c r="BA7" s="6"/>
      <c r="BB7" s="5"/>
      <c r="BC7" s="5"/>
    </row>
    <row r="8" spans="1:55">
      <c r="A8" s="17"/>
      <c r="B8" s="17"/>
      <c r="C8" s="17"/>
      <c r="D8" s="17"/>
      <c r="E8" s="17"/>
      <c r="F8" s="17"/>
      <c r="G8" s="17"/>
      <c r="H8" s="17"/>
      <c r="I8" s="17"/>
      <c r="J8" s="17"/>
      <c r="K8" s="77"/>
      <c r="L8" s="15"/>
      <c r="M8" s="16"/>
      <c r="N8" s="16"/>
      <c r="O8" s="16"/>
      <c r="P8" s="16"/>
      <c r="Q8" s="16"/>
      <c r="R8" s="16"/>
      <c r="S8" s="17"/>
      <c r="T8" s="17"/>
      <c r="U8" s="16"/>
      <c r="V8" s="16"/>
      <c r="W8" s="4"/>
      <c r="X8" s="4"/>
      <c r="Y8" s="4"/>
      <c r="Z8" s="4"/>
      <c r="AA8" s="4"/>
      <c r="AB8" s="4"/>
      <c r="AC8" s="4"/>
      <c r="AD8" s="4"/>
      <c r="AE8" s="4"/>
      <c r="AF8" s="4"/>
      <c r="AG8" s="4"/>
      <c r="AH8" s="4"/>
      <c r="AI8" s="4"/>
      <c r="AJ8" s="6"/>
      <c r="AK8" s="6"/>
      <c r="AL8" s="6"/>
      <c r="AM8" s="598"/>
      <c r="AN8" s="4"/>
      <c r="AO8" s="6"/>
      <c r="AP8" s="4"/>
      <c r="AQ8" s="7"/>
      <c r="AR8" s="4"/>
      <c r="AS8" s="6"/>
      <c r="AT8" s="6"/>
      <c r="AU8" s="4"/>
      <c r="AV8" s="7"/>
      <c r="AW8" s="9"/>
      <c r="AX8" s="9"/>
      <c r="AY8" s="9"/>
      <c r="AZ8" s="596"/>
      <c r="BA8" s="6"/>
      <c r="BB8" s="5"/>
      <c r="BC8" s="5"/>
    </row>
    <row r="9" spans="1:55" ht="26.1">
      <c r="A9" s="3" t="s">
        <v>124</v>
      </c>
      <c r="B9" s="4"/>
      <c r="C9" s="4"/>
      <c r="D9" s="2"/>
      <c r="E9" s="4"/>
      <c r="F9" s="4"/>
      <c r="G9" s="4"/>
      <c r="H9" s="4"/>
      <c r="I9" s="4"/>
      <c r="J9" s="17"/>
      <c r="K9" s="7"/>
      <c r="L9" s="6"/>
      <c r="M9" s="4"/>
      <c r="N9" s="4"/>
      <c r="O9" s="4"/>
      <c r="P9" s="4"/>
      <c r="Q9" s="4"/>
      <c r="R9" s="4"/>
      <c r="S9" s="17"/>
      <c r="T9" s="7"/>
      <c r="U9" s="4"/>
      <c r="V9" s="4"/>
      <c r="W9" s="4"/>
      <c r="X9" s="4"/>
      <c r="Y9" s="4"/>
      <c r="Z9" s="4"/>
      <c r="AA9" s="4"/>
      <c r="AC9" s="4"/>
      <c r="AD9" s="4"/>
      <c r="AE9" s="4"/>
      <c r="AF9" s="4"/>
      <c r="AG9" s="4"/>
      <c r="AH9" s="4"/>
      <c r="AI9" s="4"/>
      <c r="AJ9" s="6"/>
      <c r="AK9" s="6"/>
      <c r="AL9" s="6"/>
      <c r="AM9" s="598"/>
      <c r="AN9" s="4"/>
      <c r="AO9" s="6"/>
      <c r="AP9" s="4"/>
      <c r="AQ9" s="7"/>
      <c r="AR9" s="4"/>
      <c r="AS9" s="6"/>
      <c r="AT9" s="6"/>
      <c r="AU9" s="4"/>
      <c r="AV9" s="7"/>
      <c r="AW9" s="9"/>
      <c r="AX9" s="9"/>
      <c r="AY9" s="9"/>
      <c r="AZ9" s="596"/>
      <c r="BA9" s="6"/>
      <c r="BB9" s="5"/>
      <c r="BC9" s="5"/>
    </row>
    <row r="10" spans="1:55" ht="15" thickBot="1">
      <c r="A10" s="686" t="s">
        <v>121</v>
      </c>
      <c r="B10" s="687"/>
      <c r="C10" s="687"/>
      <c r="D10" s="687"/>
      <c r="E10" s="687"/>
      <c r="F10" s="687"/>
      <c r="G10" s="687"/>
      <c r="H10" s="687"/>
      <c r="I10" s="687"/>
      <c r="J10" s="687"/>
      <c r="K10" s="687"/>
      <c r="L10" s="687"/>
      <c r="M10" s="687"/>
      <c r="N10" s="687"/>
      <c r="O10" s="687"/>
      <c r="P10" s="687"/>
      <c r="Q10" s="687"/>
      <c r="R10" s="687"/>
      <c r="S10" s="687"/>
      <c r="T10" s="687"/>
      <c r="U10" s="687"/>
      <c r="V10" s="687"/>
      <c r="W10" s="687"/>
      <c r="X10" s="687"/>
      <c r="Y10" s="687"/>
      <c r="Z10" s="687"/>
      <c r="AA10" s="688"/>
      <c r="AB10" s="4"/>
      <c r="AC10" s="4"/>
      <c r="AD10" s="4"/>
      <c r="AE10" s="4"/>
      <c r="AF10" s="4"/>
      <c r="AG10" s="4"/>
      <c r="AH10" s="4"/>
      <c r="AI10" s="4"/>
      <c r="AJ10" s="6"/>
      <c r="AK10" s="6"/>
      <c r="AL10" s="6"/>
      <c r="AM10" s="598"/>
      <c r="AN10" s="4"/>
      <c r="AO10" s="6"/>
      <c r="AP10" s="4"/>
      <c r="AQ10" s="7"/>
      <c r="AR10" s="4"/>
      <c r="AS10" s="6"/>
      <c r="AT10" s="6"/>
      <c r="AU10" s="4"/>
      <c r="AV10" s="7"/>
      <c r="AW10" s="9"/>
      <c r="AX10" s="9"/>
      <c r="AY10" s="9"/>
      <c r="AZ10" s="596"/>
      <c r="BA10" s="6"/>
      <c r="BB10" s="5"/>
      <c r="BC10" s="5"/>
    </row>
    <row r="11" spans="1:55" ht="61.5">
      <c r="A11" s="146" t="s">
        <v>67</v>
      </c>
      <c r="B11" s="143" t="s">
        <v>68</v>
      </c>
      <c r="C11" s="142" t="s">
        <v>69</v>
      </c>
      <c r="D11" s="142" t="s">
        <v>72</v>
      </c>
      <c r="E11" s="142" t="s">
        <v>122</v>
      </c>
      <c r="F11" s="142" t="s">
        <v>73</v>
      </c>
      <c r="G11" s="142" t="s">
        <v>74</v>
      </c>
      <c r="H11" s="149" t="s">
        <v>76</v>
      </c>
      <c r="I11" s="150" t="s">
        <v>77</v>
      </c>
      <c r="J11" s="142" t="s">
        <v>79</v>
      </c>
      <c r="K11" s="142" t="s">
        <v>80</v>
      </c>
      <c r="L11" s="142" t="s">
        <v>81</v>
      </c>
      <c r="M11" s="142" t="s">
        <v>82</v>
      </c>
      <c r="N11" s="142" t="s">
        <v>83</v>
      </c>
      <c r="O11" s="142" t="s">
        <v>84</v>
      </c>
      <c r="P11" s="142" t="s">
        <v>93</v>
      </c>
      <c r="Q11" s="142" t="s">
        <v>94</v>
      </c>
      <c r="R11" s="142" t="s">
        <v>95</v>
      </c>
      <c r="S11" s="143" t="s">
        <v>125</v>
      </c>
      <c r="T11" s="142" t="s">
        <v>100</v>
      </c>
      <c r="U11" s="142" t="s">
        <v>101</v>
      </c>
      <c r="V11" s="147">
        <v>3230</v>
      </c>
      <c r="W11" s="147">
        <v>3250</v>
      </c>
      <c r="X11" s="147">
        <v>3230</v>
      </c>
      <c r="Y11" s="148">
        <v>3250</v>
      </c>
      <c r="Z11" s="144" t="s">
        <v>106</v>
      </c>
      <c r="AA11" s="145" t="s">
        <v>107</v>
      </c>
      <c r="AB11" s="140" t="s">
        <v>123</v>
      </c>
      <c r="AC11" s="4"/>
      <c r="AD11" s="4"/>
      <c r="AE11" s="4"/>
      <c r="AF11" s="4"/>
      <c r="AG11" s="4"/>
      <c r="AH11" s="4"/>
      <c r="AI11" s="4"/>
      <c r="AJ11" s="6"/>
      <c r="AK11" s="6"/>
      <c r="AL11" s="6"/>
      <c r="AM11" s="598"/>
      <c r="AN11" s="4"/>
      <c r="AO11" s="6"/>
      <c r="AP11" s="4"/>
      <c r="AQ11" s="7"/>
      <c r="AR11" s="4"/>
      <c r="AS11" s="6"/>
      <c r="AT11" s="6"/>
      <c r="AU11" s="4"/>
      <c r="AV11" s="7"/>
      <c r="AW11" s="9"/>
      <c r="AX11" s="9"/>
      <c r="AY11" s="9"/>
      <c r="AZ11" s="4"/>
      <c r="BA11" s="6"/>
      <c r="BB11" s="5"/>
      <c r="BC11" s="5"/>
    </row>
    <row r="12" spans="1:55">
      <c r="A12" s="344" t="s">
        <v>118</v>
      </c>
      <c r="B12" s="342"/>
      <c r="C12" s="344" t="s">
        <v>118</v>
      </c>
      <c r="D12" s="344"/>
      <c r="E12" s="344" t="s">
        <v>118</v>
      </c>
      <c r="F12" s="344"/>
      <c r="G12" s="344" t="s">
        <v>118</v>
      </c>
      <c r="H12" s="344" t="s">
        <v>118</v>
      </c>
      <c r="I12" s="344"/>
      <c r="J12" s="344"/>
      <c r="K12" s="344"/>
      <c r="L12" s="344"/>
      <c r="M12" s="344"/>
      <c r="N12" s="344"/>
      <c r="O12" s="344"/>
      <c r="P12" s="344" t="s">
        <v>118</v>
      </c>
      <c r="Q12" s="344" t="s">
        <v>118</v>
      </c>
      <c r="R12" s="344" t="s">
        <v>118</v>
      </c>
      <c r="S12" s="344"/>
      <c r="T12" s="344"/>
      <c r="U12" s="344"/>
      <c r="V12" s="344"/>
      <c r="W12" s="344"/>
      <c r="X12" s="344"/>
      <c r="Y12" s="344"/>
      <c r="Z12" s="344" t="s">
        <v>118</v>
      </c>
      <c r="AA12" s="344"/>
      <c r="AB12" s="343"/>
      <c r="AC12" s="6"/>
      <c r="AD12" s="4"/>
      <c r="AE12" s="4"/>
      <c r="AF12" s="4"/>
      <c r="AG12" s="4"/>
      <c r="AH12" s="4"/>
      <c r="AI12" s="4"/>
      <c r="AJ12" s="6"/>
      <c r="AK12" s="6"/>
      <c r="AL12" s="6"/>
      <c r="AM12" s="598"/>
      <c r="AN12" s="4"/>
      <c r="AO12" s="6"/>
      <c r="AP12" s="4"/>
      <c r="AQ12" s="7"/>
      <c r="AR12" s="4"/>
      <c r="AS12" s="6"/>
      <c r="AT12" s="6"/>
      <c r="AU12" s="4"/>
      <c r="AV12" s="7"/>
      <c r="AW12" s="9"/>
      <c r="AX12" s="9"/>
      <c r="AY12" s="9"/>
      <c r="AZ12" s="596"/>
      <c r="BA12" s="6"/>
      <c r="BB12" s="5"/>
      <c r="BC12" s="5"/>
    </row>
    <row r="13" spans="1:55">
      <c r="A13" s="17"/>
      <c r="B13" s="17"/>
      <c r="C13" s="17"/>
      <c r="D13" s="17"/>
      <c r="E13" s="17"/>
      <c r="F13" s="17"/>
      <c r="G13" s="17"/>
      <c r="H13" s="17"/>
      <c r="I13" s="17"/>
      <c r="J13" s="17"/>
      <c r="K13" s="17"/>
      <c r="L13" s="17"/>
      <c r="M13" s="17"/>
      <c r="N13" s="17"/>
      <c r="O13" s="17"/>
      <c r="P13" s="17"/>
      <c r="Q13" s="17"/>
      <c r="R13" s="17"/>
      <c r="S13" s="17"/>
      <c r="T13" s="17"/>
      <c r="U13" s="16"/>
      <c r="V13" s="16"/>
      <c r="W13" s="16"/>
      <c r="X13" s="16"/>
      <c r="Y13" s="16"/>
      <c r="Z13" s="16"/>
      <c r="AA13" s="16"/>
      <c r="AB13" s="16"/>
      <c r="AC13" s="4"/>
      <c r="AD13" s="4"/>
      <c r="AE13" s="4"/>
      <c r="AF13" s="4"/>
      <c r="AG13" s="4"/>
      <c r="AH13" s="4"/>
      <c r="AI13" s="4"/>
      <c r="AJ13" s="6"/>
      <c r="AK13" s="6"/>
      <c r="AL13" s="6"/>
      <c r="AM13" s="598"/>
      <c r="AN13" s="4"/>
      <c r="AO13" s="6"/>
      <c r="AP13" s="4"/>
      <c r="AQ13" s="7"/>
      <c r="AR13" s="4"/>
      <c r="AS13" s="6"/>
      <c r="AT13" s="6"/>
      <c r="AU13" s="4"/>
      <c r="AV13" s="7"/>
      <c r="AW13" s="9"/>
      <c r="AX13" s="9"/>
      <c r="AY13" s="9"/>
      <c r="AZ13" s="596"/>
      <c r="BA13" s="6"/>
      <c r="BB13" s="5"/>
      <c r="BC13" s="5"/>
    </row>
    <row r="14" spans="1:55" ht="26.45" thickBot="1">
      <c r="A14" s="19" t="s">
        <v>126</v>
      </c>
      <c r="B14" s="19"/>
      <c r="C14" s="19"/>
      <c r="D14" s="19"/>
      <c r="E14" s="19"/>
      <c r="F14" s="19"/>
      <c r="G14" s="19"/>
      <c r="H14" s="19"/>
      <c r="I14" s="19"/>
      <c r="J14" s="19"/>
      <c r="K14" s="19"/>
      <c r="L14" s="19"/>
      <c r="M14" s="19"/>
      <c r="N14" s="19"/>
      <c r="O14" s="19"/>
      <c r="P14" s="19"/>
      <c r="Q14" s="19"/>
      <c r="R14" s="19"/>
      <c r="S14" s="19"/>
      <c r="T14" s="19"/>
      <c r="U14" s="66"/>
      <c r="V14" s="4"/>
      <c r="W14" s="4"/>
      <c r="X14" s="4"/>
      <c r="Y14" s="4"/>
      <c r="Z14" s="4"/>
      <c r="AA14" s="4"/>
      <c r="AB14" s="4"/>
      <c r="AC14" s="4"/>
      <c r="AD14" s="4"/>
      <c r="AE14" s="4"/>
      <c r="AF14" s="4"/>
      <c r="AG14" s="4"/>
      <c r="AH14" s="4"/>
      <c r="AI14" s="4"/>
      <c r="AJ14" s="6"/>
      <c r="AK14" s="6"/>
      <c r="AL14" s="6"/>
      <c r="AM14" s="598"/>
      <c r="AN14" s="4"/>
      <c r="AO14" s="6"/>
      <c r="AP14" s="4"/>
      <c r="AQ14" s="7"/>
      <c r="AR14" s="4"/>
      <c r="AS14" s="6"/>
      <c r="AT14" s="6"/>
      <c r="AU14" s="4"/>
      <c r="AV14" s="7"/>
      <c r="AW14" s="9"/>
      <c r="AX14" s="9"/>
      <c r="AY14" s="9"/>
      <c r="AZ14" s="596"/>
      <c r="BA14" s="6"/>
      <c r="BB14" s="5"/>
      <c r="BC14" s="5"/>
    </row>
    <row r="15" spans="1:55" ht="15" thickBot="1">
      <c r="A15" s="681" t="s">
        <v>121</v>
      </c>
      <c r="B15" s="682"/>
      <c r="C15" s="682"/>
      <c r="D15" s="682"/>
      <c r="E15" s="682"/>
      <c r="F15" s="682"/>
      <c r="G15" s="682"/>
      <c r="H15" s="682"/>
      <c r="I15" s="682"/>
      <c r="J15" s="682"/>
      <c r="K15" s="682"/>
      <c r="L15" s="682"/>
      <c r="M15" s="682"/>
      <c r="N15" s="682"/>
      <c r="O15" s="682"/>
      <c r="P15" s="682"/>
      <c r="Q15" s="682"/>
      <c r="R15" s="682"/>
      <c r="S15" s="682"/>
      <c r="T15" s="682"/>
      <c r="U15" s="683"/>
      <c r="V15" s="6"/>
      <c r="W15" s="4"/>
      <c r="X15" s="4"/>
      <c r="Y15" s="4"/>
      <c r="Z15" s="4"/>
      <c r="AA15" s="4"/>
      <c r="AB15" s="4"/>
      <c r="AC15" s="4"/>
      <c r="AD15" s="4"/>
      <c r="AE15" s="4"/>
      <c r="AF15" s="4"/>
      <c r="AG15" s="4"/>
      <c r="AH15" s="4"/>
      <c r="AI15" s="4"/>
      <c r="AJ15" s="6"/>
      <c r="AK15" s="6"/>
      <c r="AL15" s="6"/>
      <c r="AM15" s="598"/>
      <c r="AN15" s="4"/>
      <c r="AO15" s="6"/>
      <c r="AP15" s="4"/>
      <c r="AQ15" s="7"/>
      <c r="AR15" s="4"/>
      <c r="AS15" s="6"/>
      <c r="AT15" s="6"/>
      <c r="AU15" s="4"/>
      <c r="AV15" s="7"/>
      <c r="AW15" s="9"/>
      <c r="AX15" s="9"/>
      <c r="AY15" s="9"/>
      <c r="AZ15" s="596"/>
      <c r="BA15" s="6"/>
      <c r="BB15" s="5"/>
      <c r="BC15" s="5"/>
    </row>
    <row r="16" spans="1:55" ht="61.5">
      <c r="A16" s="146" t="s">
        <v>67</v>
      </c>
      <c r="B16" s="143" t="s">
        <v>68</v>
      </c>
      <c r="C16" s="142" t="s">
        <v>69</v>
      </c>
      <c r="D16" s="142" t="s">
        <v>72</v>
      </c>
      <c r="E16" s="142" t="s">
        <v>122</v>
      </c>
      <c r="F16" s="142" t="s">
        <v>73</v>
      </c>
      <c r="G16" s="142" t="s">
        <v>74</v>
      </c>
      <c r="H16" s="149" t="s">
        <v>76</v>
      </c>
      <c r="I16" s="150" t="s">
        <v>77</v>
      </c>
      <c r="J16" s="142" t="s">
        <v>79</v>
      </c>
      <c r="K16" s="142" t="s">
        <v>80</v>
      </c>
      <c r="L16" s="142" t="s">
        <v>81</v>
      </c>
      <c r="M16" s="142" t="s">
        <v>82</v>
      </c>
      <c r="N16" s="142" t="s">
        <v>83</v>
      </c>
      <c r="O16" s="142" t="s">
        <v>84</v>
      </c>
      <c r="P16" s="142" t="s">
        <v>93</v>
      </c>
      <c r="Q16" s="142" t="s">
        <v>94</v>
      </c>
      <c r="R16" s="142" t="s">
        <v>95</v>
      </c>
      <c r="S16" s="143" t="s">
        <v>103</v>
      </c>
      <c r="T16" s="144" t="s">
        <v>106</v>
      </c>
      <c r="U16" s="145" t="s">
        <v>107</v>
      </c>
      <c r="V16" s="140" t="s">
        <v>123</v>
      </c>
      <c r="W16" s="4"/>
      <c r="X16" s="4"/>
      <c r="Y16" s="4"/>
      <c r="Z16" s="4"/>
      <c r="AA16" s="4"/>
      <c r="AB16" s="4"/>
      <c r="AC16" s="4"/>
      <c r="AD16" s="4"/>
      <c r="AE16" s="4"/>
      <c r="AF16" s="4"/>
      <c r="AG16" s="4"/>
      <c r="AH16" s="4"/>
      <c r="AI16" s="4"/>
      <c r="AJ16" s="6"/>
      <c r="AK16" s="6"/>
      <c r="AL16" s="6"/>
      <c r="AM16" s="598"/>
      <c r="AN16" s="4"/>
      <c r="AO16" s="6"/>
      <c r="AP16" s="4"/>
      <c r="AQ16" s="7"/>
      <c r="AR16" s="4"/>
      <c r="AS16" s="6"/>
      <c r="AT16" s="6"/>
      <c r="AU16" s="4"/>
      <c r="AV16" s="7"/>
      <c r="AW16" s="9"/>
      <c r="AX16" s="9"/>
      <c r="AY16" s="9"/>
      <c r="AZ16" s="596"/>
      <c r="BA16" s="6"/>
      <c r="BB16" s="5"/>
      <c r="BC16" s="5"/>
    </row>
    <row r="17" spans="1:55">
      <c r="A17" s="344" t="s">
        <v>118</v>
      </c>
      <c r="B17" s="342"/>
      <c r="C17" s="344" t="s">
        <v>118</v>
      </c>
      <c r="D17" s="344"/>
      <c r="E17" s="344" t="s">
        <v>118</v>
      </c>
      <c r="F17" s="344"/>
      <c r="G17" s="344" t="s">
        <v>118</v>
      </c>
      <c r="H17" s="344" t="s">
        <v>118</v>
      </c>
      <c r="I17" s="344"/>
      <c r="J17" s="344"/>
      <c r="K17" s="344"/>
      <c r="L17" s="344"/>
      <c r="M17" s="344"/>
      <c r="N17" s="344"/>
      <c r="O17" s="344"/>
      <c r="P17" s="344" t="s">
        <v>118</v>
      </c>
      <c r="Q17" s="344" t="s">
        <v>118</v>
      </c>
      <c r="R17" s="344" t="s">
        <v>118</v>
      </c>
      <c r="S17" s="344"/>
      <c r="T17" s="344" t="s">
        <v>118</v>
      </c>
      <c r="U17" s="344"/>
      <c r="V17" s="343"/>
      <c r="W17" s="6"/>
      <c r="X17" s="4"/>
      <c r="Y17" s="4"/>
      <c r="Z17" s="4"/>
      <c r="AA17" s="4"/>
      <c r="AB17" s="4"/>
      <c r="AC17" s="4"/>
      <c r="AD17" s="4"/>
      <c r="AE17" s="4"/>
      <c r="AF17" s="4"/>
      <c r="AG17" s="4"/>
      <c r="AH17" s="4"/>
      <c r="AI17" s="4"/>
      <c r="AJ17" s="6"/>
      <c r="AK17" s="6"/>
      <c r="AL17" s="6"/>
      <c r="AM17" s="598"/>
      <c r="AN17" s="4"/>
      <c r="AO17" s="6"/>
      <c r="AP17" s="4"/>
      <c r="AQ17" s="7"/>
      <c r="AR17" s="4"/>
      <c r="AS17" s="6"/>
      <c r="AT17" s="6"/>
      <c r="AU17" s="4"/>
      <c r="AV17" s="7"/>
      <c r="AW17" s="9"/>
      <c r="AX17" s="9"/>
      <c r="AY17" s="9"/>
      <c r="AZ17" s="596"/>
      <c r="BA17" s="6"/>
      <c r="BB17" s="5"/>
      <c r="BC17" s="5"/>
    </row>
    <row r="18" spans="1:55">
      <c r="A18" s="16"/>
      <c r="B18" s="16"/>
      <c r="C18" s="16"/>
      <c r="D18" s="16"/>
      <c r="E18" s="16"/>
      <c r="F18" s="16"/>
      <c r="G18" s="16"/>
      <c r="H18" s="16"/>
      <c r="I18" s="16"/>
      <c r="J18" s="16"/>
      <c r="K18" s="16"/>
      <c r="L18" s="16"/>
      <c r="M18" s="16"/>
      <c r="N18" s="16"/>
      <c r="O18" s="16"/>
      <c r="P18" s="16"/>
      <c r="Q18" s="16"/>
      <c r="R18" s="16"/>
      <c r="S18" s="16"/>
      <c r="T18" s="16"/>
      <c r="U18" s="16"/>
      <c r="V18" s="16"/>
      <c r="W18" s="4"/>
      <c r="X18" s="4"/>
      <c r="Y18" s="4"/>
      <c r="Z18" s="4"/>
      <c r="AA18" s="4"/>
      <c r="AB18" s="4"/>
      <c r="AC18" s="4"/>
      <c r="AD18" s="4"/>
      <c r="AE18" s="4"/>
      <c r="AF18" s="4"/>
      <c r="AG18" s="4"/>
      <c r="AH18" s="4"/>
      <c r="AI18" s="4"/>
      <c r="AJ18" s="6"/>
      <c r="AK18" s="6"/>
      <c r="AL18" s="6"/>
      <c r="AM18" s="598"/>
      <c r="AN18" s="4"/>
      <c r="AO18" s="6"/>
      <c r="AP18" s="4"/>
      <c r="AQ18" s="7"/>
      <c r="AR18" s="4"/>
      <c r="AS18" s="6"/>
      <c r="AT18" s="6"/>
      <c r="AU18" s="4"/>
      <c r="AV18" s="7"/>
      <c r="AW18" s="9"/>
      <c r="AX18" s="9"/>
      <c r="AY18" s="9"/>
      <c r="AZ18" s="596"/>
      <c r="BA18" s="6"/>
      <c r="BB18" s="5"/>
      <c r="BC18" s="5"/>
    </row>
    <row r="19" spans="1:55" ht="26.45" thickBot="1">
      <c r="A19" s="67" t="s">
        <v>127</v>
      </c>
      <c r="B19" s="19"/>
      <c r="C19" s="66"/>
      <c r="D19" s="65"/>
      <c r="E19" s="66"/>
      <c r="F19" s="66"/>
      <c r="G19" s="66"/>
      <c r="H19" s="66"/>
      <c r="I19" s="66"/>
      <c r="J19" s="19"/>
      <c r="K19" s="19"/>
      <c r="L19" s="597"/>
      <c r="M19" s="66"/>
      <c r="N19" s="66"/>
      <c r="O19" s="66"/>
      <c r="P19" s="66"/>
      <c r="Q19" s="66"/>
      <c r="R19" s="66"/>
      <c r="S19" s="62"/>
      <c r="T19" s="19"/>
      <c r="U19" s="66"/>
      <c r="V19" s="4"/>
      <c r="W19" s="4"/>
      <c r="X19" s="4"/>
      <c r="Y19" s="4"/>
      <c r="Z19" s="4"/>
      <c r="AA19" s="4"/>
      <c r="AB19" s="4"/>
      <c r="AC19" s="4"/>
      <c r="AD19" s="4"/>
      <c r="AE19" s="4"/>
      <c r="AF19" s="4"/>
      <c r="AG19" s="4"/>
      <c r="AH19" s="4"/>
      <c r="AI19" s="4"/>
      <c r="AJ19" s="6"/>
      <c r="AK19" s="6"/>
      <c r="AL19" s="6"/>
      <c r="AM19" s="598"/>
      <c r="AN19" s="4"/>
      <c r="AO19" s="6"/>
      <c r="AP19" s="4"/>
      <c r="AQ19" s="7"/>
      <c r="AR19" s="4"/>
      <c r="AS19" s="6"/>
      <c r="AT19" s="6"/>
      <c r="AU19" s="4"/>
      <c r="AV19" s="7"/>
      <c r="AW19" s="9"/>
      <c r="AX19" s="9"/>
      <c r="AY19" s="9"/>
      <c r="AZ19" s="596"/>
      <c r="BA19" s="6"/>
      <c r="BB19" s="5"/>
      <c r="BC19" s="5"/>
    </row>
    <row r="20" spans="1:55" ht="15" thickBot="1">
      <c r="A20" s="681" t="s">
        <v>121</v>
      </c>
      <c r="B20" s="682"/>
      <c r="C20" s="682"/>
      <c r="D20" s="682"/>
      <c r="E20" s="682"/>
      <c r="F20" s="682"/>
      <c r="G20" s="682"/>
      <c r="H20" s="682"/>
      <c r="I20" s="682"/>
      <c r="J20" s="682"/>
      <c r="K20" s="682"/>
      <c r="L20" s="682"/>
      <c r="M20" s="682"/>
      <c r="N20" s="682"/>
      <c r="O20" s="682"/>
      <c r="P20" s="682"/>
      <c r="Q20" s="682"/>
      <c r="R20" s="682"/>
      <c r="S20" s="682"/>
      <c r="T20" s="682"/>
      <c r="U20" s="683"/>
      <c r="V20" s="6"/>
      <c r="W20" s="4"/>
      <c r="X20" s="4"/>
      <c r="Y20" s="4"/>
      <c r="Z20" s="4"/>
      <c r="AA20" s="4"/>
      <c r="AB20" s="4"/>
      <c r="AC20" s="4"/>
      <c r="AD20" s="4"/>
      <c r="AE20" s="4"/>
      <c r="AF20" s="4"/>
      <c r="AG20" s="4"/>
      <c r="AH20" s="4"/>
      <c r="AI20" s="4"/>
      <c r="AJ20" s="6"/>
      <c r="AK20" s="6"/>
      <c r="AL20" s="6"/>
      <c r="AM20" s="598"/>
      <c r="AN20" s="4"/>
      <c r="AO20" s="6"/>
      <c r="AP20" s="4"/>
      <c r="AQ20" s="7"/>
      <c r="AR20" s="4"/>
      <c r="AS20" s="6"/>
      <c r="AT20" s="6"/>
      <c r="AU20" s="4"/>
      <c r="AV20" s="7"/>
      <c r="AW20" s="9"/>
      <c r="AX20" s="9"/>
      <c r="AY20" s="9"/>
      <c r="AZ20" s="596"/>
      <c r="BA20" s="6"/>
      <c r="BB20" s="5"/>
      <c r="BC20" s="5"/>
    </row>
    <row r="21" spans="1:55" ht="61.5">
      <c r="A21" s="146" t="s">
        <v>67</v>
      </c>
      <c r="B21" s="143" t="s">
        <v>68</v>
      </c>
      <c r="C21" s="142" t="s">
        <v>69</v>
      </c>
      <c r="D21" s="142" t="s">
        <v>72</v>
      </c>
      <c r="E21" s="142" t="s">
        <v>122</v>
      </c>
      <c r="F21" s="142" t="s">
        <v>73</v>
      </c>
      <c r="G21" s="142" t="s">
        <v>74</v>
      </c>
      <c r="H21" s="149" t="s">
        <v>76</v>
      </c>
      <c r="I21" s="150" t="s">
        <v>77</v>
      </c>
      <c r="J21" s="142" t="s">
        <v>79</v>
      </c>
      <c r="K21" s="142" t="s">
        <v>80</v>
      </c>
      <c r="L21" s="142" t="s">
        <v>81</v>
      </c>
      <c r="M21" s="142" t="s">
        <v>82</v>
      </c>
      <c r="N21" s="142" t="s">
        <v>83</v>
      </c>
      <c r="O21" s="142" t="s">
        <v>84</v>
      </c>
      <c r="P21" s="142" t="s">
        <v>93</v>
      </c>
      <c r="Q21" s="142" t="s">
        <v>94</v>
      </c>
      <c r="R21" s="142" t="s">
        <v>95</v>
      </c>
      <c r="S21" s="143" t="s">
        <v>103</v>
      </c>
      <c r="T21" s="144" t="s">
        <v>106</v>
      </c>
      <c r="U21" s="145" t="s">
        <v>107</v>
      </c>
      <c r="V21" s="140" t="s">
        <v>123</v>
      </c>
      <c r="W21" s="4"/>
      <c r="X21" s="4"/>
      <c r="Y21" s="4"/>
      <c r="Z21" s="4"/>
      <c r="AA21" s="4"/>
      <c r="AB21" s="4"/>
      <c r="AC21" s="4"/>
      <c r="AD21" s="4"/>
      <c r="AE21" s="4"/>
      <c r="AF21" s="4"/>
      <c r="AG21" s="4"/>
      <c r="AH21" s="4"/>
      <c r="AI21" s="4"/>
      <c r="AJ21" s="6"/>
      <c r="AK21" s="6"/>
      <c r="AL21" s="6"/>
      <c r="AM21" s="598"/>
      <c r="AN21" s="4"/>
      <c r="AO21" s="6"/>
      <c r="AP21" s="4"/>
      <c r="AQ21" s="7"/>
      <c r="AR21" s="4"/>
      <c r="AS21" s="6"/>
      <c r="AT21" s="6"/>
      <c r="AU21" s="4"/>
      <c r="AV21" s="7"/>
      <c r="AW21" s="9"/>
      <c r="AX21" s="9"/>
      <c r="AY21" s="9"/>
      <c r="AZ21" s="596"/>
      <c r="BA21" s="6"/>
      <c r="BB21" s="5"/>
      <c r="BC21" s="5"/>
    </row>
    <row r="22" spans="1:55">
      <c r="A22" s="344" t="s">
        <v>118</v>
      </c>
      <c r="B22" s="342"/>
      <c r="C22" s="344" t="s">
        <v>118</v>
      </c>
      <c r="D22" s="344"/>
      <c r="E22" s="344" t="s">
        <v>118</v>
      </c>
      <c r="F22" s="344"/>
      <c r="G22" s="344" t="s">
        <v>118</v>
      </c>
      <c r="H22" s="344" t="s">
        <v>118</v>
      </c>
      <c r="I22" s="344"/>
      <c r="J22" s="344"/>
      <c r="K22" s="344"/>
      <c r="L22" s="344"/>
      <c r="M22" s="344"/>
      <c r="N22" s="344"/>
      <c r="O22" s="344"/>
      <c r="P22" s="344" t="s">
        <v>118</v>
      </c>
      <c r="Q22" s="344" t="s">
        <v>118</v>
      </c>
      <c r="R22" s="344" t="s">
        <v>118</v>
      </c>
      <c r="S22" s="344"/>
      <c r="T22" s="344" t="s">
        <v>118</v>
      </c>
      <c r="U22" s="344"/>
      <c r="V22" s="343"/>
      <c r="W22" s="4"/>
      <c r="X22" s="4"/>
      <c r="Y22" s="4"/>
      <c r="Z22" s="4"/>
      <c r="AA22" s="4"/>
      <c r="AB22" s="4"/>
      <c r="AC22" s="4"/>
      <c r="AD22" s="4"/>
      <c r="AE22" s="4"/>
      <c r="AF22" s="4"/>
      <c r="AG22" s="4"/>
      <c r="AH22" s="4"/>
      <c r="AI22" s="4"/>
      <c r="AJ22" s="6"/>
      <c r="AK22" s="6"/>
      <c r="AL22" s="6"/>
      <c r="AM22" s="598"/>
      <c r="AN22" s="4"/>
      <c r="AO22" s="6"/>
      <c r="AP22" s="4"/>
      <c r="AQ22" s="7"/>
      <c r="AR22" s="4"/>
      <c r="AS22" s="6"/>
      <c r="AT22" s="6"/>
      <c r="AU22" s="4"/>
      <c r="AV22" s="7"/>
      <c r="AW22" s="9"/>
      <c r="AX22" s="9"/>
      <c r="AY22" s="9"/>
      <c r="AZ22" s="596"/>
      <c r="BA22" s="6"/>
      <c r="BB22" s="5"/>
      <c r="BC22" s="5"/>
    </row>
    <row r="23" spans="1:55">
      <c r="A23" s="16"/>
      <c r="B23" s="16"/>
      <c r="C23" s="16"/>
      <c r="D23" s="16"/>
      <c r="E23" s="16"/>
      <c r="F23" s="16"/>
      <c r="G23" s="16"/>
      <c r="H23" s="16"/>
      <c r="I23" s="16"/>
      <c r="J23" s="16"/>
      <c r="K23" s="16"/>
      <c r="L23" s="16"/>
      <c r="M23" s="16"/>
      <c r="N23" s="16"/>
      <c r="O23" s="16"/>
      <c r="P23" s="16"/>
      <c r="Q23" s="16"/>
      <c r="R23" s="16"/>
      <c r="S23" s="17"/>
      <c r="T23" s="7"/>
      <c r="U23" s="4"/>
      <c r="V23" s="4"/>
      <c r="W23" s="4"/>
      <c r="X23" s="4"/>
      <c r="Y23" s="4"/>
      <c r="Z23" s="4"/>
      <c r="AA23" s="4"/>
      <c r="AB23" s="4"/>
      <c r="AC23" s="4"/>
      <c r="AD23" s="4"/>
      <c r="AE23" s="4"/>
      <c r="AF23" s="4"/>
      <c r="AG23" s="4"/>
      <c r="AH23" s="4"/>
      <c r="AI23" s="4"/>
      <c r="AJ23" s="6"/>
      <c r="AK23" s="6"/>
      <c r="AL23" s="6"/>
      <c r="AM23" s="598"/>
      <c r="AN23" s="4"/>
      <c r="AO23" s="6"/>
      <c r="AP23" s="4"/>
      <c r="AQ23" s="7"/>
      <c r="AR23" s="4"/>
      <c r="AS23" s="6"/>
      <c r="AT23" s="6"/>
      <c r="AU23" s="4"/>
      <c r="AV23" s="7"/>
      <c r="AW23" s="9"/>
      <c r="AX23" s="9"/>
      <c r="AY23" s="9"/>
      <c r="AZ23" s="596"/>
      <c r="BA23" s="6"/>
      <c r="BB23" s="5"/>
      <c r="BC23" s="5"/>
    </row>
    <row r="24" spans="1:55" ht="26.45" thickBot="1">
      <c r="A24" s="67" t="s">
        <v>128</v>
      </c>
      <c r="B24" s="19"/>
      <c r="C24" s="66"/>
      <c r="D24" s="65"/>
      <c r="E24" s="66"/>
      <c r="F24" s="66"/>
      <c r="G24" s="66"/>
      <c r="H24" s="66"/>
      <c r="I24" s="66"/>
      <c r="J24" s="19"/>
      <c r="K24" s="19"/>
      <c r="L24" s="597"/>
      <c r="M24" s="66"/>
      <c r="N24" s="66"/>
      <c r="O24" s="66"/>
      <c r="P24" s="66"/>
      <c r="Q24" s="66"/>
      <c r="R24" s="66"/>
      <c r="S24" s="62"/>
      <c r="T24" s="19"/>
      <c r="U24" s="66"/>
      <c r="V24" s="66"/>
      <c r="W24" s="66"/>
      <c r="X24" s="66"/>
      <c r="Y24" s="66"/>
      <c r="Z24" s="66"/>
      <c r="AA24" s="66"/>
      <c r="AB24" s="66"/>
      <c r="AC24" s="4"/>
      <c r="AD24" s="4"/>
      <c r="AE24" s="4"/>
      <c r="AF24" s="4"/>
      <c r="AG24" s="4"/>
      <c r="AH24" s="4"/>
      <c r="AI24" s="4"/>
      <c r="AJ24" s="6"/>
      <c r="AK24" s="6"/>
      <c r="AL24" s="6"/>
      <c r="AM24" s="598"/>
      <c r="AN24" s="4"/>
      <c r="AO24" s="6"/>
      <c r="AP24" s="4"/>
      <c r="AQ24" s="7"/>
      <c r="AR24" s="4"/>
      <c r="AS24" s="6"/>
      <c r="AT24" s="6"/>
      <c r="AU24" s="4"/>
      <c r="AV24" s="7"/>
      <c r="AW24" s="9"/>
      <c r="AX24" s="9"/>
      <c r="AY24" s="9"/>
      <c r="AZ24" s="596"/>
      <c r="BA24" s="6"/>
      <c r="BB24" s="5"/>
      <c r="BC24" s="5"/>
    </row>
    <row r="25" spans="1:55" ht="15" thickBot="1">
      <c r="A25" s="681" t="s">
        <v>121</v>
      </c>
      <c r="B25" s="682"/>
      <c r="C25" s="682"/>
      <c r="D25" s="682"/>
      <c r="E25" s="682"/>
      <c r="F25" s="682"/>
      <c r="G25" s="682"/>
      <c r="H25" s="682"/>
      <c r="I25" s="682"/>
      <c r="J25" s="682"/>
      <c r="K25" s="682"/>
      <c r="L25" s="682"/>
      <c r="M25" s="682"/>
      <c r="N25" s="682"/>
      <c r="O25" s="682"/>
      <c r="P25" s="682"/>
      <c r="Q25" s="682"/>
      <c r="R25" s="682"/>
      <c r="S25" s="682"/>
      <c r="T25" s="682"/>
      <c r="U25" s="682"/>
      <c r="V25" s="682"/>
      <c r="W25" s="682"/>
      <c r="X25" s="682"/>
      <c r="Y25" s="682"/>
      <c r="Z25" s="682"/>
      <c r="AA25" s="682"/>
      <c r="AB25" s="683"/>
      <c r="AC25" s="6"/>
      <c r="AD25" s="4"/>
      <c r="AE25" s="4"/>
      <c r="AF25" s="4"/>
      <c r="AG25" s="4"/>
      <c r="AH25" s="4"/>
      <c r="AI25" s="4"/>
      <c r="AJ25" s="6"/>
      <c r="AK25" s="6"/>
      <c r="AL25" s="6"/>
      <c r="AM25" s="598"/>
      <c r="AN25" s="4"/>
      <c r="AO25" s="6"/>
      <c r="AP25" s="4"/>
      <c r="AQ25" s="7"/>
      <c r="AR25" s="4"/>
      <c r="AS25" s="6"/>
      <c r="AT25" s="6"/>
      <c r="AU25" s="4"/>
      <c r="AV25" s="7"/>
      <c r="AW25" s="9"/>
      <c r="AX25" s="9"/>
      <c r="AY25" s="9"/>
      <c r="AZ25" s="596"/>
      <c r="BA25" s="6"/>
      <c r="BB25" s="5"/>
      <c r="BC25" s="5"/>
    </row>
    <row r="26" spans="1:55" ht="61.5">
      <c r="A26" s="146" t="s">
        <v>67</v>
      </c>
      <c r="B26" s="143" t="s">
        <v>68</v>
      </c>
      <c r="C26" s="142" t="s">
        <v>69</v>
      </c>
      <c r="D26" s="142" t="s">
        <v>72</v>
      </c>
      <c r="E26" s="142" t="s">
        <v>122</v>
      </c>
      <c r="F26" s="142" t="s">
        <v>73</v>
      </c>
      <c r="G26" s="142" t="s">
        <v>74</v>
      </c>
      <c r="H26" s="149" t="s">
        <v>76</v>
      </c>
      <c r="I26" s="150" t="s">
        <v>77</v>
      </c>
      <c r="J26" s="142" t="s">
        <v>79</v>
      </c>
      <c r="K26" s="142" t="s">
        <v>80</v>
      </c>
      <c r="L26" s="142" t="s">
        <v>81</v>
      </c>
      <c r="M26" s="142" t="s">
        <v>82</v>
      </c>
      <c r="N26" s="142" t="s">
        <v>83</v>
      </c>
      <c r="O26" s="142" t="s">
        <v>84</v>
      </c>
      <c r="P26" s="146" t="s">
        <v>86</v>
      </c>
      <c r="Q26" s="142" t="s">
        <v>87</v>
      </c>
      <c r="R26" s="142" t="s">
        <v>88</v>
      </c>
      <c r="S26" s="142" t="s">
        <v>89</v>
      </c>
      <c r="T26" s="142" t="s">
        <v>90</v>
      </c>
      <c r="U26" s="142" t="s">
        <v>91</v>
      </c>
      <c r="V26" s="142" t="s">
        <v>92</v>
      </c>
      <c r="W26" s="142" t="s">
        <v>93</v>
      </c>
      <c r="X26" s="142" t="s">
        <v>94</v>
      </c>
      <c r="Y26" s="142" t="s">
        <v>95</v>
      </c>
      <c r="Z26" s="143" t="s">
        <v>103</v>
      </c>
      <c r="AA26" s="144" t="s">
        <v>106</v>
      </c>
      <c r="AB26" s="145" t="s">
        <v>107</v>
      </c>
      <c r="AC26" s="140" t="s">
        <v>123</v>
      </c>
      <c r="AD26" s="4"/>
      <c r="AE26" s="4"/>
      <c r="AF26" s="4"/>
      <c r="AG26" s="4"/>
      <c r="AH26" s="4"/>
      <c r="AI26" s="4"/>
      <c r="AJ26" s="6"/>
      <c r="AK26" s="6"/>
      <c r="AL26" s="6"/>
      <c r="AM26" s="598"/>
      <c r="AN26" s="4"/>
      <c r="AO26" s="6"/>
      <c r="AP26" s="4"/>
      <c r="AQ26" s="7"/>
      <c r="AR26" s="4"/>
      <c r="AS26" s="6"/>
      <c r="AT26" s="6"/>
      <c r="AU26" s="4"/>
      <c r="AV26" s="7"/>
      <c r="AW26" s="9"/>
      <c r="AX26" s="9"/>
      <c r="AY26" s="9"/>
      <c r="AZ26" s="596"/>
      <c r="BA26" s="6"/>
      <c r="BB26" s="5"/>
      <c r="BC26" s="5"/>
    </row>
    <row r="27" spans="1:55">
      <c r="A27" s="344" t="s">
        <v>118</v>
      </c>
      <c r="B27" s="342"/>
      <c r="C27" s="344" t="s">
        <v>118</v>
      </c>
      <c r="D27" s="344"/>
      <c r="E27" s="344" t="s">
        <v>118</v>
      </c>
      <c r="F27" s="344"/>
      <c r="G27" s="344" t="s">
        <v>118</v>
      </c>
      <c r="H27" s="344" t="s">
        <v>118</v>
      </c>
      <c r="I27" s="344"/>
      <c r="J27" s="344"/>
      <c r="K27" s="344"/>
      <c r="L27" s="344"/>
      <c r="M27" s="344"/>
      <c r="N27" s="344"/>
      <c r="O27" s="344"/>
      <c r="P27" s="344" t="s">
        <v>118</v>
      </c>
      <c r="Q27" s="344" t="s">
        <v>118</v>
      </c>
      <c r="R27" s="344" t="s">
        <v>118</v>
      </c>
      <c r="S27" s="344" t="s">
        <v>118</v>
      </c>
      <c r="T27" s="344" t="s">
        <v>118</v>
      </c>
      <c r="U27" s="344" t="s">
        <v>118</v>
      </c>
      <c r="V27" s="344" t="s">
        <v>118</v>
      </c>
      <c r="W27" s="344" t="s">
        <v>118</v>
      </c>
      <c r="X27" s="344" t="s">
        <v>118</v>
      </c>
      <c r="Y27" s="344" t="s">
        <v>118</v>
      </c>
      <c r="Z27" s="344" t="s">
        <v>118</v>
      </c>
      <c r="AA27" s="319" t="s">
        <v>118</v>
      </c>
      <c r="AB27" s="319"/>
      <c r="AC27" s="343"/>
      <c r="AD27" s="4"/>
      <c r="AE27" s="4"/>
      <c r="AF27" s="4"/>
      <c r="AG27" s="4"/>
      <c r="AH27" s="4"/>
      <c r="AI27" s="4"/>
      <c r="AJ27" s="6"/>
      <c r="AK27" s="6"/>
      <c r="AL27" s="6"/>
      <c r="AM27" s="598"/>
      <c r="AN27" s="4"/>
      <c r="AO27" s="6"/>
      <c r="AP27" s="4"/>
      <c r="AQ27" s="7"/>
      <c r="AR27" s="4"/>
      <c r="AS27" s="6"/>
      <c r="AT27" s="6"/>
      <c r="AU27" s="4"/>
      <c r="AV27" s="7"/>
      <c r="AW27" s="9"/>
      <c r="AX27" s="9"/>
      <c r="AY27" s="9"/>
      <c r="AZ27" s="596"/>
      <c r="BA27" s="6"/>
      <c r="BB27" s="5"/>
      <c r="BC27" s="5"/>
    </row>
    <row r="28" spans="1:55" ht="15" thickBot="1">
      <c r="A28" s="17"/>
      <c r="B28" s="17"/>
      <c r="C28" s="17"/>
      <c r="D28" s="17"/>
      <c r="E28" s="152"/>
      <c r="F28" s="16"/>
      <c r="G28" s="16"/>
      <c r="H28" s="16"/>
      <c r="I28" s="16"/>
      <c r="J28" s="17"/>
      <c r="K28" s="17"/>
      <c r="L28" s="15"/>
      <c r="M28" s="16"/>
      <c r="N28" s="16"/>
      <c r="O28" s="16"/>
      <c r="P28" s="16"/>
      <c r="Q28" s="16"/>
      <c r="R28" s="16"/>
      <c r="S28" s="17"/>
      <c r="T28" s="17"/>
      <c r="U28" s="16"/>
      <c r="V28" s="16"/>
      <c r="W28" s="16"/>
      <c r="X28" s="16"/>
      <c r="Y28" s="16"/>
      <c r="Z28" s="16"/>
      <c r="AA28" s="16"/>
      <c r="AB28" s="4"/>
      <c r="AC28" s="4"/>
      <c r="AD28" s="4"/>
      <c r="AE28" s="4"/>
      <c r="AF28" s="4"/>
      <c r="AG28" s="4"/>
      <c r="AH28" s="4"/>
      <c r="AI28" s="4"/>
      <c r="AJ28" s="6"/>
      <c r="AK28" s="6"/>
      <c r="AL28" s="6"/>
      <c r="AM28" s="598"/>
      <c r="AN28" s="4"/>
      <c r="AO28" s="6"/>
      <c r="AP28" s="4"/>
      <c r="AQ28" s="7"/>
      <c r="AR28" s="4"/>
      <c r="AS28" s="6"/>
      <c r="AT28" s="6"/>
      <c r="AU28" s="4"/>
      <c r="AV28" s="7"/>
      <c r="AW28" s="9"/>
      <c r="AX28" s="9"/>
      <c r="AY28" s="9"/>
      <c r="AZ28" s="596"/>
      <c r="BA28" s="6"/>
      <c r="BB28" s="5"/>
      <c r="BC28" s="5"/>
    </row>
    <row r="29" spans="1:55" ht="26.45" thickBot="1">
      <c r="A29" s="67" t="s">
        <v>129</v>
      </c>
      <c r="B29" s="19"/>
      <c r="C29" s="19"/>
      <c r="D29" s="19"/>
      <c r="E29" s="66"/>
      <c r="F29" s="66"/>
      <c r="G29" s="66"/>
      <c r="H29" s="66"/>
      <c r="I29" s="66"/>
      <c r="J29" s="19"/>
      <c r="K29" s="19"/>
      <c r="L29" s="597"/>
      <c r="M29" s="66"/>
      <c r="N29" s="66"/>
      <c r="O29" s="66"/>
      <c r="P29" s="66"/>
      <c r="Q29" s="66"/>
      <c r="R29" s="66"/>
      <c r="S29" s="62"/>
      <c r="T29" s="19"/>
      <c r="U29" s="599"/>
      <c r="V29" s="66"/>
      <c r="W29" s="66"/>
      <c r="X29" s="66"/>
      <c r="Y29" s="4"/>
      <c r="Z29" s="4"/>
      <c r="AA29" s="4"/>
      <c r="AB29" s="4"/>
      <c r="AC29" s="4"/>
      <c r="AD29" s="4"/>
      <c r="AE29" s="4"/>
      <c r="AF29" s="4"/>
      <c r="AG29" s="4"/>
      <c r="AH29" s="4"/>
      <c r="AI29" s="4"/>
      <c r="AJ29" s="6"/>
      <c r="AK29" s="6"/>
      <c r="AL29" s="6"/>
      <c r="AM29" s="598"/>
      <c r="AN29" s="4"/>
      <c r="AO29" s="6"/>
      <c r="AP29" s="4"/>
      <c r="AQ29" s="7"/>
      <c r="AR29" s="4"/>
      <c r="AS29" s="6"/>
      <c r="AT29" s="6"/>
      <c r="AU29" s="4"/>
      <c r="AV29" s="7"/>
      <c r="AW29" s="9"/>
      <c r="AX29" s="9"/>
      <c r="AY29" s="9"/>
      <c r="AZ29" s="596"/>
      <c r="BA29" s="6"/>
      <c r="BB29" s="5"/>
      <c r="BC29" s="5"/>
    </row>
    <row r="30" spans="1:55" ht="15" thickBot="1">
      <c r="A30" s="684" t="s">
        <v>130</v>
      </c>
      <c r="B30" s="685"/>
      <c r="C30" s="685"/>
      <c r="D30" s="685"/>
      <c r="E30" s="685"/>
      <c r="F30" s="685"/>
      <c r="G30" s="685"/>
      <c r="H30" s="685"/>
      <c r="I30" s="685"/>
      <c r="J30" s="685"/>
      <c r="K30" s="685"/>
      <c r="L30" s="685"/>
      <c r="M30" s="685"/>
      <c r="N30" s="685"/>
      <c r="O30" s="685"/>
      <c r="P30" s="685"/>
      <c r="Q30" s="685"/>
      <c r="R30" s="685"/>
      <c r="S30" s="685"/>
      <c r="T30" s="685"/>
      <c r="U30" s="80"/>
      <c r="V30" s="44"/>
      <c r="W30" s="31"/>
      <c r="X30" s="31"/>
      <c r="Y30" s="573"/>
      <c r="Z30" s="573"/>
      <c r="AA30" s="575"/>
      <c r="AB30" s="577"/>
      <c r="AC30" s="600"/>
      <c r="AD30" s="4"/>
      <c r="AE30" s="4"/>
      <c r="AF30" s="4"/>
      <c r="AG30" s="4"/>
      <c r="AH30" s="4"/>
      <c r="AI30" s="4"/>
      <c r="AJ30" s="6"/>
      <c r="AK30" s="6"/>
      <c r="AL30" s="6"/>
      <c r="AM30" s="598"/>
      <c r="AN30" s="4"/>
      <c r="AO30" s="6"/>
      <c r="AP30" s="4"/>
      <c r="AQ30" s="7"/>
      <c r="AR30" s="4"/>
      <c r="AS30" s="6"/>
      <c r="AT30" s="6"/>
      <c r="AU30" s="4"/>
      <c r="AV30" s="7"/>
      <c r="AW30" s="9"/>
      <c r="AX30" s="9"/>
      <c r="AY30" s="9"/>
      <c r="AZ30" s="596"/>
      <c r="BA30" s="6"/>
      <c r="BB30" s="5"/>
      <c r="BC30" s="5"/>
    </row>
    <row r="31" spans="1:55" ht="54.6" customHeight="1">
      <c r="A31" s="142" t="s">
        <v>70</v>
      </c>
      <c r="B31" s="153" t="s">
        <v>78</v>
      </c>
      <c r="C31" s="146" t="s">
        <v>86</v>
      </c>
      <c r="D31" s="142" t="s">
        <v>87</v>
      </c>
      <c r="E31" s="142" t="s">
        <v>88</v>
      </c>
      <c r="F31" s="142" t="s">
        <v>89</v>
      </c>
      <c r="G31" s="142" t="s">
        <v>90</v>
      </c>
      <c r="H31" s="142" t="s">
        <v>91</v>
      </c>
      <c r="I31" s="142" t="s">
        <v>92</v>
      </c>
      <c r="J31" s="154" t="s">
        <v>97</v>
      </c>
      <c r="K31" s="145" t="s">
        <v>108</v>
      </c>
      <c r="L31" s="155" t="s">
        <v>109</v>
      </c>
      <c r="M31" s="156" t="s">
        <v>110</v>
      </c>
      <c r="N31" s="156" t="s">
        <v>111</v>
      </c>
      <c r="O31" s="155" t="s">
        <v>112</v>
      </c>
      <c r="P31" s="155" t="s">
        <v>113</v>
      </c>
      <c r="Q31" s="157" t="s">
        <v>114</v>
      </c>
      <c r="R31" s="158" t="s">
        <v>115</v>
      </c>
      <c r="S31" s="159" t="s">
        <v>116</v>
      </c>
      <c r="T31" s="160" t="s">
        <v>117</v>
      </c>
      <c r="U31" s="88"/>
      <c r="V31" s="44"/>
      <c r="W31" s="44"/>
      <c r="X31" s="72"/>
      <c r="Y31" s="31"/>
      <c r="Z31" s="88"/>
      <c r="AA31" s="88"/>
      <c r="AB31" s="601"/>
      <c r="AC31" s="4"/>
      <c r="AD31" s="4"/>
      <c r="AE31" s="4"/>
      <c r="AF31" s="4"/>
      <c r="AG31" s="4"/>
      <c r="AH31" s="4"/>
      <c r="AI31" s="4"/>
      <c r="AJ31" s="6"/>
      <c r="AK31" s="6"/>
      <c r="AL31" s="6"/>
      <c r="AM31" s="598"/>
      <c r="AN31" s="4"/>
      <c r="AO31" s="6"/>
      <c r="AP31" s="4"/>
      <c r="AQ31" s="7"/>
      <c r="AR31" s="4"/>
      <c r="AS31" s="6"/>
      <c r="AT31" s="6"/>
      <c r="AU31" s="4"/>
      <c r="AV31" s="7"/>
      <c r="AW31" s="9"/>
      <c r="AX31" s="9"/>
      <c r="AY31" s="9"/>
      <c r="AZ31" s="596"/>
      <c r="BA31" s="6"/>
      <c r="BB31" s="5"/>
      <c r="BC31" s="5"/>
    </row>
    <row r="32" spans="1:55">
      <c r="A32" s="344" t="s">
        <v>118</v>
      </c>
      <c r="B32" s="344" t="b">
        <v>1</v>
      </c>
      <c r="C32" s="344" t="s">
        <v>118</v>
      </c>
      <c r="D32" s="344" t="s">
        <v>118</v>
      </c>
      <c r="E32" s="344" t="s">
        <v>118</v>
      </c>
      <c r="F32" s="344" t="s">
        <v>118</v>
      </c>
      <c r="G32" s="344" t="s">
        <v>118</v>
      </c>
      <c r="H32" s="344" t="s">
        <v>118</v>
      </c>
      <c r="I32" s="344" t="s">
        <v>118</v>
      </c>
      <c r="J32" s="344"/>
      <c r="K32" s="344" t="s">
        <v>118</v>
      </c>
      <c r="L32" s="344" t="s">
        <v>118</v>
      </c>
      <c r="M32" s="344" t="s">
        <v>118</v>
      </c>
      <c r="N32" s="344" t="s">
        <v>118</v>
      </c>
      <c r="O32" s="344" t="s">
        <v>118</v>
      </c>
      <c r="P32" s="344" t="s">
        <v>118</v>
      </c>
      <c r="Q32" s="344" t="s">
        <v>118</v>
      </c>
      <c r="R32" s="344"/>
      <c r="S32" s="344"/>
      <c r="T32" s="344"/>
      <c r="U32" s="601"/>
      <c r="V32" s="602"/>
      <c r="W32" s="602"/>
      <c r="X32" s="603"/>
      <c r="Y32" s="601"/>
      <c r="Z32" s="580"/>
      <c r="AA32" s="88"/>
      <c r="AB32" s="6"/>
      <c r="AC32" s="4"/>
      <c r="AD32" s="4"/>
      <c r="AE32" s="4"/>
      <c r="AF32" s="4"/>
      <c r="AG32" s="4"/>
      <c r="AH32" s="4"/>
      <c r="AI32" s="4"/>
      <c r="AJ32" s="6"/>
      <c r="AK32" s="6"/>
      <c r="AL32" s="6"/>
      <c r="AM32" s="598"/>
      <c r="AN32" s="4"/>
      <c r="AO32" s="6"/>
      <c r="AP32" s="4"/>
      <c r="AQ32" s="7"/>
      <c r="AR32" s="4"/>
      <c r="AS32" s="6"/>
      <c r="AT32" s="6"/>
      <c r="AU32" s="4"/>
      <c r="AV32" s="7"/>
      <c r="AW32" s="9"/>
      <c r="AX32" s="9"/>
      <c r="AY32" s="9"/>
      <c r="AZ32" s="596"/>
      <c r="BA32" s="6"/>
      <c r="BB32" s="5"/>
      <c r="BC32" s="5"/>
    </row>
    <row r="33" spans="1:56" ht="15" thickBot="1">
      <c r="A33" s="17"/>
      <c r="B33" s="17"/>
      <c r="C33" s="17"/>
      <c r="D33" s="17"/>
      <c r="E33" s="17"/>
      <c r="F33" s="17"/>
      <c r="G33" s="16"/>
      <c r="H33" s="16"/>
      <c r="I33" s="16"/>
      <c r="J33" s="16"/>
      <c r="K33" s="16"/>
      <c r="L33" s="16"/>
      <c r="M33" s="17"/>
      <c r="N33" s="17"/>
      <c r="O33" s="16"/>
      <c r="P33" s="16"/>
      <c r="Q33" s="16"/>
      <c r="R33" s="16"/>
      <c r="S33" s="16"/>
      <c r="T33" s="16"/>
      <c r="U33" s="4"/>
      <c r="V33" s="4"/>
      <c r="W33" s="4"/>
      <c r="X33" s="4"/>
      <c r="Y33" s="4"/>
      <c r="Z33" s="4"/>
      <c r="AA33" s="16"/>
      <c r="AB33" s="4"/>
      <c r="AC33" s="4"/>
      <c r="AD33" s="4"/>
      <c r="AE33" s="4"/>
      <c r="AF33" s="4"/>
      <c r="AG33" s="4"/>
      <c r="AH33" s="4"/>
      <c r="AI33" s="4"/>
      <c r="AJ33" s="6"/>
      <c r="AK33" s="6"/>
      <c r="AL33" s="6"/>
      <c r="AM33" s="598"/>
      <c r="AN33" s="4"/>
      <c r="AO33" s="6"/>
      <c r="AP33" s="4"/>
      <c r="AQ33" s="7"/>
      <c r="AR33" s="4"/>
      <c r="AS33" s="6"/>
      <c r="AT33" s="6"/>
      <c r="AU33" s="4"/>
      <c r="AV33" s="7"/>
      <c r="AW33" s="9"/>
      <c r="AX33" s="9"/>
      <c r="AY33" s="9"/>
      <c r="AZ33" s="596"/>
      <c r="BA33" s="6"/>
      <c r="BB33" s="5"/>
      <c r="BC33" s="5"/>
    </row>
    <row r="34" spans="1:56" ht="36.950000000000003" thickBot="1">
      <c r="A34" s="69" t="s">
        <v>131</v>
      </c>
      <c r="B34" s="7"/>
      <c r="C34" s="7"/>
      <c r="D34" s="7"/>
      <c r="E34" s="7"/>
      <c r="F34" s="7"/>
      <c r="G34" s="4"/>
      <c r="H34" s="150" t="s">
        <v>77</v>
      </c>
      <c r="I34" s="4"/>
      <c r="J34" s="7"/>
      <c r="K34" s="7"/>
      <c r="L34" s="6"/>
      <c r="M34" s="4"/>
      <c r="N34" s="4"/>
      <c r="O34" s="4"/>
      <c r="P34" s="4"/>
      <c r="Q34" s="4"/>
      <c r="R34" s="4"/>
      <c r="S34" s="17"/>
      <c r="T34" s="7"/>
      <c r="U34" s="4"/>
      <c r="V34" s="4"/>
      <c r="W34" s="4"/>
      <c r="X34" s="4"/>
      <c r="Y34" s="4"/>
      <c r="Z34" s="4"/>
      <c r="AA34" s="4"/>
      <c r="AB34" s="4"/>
      <c r="AC34" s="4"/>
      <c r="AD34" s="4"/>
      <c r="AE34" s="4"/>
      <c r="AF34" s="4"/>
      <c r="AG34" s="4"/>
      <c r="AH34" s="4"/>
      <c r="AI34" s="4"/>
      <c r="AJ34" s="6"/>
      <c r="AK34" s="6"/>
      <c r="AL34" s="6"/>
      <c r="AM34" s="598"/>
      <c r="AN34" s="4"/>
      <c r="AO34" s="6"/>
      <c r="AP34" s="4"/>
      <c r="AQ34" s="7"/>
      <c r="AR34" s="4"/>
      <c r="AS34" s="6"/>
      <c r="AT34" s="6"/>
      <c r="AU34" s="4"/>
      <c r="AV34" s="7"/>
      <c r="AW34" s="9"/>
      <c r="AX34" s="9"/>
      <c r="AY34" s="9"/>
      <c r="AZ34" s="596"/>
      <c r="BA34" s="6"/>
      <c r="BB34" s="5"/>
      <c r="BC34" s="5"/>
    </row>
    <row r="35" spans="1:56" ht="15" customHeight="1" thickBot="1">
      <c r="A35" s="681" t="s">
        <v>132</v>
      </c>
      <c r="B35" s="682"/>
      <c r="C35" s="682"/>
      <c r="D35" s="682"/>
      <c r="E35" s="689"/>
      <c r="F35" s="7"/>
      <c r="G35" s="7"/>
      <c r="H35" s="344"/>
      <c r="I35" s="7"/>
      <c r="J35" s="7"/>
      <c r="K35" s="7"/>
      <c r="L35" s="7"/>
      <c r="M35" s="7"/>
      <c r="N35" s="7"/>
      <c r="O35" s="7"/>
      <c r="P35" s="7"/>
      <c r="Q35" s="7"/>
      <c r="R35" s="7"/>
      <c r="S35" s="7"/>
      <c r="AA35" s="4"/>
      <c r="AB35" s="4"/>
      <c r="AC35" s="4"/>
      <c r="AD35" s="4"/>
      <c r="AE35" s="4"/>
      <c r="AF35" s="4"/>
      <c r="AG35" s="4"/>
      <c r="AH35" s="4"/>
      <c r="AI35" s="4"/>
      <c r="AJ35" s="6"/>
      <c r="AK35" s="6"/>
      <c r="AL35" s="6"/>
      <c r="AM35" s="598"/>
      <c r="AN35" s="4"/>
      <c r="AO35" s="6"/>
      <c r="AP35" s="4"/>
      <c r="AQ35" s="7"/>
      <c r="AR35" s="4"/>
      <c r="AS35" s="6"/>
      <c r="AT35" s="6"/>
      <c r="AU35" s="4"/>
      <c r="AV35" s="7"/>
      <c r="AW35" s="9"/>
      <c r="AX35" s="9"/>
      <c r="AY35" s="9"/>
      <c r="AZ35" s="596"/>
      <c r="BA35" s="6"/>
      <c r="BB35" s="5"/>
      <c r="BC35" s="5"/>
    </row>
    <row r="36" spans="1:56" ht="51">
      <c r="A36" s="146" t="s">
        <v>67</v>
      </c>
      <c r="B36" s="143" t="s">
        <v>68</v>
      </c>
      <c r="C36" s="142" t="s">
        <v>69</v>
      </c>
      <c r="D36" s="146" t="s">
        <v>133</v>
      </c>
      <c r="E36" s="143" t="s">
        <v>103</v>
      </c>
      <c r="F36" s="140" t="s">
        <v>123</v>
      </c>
      <c r="G36" s="4"/>
      <c r="H36" s="4"/>
      <c r="I36" s="4"/>
      <c r="J36" s="7"/>
      <c r="K36" s="7"/>
      <c r="L36" s="6"/>
      <c r="M36" s="4"/>
      <c r="N36" s="4"/>
      <c r="O36" s="4"/>
      <c r="P36" s="4"/>
      <c r="Q36" s="4"/>
      <c r="R36" s="4"/>
      <c r="S36" s="17"/>
      <c r="T36" s="7"/>
      <c r="U36" s="4"/>
      <c r="V36" s="4"/>
      <c r="W36" s="4"/>
      <c r="X36" s="4"/>
      <c r="Y36" s="4"/>
      <c r="Z36" s="4"/>
      <c r="AA36" s="4"/>
      <c r="AB36" s="4"/>
      <c r="AC36" s="4"/>
      <c r="AD36" s="4"/>
      <c r="AE36" s="4"/>
      <c r="AF36" s="4"/>
      <c r="AG36" s="4"/>
      <c r="AH36" s="4"/>
      <c r="AI36" s="4"/>
      <c r="AJ36" s="6"/>
      <c r="AK36" s="6"/>
      <c r="AL36" s="6"/>
      <c r="AM36" s="598"/>
      <c r="AN36" s="4"/>
      <c r="AO36" s="6"/>
      <c r="AP36" s="4"/>
      <c r="AQ36" s="7"/>
      <c r="AR36" s="4"/>
      <c r="AS36" s="6"/>
      <c r="AT36" s="6"/>
      <c r="AU36" s="4"/>
      <c r="AV36" s="7"/>
      <c r="AW36" s="9"/>
      <c r="AX36" s="9"/>
      <c r="AY36" s="9"/>
      <c r="AZ36" s="596"/>
      <c r="BA36" s="6"/>
      <c r="BB36" s="5"/>
      <c r="BC36" s="5"/>
    </row>
    <row r="37" spans="1:56">
      <c r="A37" s="344" t="s">
        <v>118</v>
      </c>
      <c r="B37" s="342"/>
      <c r="C37" s="344" t="s">
        <v>118</v>
      </c>
      <c r="D37" s="344"/>
      <c r="E37" s="344"/>
      <c r="F37" s="343"/>
      <c r="G37" s="6"/>
      <c r="H37" s="4"/>
      <c r="I37" s="4"/>
      <c r="J37" s="7"/>
      <c r="K37" s="7"/>
      <c r="L37" s="6"/>
      <c r="M37" s="4"/>
      <c r="N37" s="4"/>
      <c r="O37" s="4"/>
      <c r="P37" s="4"/>
      <c r="Q37" s="4"/>
      <c r="R37" s="4"/>
      <c r="S37" s="17"/>
      <c r="T37" s="7"/>
      <c r="U37" s="7"/>
      <c r="V37" s="7"/>
      <c r="W37" s="7"/>
      <c r="X37" s="7"/>
      <c r="Y37" s="7"/>
      <c r="Z37" s="7"/>
      <c r="AA37" s="7"/>
      <c r="AB37" s="7"/>
      <c r="AC37" s="7"/>
      <c r="AD37" s="7"/>
      <c r="AE37" s="7"/>
      <c r="AF37" s="7"/>
      <c r="AG37" s="7"/>
      <c r="AH37" s="7"/>
      <c r="AI37" s="7"/>
      <c r="AJ37" s="7"/>
      <c r="AK37" s="7"/>
      <c r="AL37" s="7"/>
      <c r="AM37" s="7"/>
      <c r="AN37" s="4"/>
      <c r="AO37" s="6"/>
      <c r="AP37" s="4"/>
      <c r="AQ37" s="7"/>
      <c r="AR37" s="4"/>
      <c r="AS37" s="6"/>
      <c r="AT37" s="6"/>
      <c r="AU37" s="4"/>
      <c r="AV37" s="7"/>
      <c r="AW37" s="9"/>
      <c r="AX37" s="9"/>
      <c r="AY37" s="9"/>
      <c r="AZ37" s="596"/>
      <c r="BA37" s="6"/>
      <c r="BB37" s="5"/>
      <c r="BC37" s="5"/>
    </row>
    <row r="38" spans="1:56">
      <c r="A38" s="17"/>
      <c r="B38" s="17"/>
      <c r="C38" s="17"/>
      <c r="D38" s="17"/>
      <c r="E38" s="17"/>
      <c r="F38" s="1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c r="AL38" s="7"/>
      <c r="AM38" s="7"/>
      <c r="AN38" s="4"/>
      <c r="AO38" s="6"/>
      <c r="AP38" s="4"/>
      <c r="AQ38" s="7"/>
      <c r="AR38" s="4"/>
      <c r="AS38" s="6"/>
      <c r="AT38" s="6"/>
      <c r="AU38" s="4"/>
      <c r="AV38" s="7"/>
      <c r="AW38" s="9"/>
      <c r="AX38" s="9"/>
      <c r="AY38" s="9"/>
      <c r="AZ38" s="596"/>
      <c r="BA38" s="6"/>
      <c r="BB38" s="5"/>
      <c r="BC38" s="5"/>
    </row>
    <row r="39" spans="1:56" ht="26.1">
      <c r="A39" s="67" t="s">
        <v>134</v>
      </c>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7"/>
      <c r="AG39" s="7"/>
      <c r="AH39" s="7"/>
      <c r="AI39" s="7"/>
      <c r="AJ39" s="7"/>
      <c r="AK39" s="7"/>
      <c r="AL39" s="7"/>
      <c r="AM39" s="7"/>
      <c r="AN39" s="4"/>
      <c r="AO39" s="6"/>
      <c r="AP39" s="4"/>
      <c r="AQ39" s="7"/>
      <c r="AR39" s="4"/>
      <c r="AS39" s="6"/>
      <c r="AT39" s="6"/>
      <c r="AU39" s="4"/>
      <c r="AV39" s="7"/>
      <c r="AW39" s="9"/>
      <c r="AX39" s="9"/>
      <c r="AY39" s="9"/>
      <c r="AZ39" s="596"/>
      <c r="BA39" s="6"/>
      <c r="BB39" s="5"/>
      <c r="BC39" s="5"/>
    </row>
    <row r="40" spans="1:56" ht="15" customHeight="1" thickBot="1">
      <c r="A40" s="690" t="s">
        <v>135</v>
      </c>
      <c r="B40" s="691"/>
      <c r="C40" s="691"/>
      <c r="D40" s="691"/>
      <c r="E40" s="691"/>
      <c r="F40" s="691"/>
      <c r="G40" s="691"/>
      <c r="H40" s="691"/>
      <c r="I40" s="691"/>
      <c r="J40" s="691"/>
      <c r="K40" s="691"/>
      <c r="L40" s="691"/>
      <c r="M40" s="691"/>
      <c r="N40" s="691"/>
      <c r="O40" s="691"/>
      <c r="P40" s="691"/>
      <c r="Q40" s="691"/>
      <c r="R40" s="691"/>
      <c r="S40" s="691"/>
      <c r="T40" s="691"/>
      <c r="U40" s="691"/>
      <c r="V40" s="691"/>
      <c r="W40" s="691"/>
      <c r="X40" s="691"/>
      <c r="Y40" s="691"/>
      <c r="Z40" s="691"/>
      <c r="AA40" s="691"/>
      <c r="AB40" s="692"/>
      <c r="AC40" s="4"/>
      <c r="AD40" s="4"/>
      <c r="AE40" s="4"/>
      <c r="AF40" s="4"/>
      <c r="AG40" s="7"/>
      <c r="AH40" s="7"/>
      <c r="AI40" s="7"/>
      <c r="AJ40" s="7"/>
      <c r="AK40" s="7"/>
      <c r="AL40" s="7"/>
      <c r="AM40" s="7"/>
      <c r="AN40" s="4"/>
      <c r="AO40" s="6"/>
      <c r="AP40" s="4"/>
      <c r="AQ40" s="7"/>
      <c r="AR40" s="4"/>
      <c r="AS40" s="6"/>
      <c r="AT40" s="6"/>
      <c r="AU40" s="4"/>
      <c r="AV40" s="7"/>
      <c r="AW40" s="9"/>
      <c r="AX40" s="9"/>
      <c r="AY40" s="9"/>
      <c r="AZ40" s="596"/>
      <c r="BA40" s="6"/>
      <c r="BB40" s="5"/>
      <c r="BC40" s="5"/>
    </row>
    <row r="41" spans="1:56" ht="89.45" customHeight="1">
      <c r="A41" s="142" t="s">
        <v>70</v>
      </c>
      <c r="B41" s="142" t="s">
        <v>72</v>
      </c>
      <c r="C41" s="142" t="s">
        <v>73</v>
      </c>
      <c r="D41" s="150" t="s">
        <v>77</v>
      </c>
      <c r="E41" s="153" t="s">
        <v>78</v>
      </c>
      <c r="F41" s="142" t="s">
        <v>79</v>
      </c>
      <c r="G41" s="142" t="s">
        <v>80</v>
      </c>
      <c r="H41" s="142" t="s">
        <v>81</v>
      </c>
      <c r="I41" s="142" t="s">
        <v>82</v>
      </c>
      <c r="J41" s="142" t="s">
        <v>83</v>
      </c>
      <c r="K41" s="142" t="s">
        <v>84</v>
      </c>
      <c r="L41" s="146" t="s">
        <v>86</v>
      </c>
      <c r="M41" s="142" t="s">
        <v>87</v>
      </c>
      <c r="N41" s="142" t="s">
        <v>88</v>
      </c>
      <c r="O41" s="142" t="s">
        <v>89</v>
      </c>
      <c r="P41" s="142" t="s">
        <v>90</v>
      </c>
      <c r="Q41" s="142" t="s">
        <v>91</v>
      </c>
      <c r="R41" s="142" t="s">
        <v>92</v>
      </c>
      <c r="S41" s="142" t="s">
        <v>93</v>
      </c>
      <c r="T41" s="142" t="s">
        <v>94</v>
      </c>
      <c r="U41" s="142" t="s">
        <v>95</v>
      </c>
      <c r="V41" s="154" t="s">
        <v>97</v>
      </c>
      <c r="W41" s="144" t="s">
        <v>106</v>
      </c>
      <c r="X41" s="145" t="s">
        <v>107</v>
      </c>
      <c r="Y41" s="145" t="s">
        <v>108</v>
      </c>
      <c r="Z41" s="158" t="s">
        <v>115</v>
      </c>
      <c r="AA41" s="159" t="s">
        <v>116</v>
      </c>
      <c r="AB41" s="160" t="s">
        <v>117</v>
      </c>
      <c r="AC41" s="4"/>
      <c r="AD41" s="4"/>
      <c r="AE41" s="4"/>
      <c r="AF41" s="4"/>
      <c r="AG41" s="4"/>
      <c r="AH41" s="4"/>
      <c r="AI41" s="4"/>
      <c r="AJ41" s="4"/>
      <c r="AK41" s="6"/>
      <c r="AL41" s="6"/>
      <c r="AM41" s="6"/>
      <c r="AN41" s="598"/>
      <c r="AO41" s="4"/>
      <c r="AP41" s="6"/>
      <c r="AQ41" s="4"/>
      <c r="AR41" s="7"/>
      <c r="AS41" s="4"/>
      <c r="AT41" s="6"/>
      <c r="AU41" s="6"/>
      <c r="AV41" s="4"/>
      <c r="AW41" s="7"/>
      <c r="AX41" s="9"/>
      <c r="AY41" s="9"/>
      <c r="AZ41" s="9"/>
      <c r="BA41" s="596"/>
      <c r="BB41" s="6"/>
      <c r="BC41" s="5"/>
      <c r="BD41" s="5"/>
    </row>
    <row r="42" spans="1:56">
      <c r="A42" s="344" t="s">
        <v>118</v>
      </c>
      <c r="B42" s="344" t="s">
        <v>118</v>
      </c>
      <c r="C42" s="344"/>
      <c r="D42" s="344"/>
      <c r="E42" s="344" t="b">
        <v>1</v>
      </c>
      <c r="F42" s="344"/>
      <c r="G42" s="344"/>
      <c r="H42" s="344"/>
      <c r="I42" s="344"/>
      <c r="J42" s="344"/>
      <c r="K42" s="344"/>
      <c r="L42" s="344" t="s">
        <v>118</v>
      </c>
      <c r="M42" s="344" t="s">
        <v>118</v>
      </c>
      <c r="N42" s="344" t="s">
        <v>118</v>
      </c>
      <c r="O42" s="344" t="s">
        <v>118</v>
      </c>
      <c r="P42" s="344" t="s">
        <v>118</v>
      </c>
      <c r="Q42" s="344" t="s">
        <v>118</v>
      </c>
      <c r="R42" s="344" t="s">
        <v>118</v>
      </c>
      <c r="S42" s="344" t="s">
        <v>118</v>
      </c>
      <c r="T42" s="344" t="s">
        <v>118</v>
      </c>
      <c r="U42" s="344" t="s">
        <v>118</v>
      </c>
      <c r="V42" s="344"/>
      <c r="W42" s="319" t="s">
        <v>118</v>
      </c>
      <c r="X42" s="319"/>
      <c r="Y42" s="344"/>
      <c r="Z42" s="344"/>
      <c r="AA42" s="344"/>
      <c r="AB42" s="344"/>
      <c r="AC42" s="4"/>
      <c r="AD42" s="4"/>
      <c r="AE42" s="4"/>
      <c r="AF42" s="4"/>
      <c r="AG42" s="7"/>
      <c r="AH42" s="7"/>
      <c r="AI42" s="7"/>
      <c r="AJ42" s="7"/>
      <c r="AK42" s="7"/>
      <c r="AL42" s="7"/>
      <c r="AM42" s="598"/>
      <c r="AN42" s="4"/>
      <c r="AO42" s="6"/>
      <c r="AP42" s="4"/>
      <c r="AQ42" s="7"/>
      <c r="AR42" s="4"/>
      <c r="AS42" s="6"/>
      <c r="AT42" s="6"/>
      <c r="AU42" s="4"/>
      <c r="AV42" s="7"/>
      <c r="AW42" s="9"/>
      <c r="AX42" s="9"/>
      <c r="AY42" s="9"/>
      <c r="AZ42" s="596"/>
      <c r="BA42" s="6"/>
      <c r="BB42" s="5"/>
      <c r="BC42" s="5"/>
    </row>
    <row r="43" spans="1:56">
      <c r="A43" s="17"/>
      <c r="B43" s="17"/>
      <c r="C43" s="17"/>
      <c r="D43" s="17"/>
      <c r="E43" s="17"/>
      <c r="F43" s="17"/>
      <c r="G43" s="17"/>
      <c r="H43" s="17"/>
      <c r="I43" s="17"/>
      <c r="J43" s="17"/>
      <c r="K43" s="17"/>
      <c r="L43" s="17"/>
      <c r="M43" s="17"/>
      <c r="N43" s="17"/>
      <c r="O43" s="17"/>
      <c r="P43" s="17"/>
      <c r="Q43" s="17"/>
      <c r="R43" s="17"/>
      <c r="S43" s="17"/>
      <c r="T43" s="17"/>
      <c r="U43" s="7"/>
      <c r="V43" s="7"/>
      <c r="W43" s="7"/>
      <c r="X43" s="7"/>
      <c r="Y43" s="7"/>
      <c r="Z43" s="7"/>
      <c r="AA43" s="7"/>
      <c r="AB43" s="7"/>
      <c r="AC43" s="7"/>
      <c r="AD43" s="7"/>
      <c r="AE43" s="7"/>
      <c r="AF43" s="7"/>
      <c r="AG43" s="7"/>
      <c r="AH43" s="7"/>
      <c r="AI43" s="7"/>
      <c r="AJ43" s="7"/>
      <c r="AK43" s="7"/>
      <c r="AL43" s="7"/>
      <c r="AM43" s="598"/>
      <c r="AN43" s="4"/>
      <c r="AO43" s="6"/>
      <c r="AP43" s="4"/>
      <c r="AQ43" s="7"/>
      <c r="AR43" s="4"/>
      <c r="AS43" s="6"/>
      <c r="AT43" s="6"/>
      <c r="AU43" s="4"/>
      <c r="AV43" s="7"/>
      <c r="AW43" s="9"/>
      <c r="AX43" s="9"/>
      <c r="AY43" s="9"/>
      <c r="AZ43" s="596"/>
      <c r="BA43" s="6"/>
      <c r="BB43" s="5"/>
      <c r="BC43" s="5"/>
    </row>
    <row r="44" spans="1:56" ht="15" thickBot="1">
      <c r="A44" s="67" t="s">
        <v>136</v>
      </c>
      <c r="B44" s="19"/>
      <c r="C44" s="19"/>
      <c r="D44" s="19"/>
      <c r="E44" s="19"/>
      <c r="F44" s="19"/>
      <c r="G44" s="19"/>
      <c r="H44" s="19"/>
      <c r="I44" s="19"/>
      <c r="J44" s="19"/>
      <c r="K44" s="19"/>
      <c r="L44" s="19"/>
      <c r="M44" s="19"/>
      <c r="N44" s="7"/>
      <c r="O44" s="7"/>
      <c r="P44" s="7"/>
      <c r="Q44" s="7"/>
      <c r="R44" s="7"/>
      <c r="S44" s="7"/>
      <c r="T44" s="7"/>
      <c r="U44" s="7"/>
      <c r="V44" s="7"/>
      <c r="W44" s="7"/>
      <c r="X44" s="7"/>
      <c r="Y44" s="7"/>
      <c r="Z44" s="7"/>
      <c r="AA44" s="7"/>
      <c r="AB44" s="7"/>
      <c r="AC44" s="7"/>
      <c r="AD44" s="7"/>
      <c r="AE44" s="7"/>
      <c r="AF44" s="7"/>
      <c r="AG44" s="7"/>
      <c r="AH44" s="7"/>
      <c r="AI44" s="7"/>
      <c r="AJ44" s="7"/>
      <c r="AK44" s="7"/>
      <c r="AL44" s="7"/>
      <c r="AM44" s="598"/>
      <c r="AN44" s="4"/>
      <c r="AO44" s="6"/>
      <c r="AP44" s="4"/>
      <c r="AQ44" s="7"/>
      <c r="AR44" s="4"/>
      <c r="AS44" s="6"/>
      <c r="AT44" s="6"/>
      <c r="AU44" s="4"/>
      <c r="AV44" s="7"/>
      <c r="AW44" s="9"/>
      <c r="AX44" s="9"/>
      <c r="AY44" s="9"/>
      <c r="AZ44" s="596"/>
      <c r="BA44" s="6"/>
      <c r="BB44" s="5"/>
      <c r="BC44" s="5"/>
    </row>
    <row r="45" spans="1:56" ht="15" customHeight="1" thickBot="1">
      <c r="A45" s="678" t="s">
        <v>121</v>
      </c>
      <c r="B45" s="679"/>
      <c r="C45" s="679"/>
      <c r="D45" s="679"/>
      <c r="E45" s="679"/>
      <c r="F45" s="679"/>
      <c r="G45" s="679"/>
      <c r="H45" s="679"/>
      <c r="I45" s="679"/>
      <c r="J45" s="679"/>
      <c r="K45" s="679"/>
      <c r="L45" s="679"/>
      <c r="M45" s="680"/>
      <c r="N45" s="9"/>
      <c r="O45" s="7"/>
      <c r="P45" s="7"/>
      <c r="Q45" s="7"/>
      <c r="R45" s="7"/>
      <c r="S45" s="7"/>
      <c r="T45" s="7"/>
      <c r="U45" s="7"/>
      <c r="V45" s="7"/>
      <c r="W45" s="7"/>
      <c r="X45" s="7"/>
      <c r="Y45" s="7"/>
      <c r="Z45" s="7"/>
      <c r="AA45" s="7"/>
      <c r="AB45" s="7"/>
      <c r="AC45" s="7"/>
      <c r="AD45" s="7"/>
      <c r="AE45" s="7"/>
      <c r="AF45" s="7"/>
      <c r="AG45" s="7"/>
      <c r="AH45" s="7"/>
      <c r="AI45" s="7"/>
      <c r="AJ45" s="7"/>
      <c r="AK45" s="7"/>
      <c r="AL45" s="7"/>
      <c r="AM45" s="598"/>
      <c r="AN45" s="4"/>
      <c r="AO45" s="6"/>
      <c r="AP45" s="4"/>
      <c r="AQ45" s="7"/>
      <c r="AR45" s="4"/>
      <c r="AS45" s="6"/>
      <c r="AT45" s="6"/>
      <c r="AU45" s="4"/>
      <c r="AV45" s="7"/>
      <c r="AW45" s="9"/>
      <c r="AX45" s="9"/>
      <c r="AY45" s="9"/>
      <c r="AZ45" s="596"/>
      <c r="BA45" s="6"/>
      <c r="BB45" s="5"/>
      <c r="BC45" s="5"/>
    </row>
    <row r="46" spans="1:56" ht="61.5">
      <c r="A46" s="146" t="s">
        <v>67</v>
      </c>
      <c r="B46" s="143" t="s">
        <v>68</v>
      </c>
      <c r="C46" s="142" t="s">
        <v>69</v>
      </c>
      <c r="D46" s="142" t="s">
        <v>70</v>
      </c>
      <c r="E46" s="153" t="s">
        <v>137</v>
      </c>
      <c r="F46" s="142" t="s">
        <v>79</v>
      </c>
      <c r="G46" s="142" t="s">
        <v>80</v>
      </c>
      <c r="H46" s="142" t="s">
        <v>81</v>
      </c>
      <c r="I46" s="142" t="s">
        <v>82</v>
      </c>
      <c r="J46" s="142" t="s">
        <v>83</v>
      </c>
      <c r="K46" s="142" t="s">
        <v>84</v>
      </c>
      <c r="L46" s="143" t="s">
        <v>103</v>
      </c>
      <c r="M46" s="143" t="s">
        <v>138</v>
      </c>
      <c r="N46" s="4"/>
      <c r="O46" s="4"/>
      <c r="P46" s="4"/>
      <c r="Q46" s="4"/>
      <c r="R46" s="4"/>
      <c r="S46" s="17"/>
      <c r="T46" s="604"/>
      <c r="U46" s="4"/>
      <c r="V46" s="4"/>
      <c r="W46" s="4"/>
      <c r="X46" s="4"/>
      <c r="Y46" s="4"/>
      <c r="Z46" s="4"/>
      <c r="AA46" s="4"/>
      <c r="AB46" s="4"/>
      <c r="AC46" s="4"/>
      <c r="AD46" s="5"/>
      <c r="AE46" s="9"/>
      <c r="AF46" s="604"/>
      <c r="AG46" s="4"/>
      <c r="AH46" s="4"/>
      <c r="AI46" s="4"/>
      <c r="AJ46" s="6"/>
      <c r="AK46" s="6"/>
      <c r="AL46" s="6"/>
      <c r="AM46" s="598"/>
      <c r="AN46" s="4"/>
      <c r="AO46" s="6"/>
      <c r="AP46" s="4"/>
      <c r="AQ46" s="7"/>
      <c r="AR46" s="4"/>
      <c r="AS46" s="6"/>
      <c r="AT46" s="6"/>
      <c r="AU46" s="4"/>
      <c r="AV46" s="7"/>
      <c r="AW46" s="9"/>
      <c r="AX46" s="9"/>
      <c r="AY46" s="9"/>
      <c r="AZ46" s="596"/>
      <c r="BA46" s="6"/>
      <c r="BB46" s="5"/>
      <c r="BC46" s="5"/>
    </row>
    <row r="47" spans="1:56" ht="17.45" customHeight="1">
      <c r="A47" s="344" t="s">
        <v>118</v>
      </c>
      <c r="B47" s="342" t="s">
        <v>139</v>
      </c>
      <c r="C47" s="344" t="s">
        <v>140</v>
      </c>
      <c r="D47" s="344" t="s">
        <v>141</v>
      </c>
      <c r="E47" s="344">
        <v>0</v>
      </c>
      <c r="F47" s="344" t="s">
        <v>142</v>
      </c>
      <c r="G47" s="344" t="s">
        <v>142</v>
      </c>
      <c r="H47" s="344" t="s">
        <v>142</v>
      </c>
      <c r="I47" s="344" t="s">
        <v>142</v>
      </c>
      <c r="J47" s="344" t="s">
        <v>142</v>
      </c>
      <c r="K47" s="344" t="s">
        <v>142</v>
      </c>
      <c r="L47" s="344">
        <v>0</v>
      </c>
      <c r="M47" s="458" t="s">
        <v>143</v>
      </c>
      <c r="N47" s="7"/>
      <c r="O47" s="7"/>
      <c r="P47" s="7"/>
      <c r="Q47" s="7"/>
      <c r="R47" s="7"/>
      <c r="S47" s="7"/>
      <c r="T47" s="7"/>
      <c r="U47" s="7"/>
      <c r="V47" s="7"/>
      <c r="W47" s="7"/>
      <c r="X47" s="7"/>
      <c r="Y47" s="7"/>
      <c r="Z47" s="7"/>
      <c r="AA47" s="7"/>
      <c r="AB47" s="7"/>
      <c r="AC47" s="7"/>
      <c r="AD47" s="7"/>
      <c r="AE47" s="7"/>
      <c r="AF47" s="7"/>
      <c r="AG47" s="7"/>
      <c r="AH47" s="7"/>
      <c r="AI47" s="7"/>
      <c r="AJ47" s="7"/>
      <c r="AK47" s="7"/>
      <c r="AL47" s="7"/>
      <c r="AM47" s="7"/>
      <c r="AN47" s="7"/>
      <c r="AO47" s="7"/>
      <c r="AP47" s="7"/>
      <c r="AQ47" s="7"/>
      <c r="AR47" s="7"/>
      <c r="AS47" s="7"/>
      <c r="AT47" s="7"/>
      <c r="AU47" s="4"/>
      <c r="AV47" s="7"/>
      <c r="AW47" s="9"/>
      <c r="AX47" s="9"/>
      <c r="AY47" s="9"/>
      <c r="AZ47" s="596"/>
      <c r="BA47" s="6"/>
      <c r="BB47" s="5"/>
      <c r="BC47" s="5"/>
    </row>
    <row r="48" spans="1:56">
      <c r="A48" s="17"/>
      <c r="B48" s="17"/>
      <c r="C48" s="17"/>
      <c r="D48" s="17"/>
      <c r="E48" s="17"/>
      <c r="F48" s="17"/>
      <c r="H48" s="17"/>
      <c r="I48" s="17"/>
      <c r="J48" s="17"/>
      <c r="K48" s="17"/>
      <c r="L48" s="17"/>
      <c r="M48" s="7"/>
      <c r="N48" s="7"/>
      <c r="O48" s="7"/>
      <c r="P48" s="7"/>
      <c r="Q48" s="7"/>
      <c r="R48" s="7"/>
      <c r="S48" s="7"/>
      <c r="T48" s="7"/>
      <c r="U48" s="7"/>
      <c r="V48" s="7"/>
      <c r="W48" s="7"/>
      <c r="X48" s="7"/>
      <c r="Y48" s="7"/>
      <c r="Z48" s="7"/>
      <c r="AA48" s="7"/>
      <c r="AB48" s="7"/>
      <c r="AC48" s="7"/>
      <c r="AD48" s="7"/>
      <c r="AE48" s="7"/>
      <c r="AF48" s="7"/>
      <c r="AG48" s="7"/>
      <c r="AH48" s="7"/>
      <c r="AI48" s="7"/>
      <c r="AJ48" s="7"/>
      <c r="AK48" s="7"/>
      <c r="AL48" s="7"/>
      <c r="AM48" s="7"/>
      <c r="AN48" s="7"/>
      <c r="AO48" s="7"/>
      <c r="AP48" s="7"/>
      <c r="AQ48" s="7"/>
      <c r="AR48" s="7"/>
      <c r="AS48" s="7"/>
      <c r="AT48" s="7"/>
      <c r="AU48" s="4"/>
      <c r="AV48" s="7"/>
      <c r="AW48" s="9"/>
      <c r="AX48" s="9"/>
      <c r="AY48" s="9"/>
      <c r="AZ48" s="596"/>
      <c r="BA48" s="6"/>
      <c r="BB48" s="5"/>
      <c r="BC48" s="5"/>
    </row>
    <row r="49" spans="1:57">
      <c r="A49" s="7"/>
      <c r="B49" s="7"/>
      <c r="C49" s="7"/>
      <c r="D49" s="7"/>
      <c r="E49" s="7"/>
      <c r="F49" s="7"/>
      <c r="G49" s="7"/>
      <c r="H49" s="7"/>
      <c r="I49" s="7"/>
      <c r="J49" s="7"/>
      <c r="K49" s="7"/>
      <c r="L49" s="7"/>
      <c r="M49" s="7"/>
      <c r="N49" s="7"/>
      <c r="O49" s="7"/>
      <c r="P49" s="7"/>
      <c r="Q49" s="7"/>
      <c r="R49" s="7"/>
      <c r="S49" s="7"/>
      <c r="T49" s="7"/>
      <c r="U49" s="7"/>
      <c r="V49" s="7"/>
      <c r="W49" s="17"/>
      <c r="X49" s="7"/>
      <c r="Y49" s="7"/>
      <c r="Z49" s="7"/>
      <c r="AA49" s="7"/>
      <c r="AB49" s="7"/>
      <c r="AC49" s="7"/>
      <c r="AD49" s="7"/>
      <c r="AE49" s="7"/>
      <c r="AF49" s="7"/>
      <c r="AG49" s="7"/>
      <c r="AH49" s="7"/>
      <c r="AI49" s="7"/>
      <c r="AJ49" s="7"/>
      <c r="AK49" s="7"/>
      <c r="AL49" s="7"/>
      <c r="AM49" s="7"/>
      <c r="AN49" s="7"/>
      <c r="AO49" s="7"/>
      <c r="AP49" s="7"/>
      <c r="AQ49" s="7"/>
      <c r="AR49" s="7"/>
      <c r="AS49" s="7"/>
      <c r="AT49" s="7"/>
      <c r="AU49" s="4"/>
      <c r="AV49" s="7"/>
      <c r="AW49" s="9"/>
      <c r="AX49" s="9"/>
      <c r="AY49" s="9"/>
      <c r="AZ49" s="596"/>
      <c r="BA49" s="6"/>
      <c r="BB49" s="5"/>
      <c r="BC49" s="5"/>
    </row>
    <row r="50" spans="1:57" ht="26.45" thickBot="1">
      <c r="A50" s="64" t="s">
        <v>124</v>
      </c>
      <c r="B50" s="66"/>
      <c r="C50" s="66"/>
      <c r="D50" s="65"/>
      <c r="E50" s="66"/>
      <c r="F50" s="66"/>
      <c r="G50" s="66"/>
      <c r="H50" s="66"/>
      <c r="I50" s="66"/>
      <c r="J50" s="62"/>
      <c r="K50" s="19"/>
      <c r="L50" s="597"/>
      <c r="M50" s="66"/>
      <c r="N50" s="66"/>
      <c r="O50" s="66"/>
      <c r="P50" s="66"/>
      <c r="Q50" s="66"/>
      <c r="R50" s="66"/>
      <c r="S50" s="62"/>
      <c r="T50" s="19"/>
      <c r="U50" s="66"/>
      <c r="V50" s="66"/>
      <c r="W50" s="66"/>
      <c r="X50" s="66"/>
      <c r="Y50" s="66"/>
      <c r="Z50" s="66"/>
      <c r="AA50" s="66"/>
      <c r="AC50" s="4"/>
      <c r="AD50" s="4"/>
      <c r="AE50" s="4"/>
      <c r="AF50" s="4"/>
      <c r="AG50" s="4"/>
      <c r="AH50" s="4"/>
      <c r="AI50" s="4"/>
      <c r="AJ50" s="6"/>
      <c r="AK50" s="6"/>
      <c r="AL50" s="6"/>
      <c r="AM50" s="598"/>
      <c r="AN50" s="4"/>
      <c r="AO50" s="6"/>
      <c r="AP50" s="4"/>
      <c r="AQ50" s="7"/>
      <c r="AR50" s="4"/>
      <c r="AS50" s="6"/>
      <c r="AT50" s="6"/>
      <c r="AU50" s="4"/>
      <c r="AV50" s="7"/>
      <c r="AW50" s="9"/>
      <c r="AX50" s="9"/>
      <c r="AY50" s="9"/>
      <c r="AZ50" s="596"/>
      <c r="BA50" s="6"/>
      <c r="BB50" s="5"/>
      <c r="BC50" s="5"/>
    </row>
    <row r="51" spans="1:57" ht="15.75" customHeight="1" thickBot="1">
      <c r="A51" s="681" t="s">
        <v>121</v>
      </c>
      <c r="B51" s="682"/>
      <c r="C51" s="682"/>
      <c r="D51" s="682"/>
      <c r="E51" s="682"/>
      <c r="F51" s="682"/>
      <c r="G51" s="682"/>
      <c r="H51" s="682"/>
      <c r="I51" s="682"/>
      <c r="J51" s="682"/>
      <c r="K51" s="682"/>
      <c r="L51" s="682"/>
      <c r="M51" s="682"/>
      <c r="N51" s="682"/>
      <c r="O51" s="682"/>
      <c r="P51" s="682"/>
      <c r="Q51" s="682"/>
      <c r="R51" s="682"/>
      <c r="S51" s="682"/>
      <c r="T51" s="682"/>
      <c r="U51" s="682"/>
      <c r="V51" s="682"/>
      <c r="W51" s="682"/>
      <c r="X51" s="682"/>
      <c r="Y51" s="682"/>
      <c r="Z51" s="682"/>
      <c r="AA51" s="682"/>
      <c r="AB51" s="683"/>
      <c r="AC51" s="6"/>
      <c r="AD51" s="4"/>
      <c r="AE51" s="4"/>
      <c r="AF51" s="4"/>
      <c r="AG51" s="4"/>
      <c r="AH51" s="4"/>
      <c r="AI51" s="4"/>
      <c r="AJ51" s="4"/>
      <c r="AK51" s="6"/>
      <c r="AL51" s="6"/>
      <c r="AM51" s="6"/>
      <c r="AN51" s="598"/>
      <c r="AO51" s="4"/>
      <c r="AP51" s="6"/>
      <c r="AQ51" s="4"/>
      <c r="AR51" s="7"/>
      <c r="AS51" s="4"/>
      <c r="AT51" s="6"/>
      <c r="AU51" s="6"/>
      <c r="AV51" s="4"/>
      <c r="AW51" s="7"/>
      <c r="AX51" s="9"/>
      <c r="AY51" s="9"/>
      <c r="AZ51" s="9"/>
      <c r="BA51" s="596"/>
      <c r="BB51" s="6"/>
      <c r="BC51" s="5"/>
      <c r="BD51" s="5"/>
    </row>
    <row r="52" spans="1:57" ht="61.5">
      <c r="A52" s="146" t="s">
        <v>67</v>
      </c>
      <c r="B52" s="143" t="s">
        <v>68</v>
      </c>
      <c r="C52" s="142" t="s">
        <v>69</v>
      </c>
      <c r="D52" s="142" t="s">
        <v>72</v>
      </c>
      <c r="E52" s="142" t="s">
        <v>122</v>
      </c>
      <c r="F52" s="142" t="s">
        <v>73</v>
      </c>
      <c r="G52" s="142" t="s">
        <v>74</v>
      </c>
      <c r="H52" s="149" t="s">
        <v>76</v>
      </c>
      <c r="I52" s="150" t="s">
        <v>77</v>
      </c>
      <c r="J52" s="142" t="s">
        <v>79</v>
      </c>
      <c r="K52" s="142" t="s">
        <v>80</v>
      </c>
      <c r="L52" s="142" t="s">
        <v>81</v>
      </c>
      <c r="M52" s="142" t="s">
        <v>82</v>
      </c>
      <c r="N52" s="142" t="s">
        <v>83</v>
      </c>
      <c r="O52" s="142" t="s">
        <v>84</v>
      </c>
      <c r="P52" s="142" t="s">
        <v>93</v>
      </c>
      <c r="Q52" s="142" t="s">
        <v>94</v>
      </c>
      <c r="R52" s="142" t="s">
        <v>95</v>
      </c>
      <c r="S52" s="142" t="s">
        <v>144</v>
      </c>
      <c r="T52" s="143" t="s">
        <v>103</v>
      </c>
      <c r="U52" s="142" t="s">
        <v>100</v>
      </c>
      <c r="V52" s="142" t="s">
        <v>101</v>
      </c>
      <c r="W52" s="147">
        <v>3230</v>
      </c>
      <c r="X52" s="147">
        <v>3250</v>
      </c>
      <c r="Y52" s="147">
        <v>3230</v>
      </c>
      <c r="Z52" s="148">
        <v>3250</v>
      </c>
      <c r="AA52" s="144" t="s">
        <v>106</v>
      </c>
      <c r="AB52" s="145" t="s">
        <v>107</v>
      </c>
      <c r="AC52" s="140" t="s">
        <v>123</v>
      </c>
      <c r="AD52" s="4"/>
      <c r="AE52" s="4"/>
      <c r="AF52" s="4"/>
      <c r="AG52" s="4"/>
      <c r="AH52" s="4"/>
      <c r="AI52" s="4"/>
      <c r="AJ52" s="4"/>
      <c r="AK52" s="6"/>
      <c r="AL52" s="6"/>
      <c r="AM52" s="6"/>
      <c r="AN52" s="598"/>
      <c r="AO52" s="4"/>
      <c r="AP52" s="6"/>
      <c r="AQ52" s="4"/>
      <c r="AR52" s="7"/>
      <c r="AS52" s="4"/>
      <c r="AT52" s="6"/>
      <c r="AU52" s="6"/>
      <c r="AV52" s="4"/>
      <c r="AW52" s="7"/>
      <c r="AX52" s="9"/>
      <c r="AY52" s="9"/>
      <c r="AZ52" s="9"/>
      <c r="BA52" s="4"/>
      <c r="BB52" s="6"/>
      <c r="BC52" s="5"/>
      <c r="BD52" s="5"/>
    </row>
    <row r="53" spans="1:57">
      <c r="A53" s="344" t="s">
        <v>118</v>
      </c>
      <c r="B53" s="342"/>
      <c r="C53" s="344" t="s">
        <v>118</v>
      </c>
      <c r="D53" s="344"/>
      <c r="E53" s="344" t="s">
        <v>118</v>
      </c>
      <c r="F53" s="344"/>
      <c r="G53" s="344" t="s">
        <v>118</v>
      </c>
      <c r="H53" s="344" t="s">
        <v>118</v>
      </c>
      <c r="I53" s="344"/>
      <c r="J53" s="344"/>
      <c r="K53" s="344"/>
      <c r="L53" s="344"/>
      <c r="M53" s="344"/>
      <c r="N53" s="344"/>
      <c r="O53" s="344"/>
      <c r="P53" s="344" t="s">
        <v>118</v>
      </c>
      <c r="Q53" s="344" t="s">
        <v>118</v>
      </c>
      <c r="R53" s="344"/>
      <c r="S53" s="344" t="s">
        <v>118</v>
      </c>
      <c r="T53" s="344"/>
      <c r="U53" s="344"/>
      <c r="V53" s="344"/>
      <c r="W53" s="344"/>
      <c r="X53" s="344"/>
      <c r="Y53" s="344"/>
      <c r="Z53" s="344"/>
      <c r="AA53" s="344" t="s">
        <v>118</v>
      </c>
      <c r="AB53" s="344"/>
      <c r="AC53" s="343"/>
      <c r="AD53" s="6"/>
      <c r="AE53" s="4"/>
      <c r="AF53" s="4"/>
      <c r="AG53" s="4"/>
      <c r="AH53" s="4"/>
      <c r="AI53" s="4"/>
      <c r="AJ53" s="4"/>
      <c r="AK53" s="6"/>
      <c r="AL53" s="6"/>
      <c r="AM53" s="6"/>
      <c r="AN53" s="598"/>
      <c r="AO53" s="4"/>
      <c r="AP53" s="6"/>
      <c r="AQ53" s="4"/>
      <c r="AR53" s="7"/>
      <c r="AS53" s="4"/>
      <c r="AT53" s="6"/>
      <c r="AU53" s="6"/>
      <c r="AV53" s="4"/>
      <c r="AW53" s="7"/>
      <c r="AX53" s="9"/>
      <c r="AY53" s="9"/>
      <c r="AZ53" s="9"/>
      <c r="BA53" s="596"/>
      <c r="BB53" s="6"/>
      <c r="BC53" s="5"/>
      <c r="BD53" s="5"/>
    </row>
    <row r="54" spans="1:57">
      <c r="A54" s="17"/>
      <c r="B54" s="17"/>
      <c r="C54" s="17"/>
      <c r="D54" s="17"/>
      <c r="E54" s="17"/>
      <c r="F54" s="17"/>
      <c r="G54" s="17"/>
      <c r="H54" s="17"/>
      <c r="I54" s="17"/>
      <c r="J54" s="17"/>
      <c r="K54" s="17"/>
      <c r="L54" s="17"/>
      <c r="M54" s="17"/>
      <c r="N54" s="17"/>
      <c r="O54" s="17"/>
      <c r="P54" s="17"/>
      <c r="Q54" s="17"/>
      <c r="R54" s="17"/>
      <c r="S54" s="17"/>
      <c r="T54" s="17"/>
      <c r="U54" s="16"/>
      <c r="V54" s="16"/>
      <c r="W54" s="16"/>
      <c r="X54" s="16"/>
      <c r="Y54" s="16"/>
      <c r="Z54" s="16"/>
      <c r="AA54" s="16"/>
      <c r="AB54" s="16"/>
      <c r="AC54" s="4"/>
      <c r="AD54" s="4"/>
      <c r="AE54" s="4"/>
      <c r="AF54" s="4"/>
      <c r="AG54" s="4"/>
      <c r="AH54" s="4"/>
      <c r="AI54" s="4"/>
      <c r="AJ54" s="6"/>
      <c r="AK54" s="6"/>
      <c r="AL54" s="6"/>
      <c r="AM54" s="598"/>
      <c r="AN54" s="4"/>
      <c r="AO54" s="6"/>
      <c r="AP54" s="4"/>
      <c r="AQ54" s="7"/>
      <c r="AR54" s="4"/>
      <c r="AS54" s="6"/>
      <c r="AT54" s="6"/>
      <c r="AU54" s="4"/>
      <c r="AV54" s="7"/>
      <c r="AW54" s="9"/>
      <c r="AX54" s="9"/>
      <c r="AY54" s="9"/>
      <c r="AZ54" s="596"/>
      <c r="BA54" s="6"/>
      <c r="BB54" s="5"/>
      <c r="BC54" s="5"/>
    </row>
    <row r="55" spans="1:57" ht="26.45" thickBot="1">
      <c r="A55" s="19" t="s">
        <v>126</v>
      </c>
      <c r="B55" s="19"/>
      <c r="C55" s="19"/>
      <c r="D55" s="19"/>
      <c r="E55" s="19"/>
      <c r="F55" s="19"/>
      <c r="G55" s="19"/>
      <c r="H55" s="19"/>
      <c r="I55" s="19"/>
      <c r="J55" s="19"/>
      <c r="K55" s="19"/>
      <c r="L55" s="19"/>
      <c r="M55" s="19"/>
      <c r="N55" s="19"/>
      <c r="O55" s="19"/>
      <c r="P55" s="19"/>
      <c r="Q55" s="19"/>
      <c r="R55" s="19"/>
      <c r="S55" s="19"/>
      <c r="T55" s="19"/>
      <c r="U55" s="66"/>
      <c r="V55" s="4"/>
      <c r="W55" s="4"/>
      <c r="X55" s="4"/>
      <c r="Y55" s="4"/>
      <c r="Z55" s="4"/>
      <c r="AA55" s="4"/>
      <c r="AB55" s="4"/>
      <c r="AC55" s="4"/>
      <c r="AD55" s="4"/>
      <c r="AE55" s="4"/>
      <c r="AF55" s="4"/>
      <c r="AG55" s="4"/>
      <c r="AH55" s="4"/>
      <c r="AI55" s="4"/>
      <c r="AJ55" s="6"/>
      <c r="AK55" s="6"/>
      <c r="AL55" s="6"/>
      <c r="AM55" s="598"/>
      <c r="AN55" s="4"/>
      <c r="AO55" s="6"/>
      <c r="AP55" s="4"/>
      <c r="AQ55" s="7"/>
      <c r="AR55" s="4"/>
      <c r="AS55" s="6"/>
      <c r="AT55" s="6"/>
      <c r="AU55" s="4"/>
      <c r="AV55" s="7"/>
      <c r="AW55" s="9"/>
      <c r="AX55" s="9"/>
      <c r="AY55" s="9"/>
      <c r="AZ55" s="596"/>
      <c r="BA55" s="6"/>
      <c r="BB55" s="5"/>
      <c r="BC55" s="5"/>
    </row>
    <row r="56" spans="1:57" ht="15.75" customHeight="1" thickBot="1">
      <c r="A56" s="681" t="s">
        <v>121</v>
      </c>
      <c r="B56" s="682"/>
      <c r="C56" s="682"/>
      <c r="D56" s="682"/>
      <c r="E56" s="682"/>
      <c r="F56" s="682"/>
      <c r="G56" s="682"/>
      <c r="H56" s="682"/>
      <c r="I56" s="682"/>
      <c r="J56" s="682"/>
      <c r="K56" s="682"/>
      <c r="L56" s="682"/>
      <c r="M56" s="682"/>
      <c r="N56" s="682"/>
      <c r="O56" s="682"/>
      <c r="P56" s="682"/>
      <c r="Q56" s="682"/>
      <c r="R56" s="682"/>
      <c r="S56" s="682"/>
      <c r="T56" s="682"/>
      <c r="U56" s="682"/>
      <c r="V56" s="683"/>
      <c r="W56" s="6"/>
      <c r="X56" s="4"/>
      <c r="Y56" s="4"/>
      <c r="Z56" s="4"/>
      <c r="AA56" s="4"/>
      <c r="AB56" s="4"/>
      <c r="AC56" s="4"/>
      <c r="AD56" s="4"/>
      <c r="AE56" s="4"/>
      <c r="AF56" s="4"/>
      <c r="AG56" s="4"/>
      <c r="AH56" s="4"/>
      <c r="AI56" s="4"/>
      <c r="AJ56" s="4"/>
      <c r="AK56" s="6"/>
      <c r="AL56" s="6"/>
      <c r="AM56" s="6"/>
      <c r="AN56" s="598"/>
      <c r="AO56" s="4"/>
      <c r="AP56" s="6"/>
      <c r="AQ56" s="4"/>
      <c r="AR56" s="7"/>
      <c r="AS56" s="4"/>
      <c r="AT56" s="6"/>
      <c r="AU56" s="6"/>
      <c r="AV56" s="4"/>
      <c r="AW56" s="7"/>
      <c r="AX56" s="9"/>
      <c r="AY56" s="9"/>
      <c r="AZ56" s="9"/>
      <c r="BA56" s="596"/>
      <c r="BB56" s="6"/>
      <c r="BC56" s="5"/>
      <c r="BD56" s="5"/>
    </row>
    <row r="57" spans="1:57" ht="61.5">
      <c r="A57" s="146" t="s">
        <v>67</v>
      </c>
      <c r="B57" s="143" t="s">
        <v>68</v>
      </c>
      <c r="C57" s="142" t="s">
        <v>69</v>
      </c>
      <c r="D57" s="142" t="s">
        <v>72</v>
      </c>
      <c r="E57" s="142" t="s">
        <v>122</v>
      </c>
      <c r="F57" s="142" t="s">
        <v>73</v>
      </c>
      <c r="G57" s="142" t="s">
        <v>74</v>
      </c>
      <c r="H57" s="149" t="s">
        <v>76</v>
      </c>
      <c r="I57" s="150" t="s">
        <v>77</v>
      </c>
      <c r="J57" s="142" t="s">
        <v>79</v>
      </c>
      <c r="K57" s="142" t="s">
        <v>80</v>
      </c>
      <c r="L57" s="142" t="s">
        <v>81</v>
      </c>
      <c r="M57" s="142" t="s">
        <v>82</v>
      </c>
      <c r="N57" s="142" t="s">
        <v>83</v>
      </c>
      <c r="O57" s="142" t="s">
        <v>84</v>
      </c>
      <c r="P57" s="142" t="s">
        <v>93</v>
      </c>
      <c r="Q57" s="142" t="s">
        <v>94</v>
      </c>
      <c r="R57" s="142" t="s">
        <v>95</v>
      </c>
      <c r="S57" s="142" t="s">
        <v>92</v>
      </c>
      <c r="T57" s="143" t="s">
        <v>103</v>
      </c>
      <c r="U57" s="144" t="s">
        <v>106</v>
      </c>
      <c r="V57" s="145" t="s">
        <v>107</v>
      </c>
      <c r="W57" s="140" t="s">
        <v>123</v>
      </c>
      <c r="X57" s="4"/>
      <c r="Y57" s="4"/>
      <c r="Z57" s="4"/>
      <c r="AA57" s="4"/>
      <c r="AB57" s="4"/>
      <c r="AC57" s="4"/>
      <c r="AD57" s="4"/>
      <c r="AE57" s="4"/>
      <c r="AF57" s="4"/>
      <c r="AG57" s="4"/>
      <c r="AH57" s="4"/>
      <c r="AI57" s="4"/>
      <c r="AJ57" s="4"/>
      <c r="AK57" s="6"/>
      <c r="AL57" s="6"/>
      <c r="AM57" s="6"/>
      <c r="AN57" s="598"/>
      <c r="AO57" s="4"/>
      <c r="AP57" s="6"/>
      <c r="AQ57" s="4"/>
      <c r="AR57" s="7"/>
      <c r="AS57" s="4"/>
      <c r="AT57" s="6"/>
      <c r="AU57" s="6"/>
      <c r="AV57" s="4"/>
      <c r="AW57" s="7"/>
      <c r="AX57" s="9"/>
      <c r="AY57" s="9"/>
      <c r="AZ57" s="9"/>
      <c r="BA57" s="596"/>
      <c r="BB57" s="6"/>
      <c r="BC57" s="5"/>
      <c r="BD57" s="5"/>
    </row>
    <row r="58" spans="1:57">
      <c r="A58" s="344" t="s">
        <v>118</v>
      </c>
      <c r="B58" s="342"/>
      <c r="C58" s="344" t="s">
        <v>118</v>
      </c>
      <c r="D58" s="344"/>
      <c r="E58" s="344" t="s">
        <v>118</v>
      </c>
      <c r="F58" s="344"/>
      <c r="G58" s="344" t="s">
        <v>118</v>
      </c>
      <c r="H58" s="344" t="s">
        <v>118</v>
      </c>
      <c r="I58" s="344"/>
      <c r="J58" s="344"/>
      <c r="K58" s="344"/>
      <c r="L58" s="344"/>
      <c r="M58" s="344"/>
      <c r="N58" s="344"/>
      <c r="O58" s="344"/>
      <c r="P58" s="344" t="s">
        <v>118</v>
      </c>
      <c r="Q58" s="344" t="s">
        <v>118</v>
      </c>
      <c r="R58" s="344" t="s">
        <v>118</v>
      </c>
      <c r="S58" s="344" t="s">
        <v>118</v>
      </c>
      <c r="T58" s="344"/>
      <c r="U58" s="344" t="s">
        <v>118</v>
      </c>
      <c r="V58" s="344"/>
      <c r="W58" s="343"/>
      <c r="X58" s="6"/>
      <c r="Y58" s="4"/>
      <c r="Z58" s="4"/>
      <c r="AA58" s="4"/>
      <c r="AB58" s="4"/>
      <c r="AC58" s="4"/>
      <c r="AD58" s="4"/>
      <c r="AE58" s="4"/>
      <c r="AF58" s="4"/>
      <c r="AG58" s="4"/>
      <c r="AH58" s="4"/>
      <c r="AI58" s="4"/>
      <c r="AJ58" s="4"/>
      <c r="AK58" s="6"/>
      <c r="AL58" s="6"/>
      <c r="AM58" s="6"/>
      <c r="AN58" s="598"/>
      <c r="AO58" s="4"/>
      <c r="AP58" s="6"/>
      <c r="AQ58" s="4"/>
      <c r="AR58" s="7"/>
      <c r="AS58" s="4"/>
      <c r="AT58" s="6"/>
      <c r="AU58" s="6"/>
      <c r="AV58" s="4"/>
      <c r="AW58" s="7"/>
      <c r="AX58" s="9"/>
      <c r="AY58" s="9"/>
      <c r="AZ58" s="9"/>
      <c r="BA58" s="596"/>
      <c r="BB58" s="6"/>
      <c r="BC58" s="5"/>
      <c r="BD58" s="5"/>
    </row>
    <row r="59" spans="1:57">
      <c r="A59" s="16"/>
      <c r="B59" s="16"/>
      <c r="C59" s="16"/>
      <c r="D59" s="16"/>
      <c r="E59" s="16"/>
      <c r="F59" s="16"/>
      <c r="G59" s="16"/>
      <c r="H59" s="16"/>
      <c r="I59" s="16"/>
      <c r="J59" s="16"/>
      <c r="K59" s="16"/>
      <c r="L59" s="16"/>
      <c r="M59" s="16"/>
      <c r="N59" s="16"/>
      <c r="O59" s="16"/>
      <c r="P59" s="16"/>
      <c r="Q59" s="16"/>
      <c r="R59" s="16"/>
      <c r="S59" s="16"/>
      <c r="T59" s="16"/>
      <c r="U59" s="16"/>
      <c r="V59" s="16"/>
      <c r="W59" s="4"/>
      <c r="X59" s="4"/>
      <c r="Y59" s="4"/>
      <c r="Z59" s="4"/>
      <c r="AA59" s="4"/>
      <c r="AB59" s="4"/>
      <c r="AC59" s="4"/>
      <c r="AD59" s="4"/>
      <c r="AE59" s="4"/>
      <c r="AF59" s="4"/>
      <c r="AG59" s="4"/>
      <c r="AH59" s="4"/>
      <c r="AI59" s="4"/>
      <c r="AJ59" s="6"/>
      <c r="AK59" s="6"/>
      <c r="AL59" s="6"/>
      <c r="AM59" s="598"/>
      <c r="AN59" s="4"/>
      <c r="AO59" s="6"/>
      <c r="AP59" s="4"/>
      <c r="AQ59" s="7"/>
      <c r="AR59" s="4"/>
      <c r="AS59" s="6"/>
      <c r="AT59" s="6"/>
      <c r="AU59" s="4"/>
      <c r="AV59" s="7"/>
      <c r="AW59" s="9"/>
      <c r="AX59" s="9"/>
      <c r="AY59" s="9"/>
      <c r="AZ59" s="596"/>
      <c r="BA59" s="6"/>
      <c r="BB59" s="5"/>
      <c r="BC59" s="5"/>
    </row>
    <row r="60" spans="1:57" ht="26.45" thickBot="1">
      <c r="A60" s="69" t="s">
        <v>127</v>
      </c>
      <c r="B60" s="7"/>
      <c r="C60" s="4"/>
      <c r="D60" s="2"/>
      <c r="E60" s="4"/>
      <c r="F60" s="4"/>
      <c r="G60" s="4"/>
      <c r="H60" s="4"/>
      <c r="I60" s="4"/>
      <c r="J60" s="7"/>
      <c r="K60" s="7"/>
      <c r="L60" s="6"/>
      <c r="M60" s="4"/>
      <c r="N60" s="4"/>
      <c r="O60" s="4"/>
      <c r="P60" s="4"/>
      <c r="Q60" s="4"/>
      <c r="R60" s="4"/>
      <c r="S60" s="17"/>
      <c r="T60" s="7"/>
      <c r="U60" s="4"/>
      <c r="V60" s="4"/>
      <c r="W60" s="4"/>
      <c r="X60" s="4"/>
      <c r="Y60" s="4"/>
      <c r="Z60" s="4"/>
      <c r="AA60" s="4"/>
      <c r="AB60" s="4"/>
      <c r="AC60" s="4"/>
      <c r="AD60" s="4"/>
      <c r="AE60" s="4"/>
      <c r="AF60" s="4"/>
      <c r="AG60" s="4"/>
      <c r="AH60" s="4"/>
      <c r="AI60" s="4"/>
      <c r="AJ60" s="6"/>
      <c r="AK60" s="6"/>
      <c r="AL60" s="6"/>
      <c r="AM60" s="598"/>
      <c r="AN60" s="4"/>
      <c r="AO60" s="6"/>
      <c r="AP60" s="4"/>
      <c r="AQ60" s="7"/>
      <c r="AR60" s="4"/>
      <c r="AS60" s="6"/>
      <c r="AT60" s="6"/>
      <c r="AU60" s="4"/>
      <c r="AV60" s="7"/>
      <c r="AW60" s="9"/>
      <c r="AX60" s="9"/>
      <c r="AY60" s="9"/>
      <c r="AZ60" s="596"/>
      <c r="BA60" s="6"/>
      <c r="BB60" s="5"/>
      <c r="BC60" s="5"/>
    </row>
    <row r="61" spans="1:57" ht="15.75" customHeight="1" thickBot="1">
      <c r="A61" s="681" t="s">
        <v>121</v>
      </c>
      <c r="B61" s="682"/>
      <c r="C61" s="682"/>
      <c r="D61" s="682"/>
      <c r="E61" s="682"/>
      <c r="F61" s="682"/>
      <c r="G61" s="682"/>
      <c r="H61" s="682"/>
      <c r="I61" s="682"/>
      <c r="J61" s="682"/>
      <c r="K61" s="682"/>
      <c r="L61" s="682"/>
      <c r="M61" s="682"/>
      <c r="N61" s="682"/>
      <c r="O61" s="682"/>
      <c r="P61" s="682"/>
      <c r="Q61" s="682"/>
      <c r="R61" s="682"/>
      <c r="S61" s="682"/>
      <c r="T61" s="682"/>
      <c r="U61" s="682"/>
      <c r="V61" s="689"/>
      <c r="W61" s="4"/>
      <c r="X61" s="4"/>
      <c r="Y61" s="4"/>
      <c r="Z61" s="4"/>
      <c r="AA61" s="4"/>
      <c r="AB61" s="4"/>
      <c r="AC61" s="4"/>
      <c r="AD61" s="4"/>
      <c r="AE61" s="4"/>
      <c r="AF61" s="4"/>
      <c r="AG61" s="4"/>
      <c r="AH61" s="4"/>
      <c r="AI61" s="4"/>
      <c r="AJ61" s="4"/>
      <c r="AK61" s="4"/>
      <c r="AL61" s="6"/>
      <c r="AM61" s="6"/>
      <c r="AN61" s="6"/>
      <c r="AO61" s="598"/>
      <c r="AP61" s="4"/>
      <c r="AQ61" s="6"/>
      <c r="AR61" s="4"/>
      <c r="AS61" s="7"/>
      <c r="AT61" s="4"/>
      <c r="AU61" s="6"/>
      <c r="AV61" s="6"/>
      <c r="AW61" s="4"/>
      <c r="AX61" s="7"/>
      <c r="AY61" s="9"/>
      <c r="AZ61" s="9"/>
      <c r="BA61" s="9"/>
      <c r="BB61" s="596"/>
      <c r="BC61" s="6"/>
      <c r="BD61" s="5"/>
      <c r="BE61" s="5"/>
    </row>
    <row r="62" spans="1:57" ht="61.5">
      <c r="A62" s="146" t="s">
        <v>67</v>
      </c>
      <c r="B62" s="143" t="s">
        <v>68</v>
      </c>
      <c r="C62" s="142" t="s">
        <v>69</v>
      </c>
      <c r="D62" s="142" t="s">
        <v>72</v>
      </c>
      <c r="E62" s="142" t="s">
        <v>122</v>
      </c>
      <c r="F62" s="142" t="s">
        <v>73</v>
      </c>
      <c r="G62" s="142" t="s">
        <v>74</v>
      </c>
      <c r="H62" s="149" t="s">
        <v>76</v>
      </c>
      <c r="I62" s="150" t="s">
        <v>77</v>
      </c>
      <c r="J62" s="142" t="s">
        <v>79</v>
      </c>
      <c r="K62" s="142" t="s">
        <v>80</v>
      </c>
      <c r="L62" s="142" t="s">
        <v>81</v>
      </c>
      <c r="M62" s="142" t="s">
        <v>82</v>
      </c>
      <c r="N62" s="142" t="s">
        <v>83</v>
      </c>
      <c r="O62" s="142" t="s">
        <v>84</v>
      </c>
      <c r="P62" s="142" t="s">
        <v>93</v>
      </c>
      <c r="Q62" s="142" t="s">
        <v>94</v>
      </c>
      <c r="R62" s="142" t="s">
        <v>95</v>
      </c>
      <c r="S62" s="142" t="s">
        <v>144</v>
      </c>
      <c r="T62" s="143" t="s">
        <v>103</v>
      </c>
      <c r="U62" s="144" t="s">
        <v>106</v>
      </c>
      <c r="V62" s="145" t="s">
        <v>107</v>
      </c>
      <c r="W62" s="140" t="s">
        <v>123</v>
      </c>
      <c r="X62" s="4"/>
      <c r="Y62" s="4"/>
      <c r="Z62" s="4"/>
      <c r="AA62" s="4"/>
      <c r="AB62" s="4"/>
      <c r="AC62" s="4"/>
      <c r="AD62" s="4"/>
      <c r="AE62" s="4"/>
      <c r="AF62" s="4"/>
      <c r="AG62" s="4"/>
      <c r="AH62" s="4"/>
      <c r="AI62" s="4"/>
      <c r="AJ62" s="4"/>
      <c r="AK62" s="6"/>
      <c r="AL62" s="6"/>
      <c r="AM62" s="6"/>
      <c r="AN62" s="598"/>
      <c r="AO62" s="4"/>
      <c r="AP62" s="6"/>
      <c r="AQ62" s="4"/>
      <c r="AR62" s="7"/>
      <c r="AS62" s="4"/>
      <c r="AT62" s="6"/>
      <c r="AU62" s="6"/>
      <c r="AV62" s="4"/>
      <c r="AW62" s="7"/>
      <c r="AX62" s="9"/>
      <c r="AY62" s="9"/>
      <c r="AZ62" s="9"/>
      <c r="BA62" s="596"/>
      <c r="BB62" s="6"/>
      <c r="BC62" s="5"/>
      <c r="BD62" s="5"/>
    </row>
    <row r="63" spans="1:57">
      <c r="A63" s="344" t="s">
        <v>118</v>
      </c>
      <c r="B63" s="342"/>
      <c r="C63" s="344" t="s">
        <v>118</v>
      </c>
      <c r="D63" s="344"/>
      <c r="E63" s="344" t="s">
        <v>118</v>
      </c>
      <c r="F63" s="344"/>
      <c r="G63" s="344" t="s">
        <v>118</v>
      </c>
      <c r="H63" s="344" t="s">
        <v>118</v>
      </c>
      <c r="I63" s="344"/>
      <c r="J63" s="344"/>
      <c r="K63" s="344"/>
      <c r="L63" s="344"/>
      <c r="M63" s="344"/>
      <c r="N63" s="344"/>
      <c r="O63" s="344"/>
      <c r="P63" s="344" t="s">
        <v>118</v>
      </c>
      <c r="Q63" s="344" t="s">
        <v>118</v>
      </c>
      <c r="R63" s="344" t="s">
        <v>118</v>
      </c>
      <c r="S63" s="344" t="s">
        <v>118</v>
      </c>
      <c r="T63" s="344"/>
      <c r="U63" s="344" t="s">
        <v>118</v>
      </c>
      <c r="V63" s="344"/>
      <c r="W63" s="343"/>
      <c r="X63" s="4"/>
      <c r="Y63" s="4"/>
      <c r="Z63" s="4"/>
      <c r="AA63" s="4"/>
      <c r="AB63" s="4"/>
      <c r="AC63" s="4"/>
      <c r="AD63" s="4"/>
      <c r="AE63" s="4"/>
      <c r="AF63" s="4"/>
      <c r="AG63" s="4"/>
      <c r="AH63" s="4"/>
      <c r="AI63" s="4"/>
      <c r="AJ63" s="4"/>
      <c r="AK63" s="6"/>
      <c r="AL63" s="6"/>
      <c r="AM63" s="6"/>
      <c r="AN63" s="598"/>
      <c r="AO63" s="4"/>
      <c r="AP63" s="6"/>
      <c r="AQ63" s="4"/>
      <c r="AR63" s="7"/>
      <c r="AS63" s="4"/>
      <c r="AT63" s="6"/>
      <c r="AU63" s="6"/>
      <c r="AV63" s="4"/>
      <c r="AW63" s="7"/>
      <c r="AX63" s="9"/>
      <c r="AY63" s="9"/>
      <c r="AZ63" s="9"/>
      <c r="BA63" s="596"/>
      <c r="BB63" s="6"/>
      <c r="BC63" s="5"/>
      <c r="BD63" s="5"/>
    </row>
    <row r="64" spans="1:57">
      <c r="A64" s="16"/>
      <c r="B64" s="16"/>
      <c r="C64" s="16"/>
      <c r="D64" s="16"/>
      <c r="E64" s="16"/>
      <c r="F64" s="16"/>
      <c r="G64" s="16"/>
      <c r="H64" s="16"/>
      <c r="I64" s="16"/>
      <c r="J64" s="16"/>
      <c r="K64" s="16"/>
      <c r="L64" s="16"/>
      <c r="M64" s="16"/>
      <c r="N64" s="16"/>
      <c r="O64" s="16"/>
      <c r="P64" s="16"/>
      <c r="Q64" s="16"/>
      <c r="R64" s="16"/>
      <c r="S64" s="17"/>
      <c r="T64" s="7"/>
      <c r="U64" s="4"/>
      <c r="V64" s="4"/>
      <c r="W64" s="4"/>
      <c r="X64" s="4"/>
      <c r="Y64" s="4"/>
      <c r="Z64" s="4"/>
      <c r="AA64" s="4"/>
      <c r="AB64" s="4"/>
      <c r="AC64" s="4"/>
      <c r="AD64" s="4"/>
      <c r="AE64" s="4"/>
      <c r="AF64" s="4"/>
      <c r="AG64" s="4"/>
      <c r="AH64" s="4"/>
      <c r="AI64" s="4"/>
      <c r="AJ64" s="6"/>
      <c r="AK64" s="6"/>
      <c r="AL64" s="6"/>
      <c r="AM64" s="598"/>
      <c r="AN64" s="4"/>
      <c r="AO64" s="6"/>
      <c r="AP64" s="4"/>
      <c r="AQ64" s="7"/>
      <c r="AR64" s="4"/>
      <c r="AS64" s="6"/>
      <c r="AT64" s="6"/>
      <c r="AU64" s="4"/>
      <c r="AV64" s="7"/>
      <c r="AW64" s="9"/>
      <c r="AX64" s="9"/>
      <c r="AY64" s="9"/>
      <c r="AZ64" s="596"/>
      <c r="BA64" s="6"/>
      <c r="BB64" s="5"/>
      <c r="BC64" s="5"/>
    </row>
    <row r="65" spans="1:56" ht="26.45" thickBot="1">
      <c r="A65" s="67" t="s">
        <v>128</v>
      </c>
      <c r="B65" s="19"/>
      <c r="C65" s="66"/>
      <c r="D65" s="65"/>
      <c r="E65" s="66"/>
      <c r="F65" s="66"/>
      <c r="G65" s="66"/>
      <c r="H65" s="66"/>
      <c r="I65" s="66"/>
      <c r="J65" s="19"/>
      <c r="K65" s="19"/>
      <c r="L65" s="597"/>
      <c r="M65" s="66"/>
      <c r="N65" s="66"/>
      <c r="O65" s="66"/>
      <c r="P65" s="66"/>
      <c r="Q65" s="66"/>
      <c r="R65" s="66"/>
      <c r="S65" s="62"/>
      <c r="T65" s="19"/>
      <c r="U65" s="66"/>
      <c r="V65" s="66"/>
      <c r="W65" s="66"/>
      <c r="X65" s="66"/>
      <c r="Y65" s="66"/>
      <c r="Z65" s="66"/>
      <c r="AA65" s="4"/>
      <c r="AB65" s="4"/>
      <c r="AC65" s="4"/>
      <c r="AD65" s="4"/>
      <c r="AE65" s="4"/>
      <c r="AF65" s="4"/>
      <c r="AG65" s="4"/>
      <c r="AH65" s="4"/>
      <c r="AI65" s="4"/>
      <c r="AJ65" s="6"/>
      <c r="AK65" s="6"/>
      <c r="AL65" s="6"/>
      <c r="AM65" s="598"/>
      <c r="AN65" s="4"/>
      <c r="AO65" s="6"/>
      <c r="AP65" s="4"/>
      <c r="AQ65" s="7"/>
      <c r="AR65" s="4"/>
      <c r="AS65" s="6"/>
      <c r="AT65" s="6"/>
      <c r="AU65" s="4"/>
      <c r="AV65" s="7"/>
      <c r="AW65" s="9"/>
      <c r="AX65" s="9"/>
      <c r="AY65" s="9"/>
      <c r="AZ65" s="596"/>
      <c r="BA65" s="6"/>
      <c r="BB65" s="5"/>
      <c r="BC65" s="5"/>
    </row>
    <row r="66" spans="1:56" ht="15.75" customHeight="1" thickBot="1">
      <c r="A66" s="681" t="s">
        <v>121</v>
      </c>
      <c r="B66" s="682"/>
      <c r="C66" s="682"/>
      <c r="D66" s="682"/>
      <c r="E66" s="682"/>
      <c r="F66" s="682"/>
      <c r="G66" s="682"/>
      <c r="H66" s="682"/>
      <c r="I66" s="682"/>
      <c r="J66" s="682"/>
      <c r="K66" s="682"/>
      <c r="L66" s="682"/>
      <c r="M66" s="682"/>
      <c r="N66" s="682"/>
      <c r="O66" s="682"/>
      <c r="P66" s="682"/>
      <c r="Q66" s="682"/>
      <c r="R66" s="682"/>
      <c r="S66" s="682"/>
      <c r="T66" s="682"/>
      <c r="U66" s="682"/>
      <c r="V66" s="682"/>
      <c r="W66" s="682"/>
      <c r="X66" s="682"/>
      <c r="Y66" s="682"/>
      <c r="Z66" s="682"/>
      <c r="AA66" s="683"/>
      <c r="AB66" s="6"/>
      <c r="AC66" s="4"/>
      <c r="AD66" s="4"/>
      <c r="AE66" s="4"/>
      <c r="AF66" s="4"/>
      <c r="AG66" s="4"/>
      <c r="AH66" s="4"/>
      <c r="AI66" s="4"/>
      <c r="AJ66" s="4"/>
      <c r="AK66" s="6"/>
      <c r="AL66" s="6"/>
      <c r="AM66" s="6"/>
      <c r="AN66" s="598"/>
      <c r="AO66" s="4"/>
      <c r="AP66" s="6"/>
      <c r="AQ66" s="4"/>
      <c r="AR66" s="7"/>
      <c r="AS66" s="4"/>
      <c r="AT66" s="6"/>
      <c r="AU66" s="6"/>
      <c r="AV66" s="4"/>
      <c r="AW66" s="7"/>
      <c r="AX66" s="9"/>
      <c r="AY66" s="9"/>
      <c r="AZ66" s="9"/>
      <c r="BA66" s="596"/>
      <c r="BB66" s="6"/>
      <c r="BC66" s="5"/>
      <c r="BD66" s="5"/>
    </row>
    <row r="67" spans="1:56" ht="61.5">
      <c r="A67" s="146" t="s">
        <v>67</v>
      </c>
      <c r="B67" s="143" t="s">
        <v>68</v>
      </c>
      <c r="C67" s="142" t="s">
        <v>69</v>
      </c>
      <c r="D67" s="142" t="s">
        <v>72</v>
      </c>
      <c r="E67" s="142" t="s">
        <v>122</v>
      </c>
      <c r="F67" s="142" t="s">
        <v>73</v>
      </c>
      <c r="G67" s="142" t="s">
        <v>74</v>
      </c>
      <c r="H67" s="149" t="s">
        <v>76</v>
      </c>
      <c r="I67" s="150" t="s">
        <v>77</v>
      </c>
      <c r="J67" s="142" t="s">
        <v>79</v>
      </c>
      <c r="K67" s="142" t="s">
        <v>80</v>
      </c>
      <c r="L67" s="142" t="s">
        <v>81</v>
      </c>
      <c r="M67" s="142" t="s">
        <v>82</v>
      </c>
      <c r="N67" s="142" t="s">
        <v>83</v>
      </c>
      <c r="O67" s="142" t="s">
        <v>84</v>
      </c>
      <c r="P67" s="142" t="s">
        <v>93</v>
      </c>
      <c r="Q67" s="142" t="s">
        <v>94</v>
      </c>
      <c r="R67" s="142" t="s">
        <v>95</v>
      </c>
      <c r="S67" s="143" t="s">
        <v>103</v>
      </c>
      <c r="T67" s="142" t="s">
        <v>92</v>
      </c>
      <c r="U67" s="142" t="s">
        <v>93</v>
      </c>
      <c r="V67" s="142" t="s">
        <v>94</v>
      </c>
      <c r="W67" s="142" t="s">
        <v>95</v>
      </c>
      <c r="X67" s="142" t="s">
        <v>144</v>
      </c>
      <c r="Y67" s="143" t="s">
        <v>103</v>
      </c>
      <c r="Z67" s="144" t="s">
        <v>106</v>
      </c>
      <c r="AA67" s="145" t="s">
        <v>107</v>
      </c>
      <c r="AB67" s="140" t="s">
        <v>123</v>
      </c>
      <c r="AC67" s="4"/>
      <c r="AD67" s="4"/>
      <c r="AE67" s="4"/>
      <c r="AF67" s="4"/>
      <c r="AG67" s="4"/>
      <c r="AH67" s="4"/>
      <c r="AI67" s="4"/>
      <c r="AJ67" s="4"/>
      <c r="AK67" s="6"/>
      <c r="AL67" s="6"/>
      <c r="AM67" s="6"/>
      <c r="AN67" s="598"/>
      <c r="AO67" s="4"/>
      <c r="AP67" s="6"/>
      <c r="AQ67" s="4"/>
      <c r="AR67" s="7"/>
      <c r="AS67" s="4"/>
      <c r="AT67" s="6"/>
      <c r="AU67" s="6"/>
      <c r="AV67" s="4"/>
      <c r="AW67" s="7"/>
      <c r="AX67" s="9"/>
      <c r="AY67" s="9"/>
      <c r="AZ67" s="9"/>
      <c r="BA67" s="596"/>
      <c r="BB67" s="6"/>
      <c r="BC67" s="5"/>
      <c r="BD67" s="5"/>
    </row>
    <row r="68" spans="1:56">
      <c r="A68" s="344" t="s">
        <v>118</v>
      </c>
      <c r="B68" s="342"/>
      <c r="C68" s="344" t="s">
        <v>118</v>
      </c>
      <c r="D68" s="344"/>
      <c r="E68" s="344" t="s">
        <v>118</v>
      </c>
      <c r="F68" s="344"/>
      <c r="G68" s="344" t="s">
        <v>118</v>
      </c>
      <c r="H68" s="344" t="s">
        <v>118</v>
      </c>
      <c r="I68" s="344"/>
      <c r="J68" s="344"/>
      <c r="K68" s="344"/>
      <c r="L68" s="344"/>
      <c r="M68" s="344"/>
      <c r="N68" s="344"/>
      <c r="O68" s="344"/>
      <c r="P68" s="344" t="s">
        <v>118</v>
      </c>
      <c r="Q68" s="344" t="s">
        <v>118</v>
      </c>
      <c r="R68" s="344" t="s">
        <v>118</v>
      </c>
      <c r="S68" s="344"/>
      <c r="T68" s="344" t="s">
        <v>118</v>
      </c>
      <c r="U68" s="344" t="s">
        <v>118</v>
      </c>
      <c r="V68" s="344" t="s">
        <v>118</v>
      </c>
      <c r="W68" s="344" t="s">
        <v>118</v>
      </c>
      <c r="X68" s="344" t="s">
        <v>118</v>
      </c>
      <c r="Y68" s="344"/>
      <c r="Z68" s="344" t="s">
        <v>118</v>
      </c>
      <c r="AA68" s="344"/>
      <c r="AB68" s="343"/>
      <c r="AC68" s="6"/>
      <c r="AD68" s="4"/>
      <c r="AE68" s="4"/>
      <c r="AF68" s="4"/>
      <c r="AG68" s="4"/>
      <c r="AH68" s="4"/>
      <c r="AI68" s="4"/>
      <c r="AJ68" s="4"/>
      <c r="AK68" s="6"/>
      <c r="AL68" s="6"/>
      <c r="AM68" s="6"/>
      <c r="AN68" s="598"/>
      <c r="AO68" s="4"/>
      <c r="AP68" s="6"/>
      <c r="AQ68" s="4"/>
      <c r="AR68" s="7"/>
      <c r="AS68" s="4"/>
      <c r="AT68" s="6"/>
      <c r="AU68" s="6"/>
      <c r="AV68" s="4"/>
      <c r="AW68" s="7"/>
      <c r="AX68" s="9"/>
      <c r="AY68" s="9"/>
      <c r="AZ68" s="9"/>
      <c r="BA68" s="596"/>
      <c r="BB68" s="6"/>
      <c r="BC68" s="5"/>
      <c r="BD68" s="5"/>
    </row>
    <row r="69" spans="1:56" ht="15" thickBot="1">
      <c r="A69" s="17"/>
      <c r="B69" s="17"/>
      <c r="C69" s="17"/>
      <c r="D69" s="17"/>
      <c r="E69" s="152"/>
      <c r="F69" s="16"/>
      <c r="G69" s="16"/>
      <c r="H69" s="16"/>
      <c r="I69" s="16"/>
      <c r="J69" s="17"/>
      <c r="K69" s="17"/>
      <c r="L69" s="15"/>
      <c r="M69" s="16"/>
      <c r="N69" s="16"/>
      <c r="O69" s="16"/>
      <c r="P69" s="16"/>
      <c r="Q69" s="16"/>
      <c r="R69" s="16"/>
      <c r="S69" s="17"/>
      <c r="T69" s="17"/>
      <c r="U69" s="16"/>
      <c r="V69" s="16"/>
      <c r="W69" s="16"/>
      <c r="X69" s="16"/>
      <c r="Y69" s="16"/>
      <c r="Z69" s="16"/>
      <c r="AA69" s="16"/>
      <c r="AB69" s="4"/>
      <c r="AC69" s="4"/>
      <c r="AD69" s="4"/>
      <c r="AE69" s="4"/>
      <c r="AF69" s="4"/>
      <c r="AG69" s="4"/>
      <c r="AH69" s="4"/>
      <c r="AI69" s="4"/>
      <c r="AJ69" s="6"/>
      <c r="AK69" s="6"/>
      <c r="AL69" s="6"/>
      <c r="AM69" s="598"/>
      <c r="AN69" s="4"/>
      <c r="AO69" s="6"/>
      <c r="AP69" s="4"/>
      <c r="AQ69" s="7"/>
      <c r="AR69" s="4"/>
      <c r="AS69" s="6"/>
      <c r="AT69" s="6"/>
      <c r="AU69" s="4"/>
      <c r="AV69" s="7"/>
      <c r="AW69" s="9"/>
      <c r="AX69" s="9"/>
      <c r="AY69" s="9"/>
      <c r="AZ69" s="596"/>
      <c r="BA69" s="6"/>
      <c r="BB69" s="5"/>
      <c r="BC69" s="5"/>
    </row>
    <row r="70" spans="1:56" ht="26.45" thickBot="1">
      <c r="A70" s="67" t="s">
        <v>129</v>
      </c>
      <c r="B70" s="19"/>
      <c r="C70" s="19"/>
      <c r="D70" s="19"/>
      <c r="E70" s="66"/>
      <c r="F70" s="66"/>
      <c r="G70" s="66"/>
      <c r="H70" s="66"/>
      <c r="I70" s="66"/>
      <c r="J70" s="19"/>
      <c r="K70" s="19"/>
      <c r="L70" s="597"/>
      <c r="M70" s="66"/>
      <c r="N70" s="66"/>
      <c r="O70" s="66"/>
      <c r="P70" s="66"/>
      <c r="Q70" s="66"/>
      <c r="R70" s="66"/>
      <c r="S70" s="62"/>
      <c r="T70" s="19"/>
      <c r="U70" s="599"/>
      <c r="V70" s="66"/>
      <c r="W70" s="66"/>
      <c r="X70" s="66"/>
      <c r="Y70" s="4"/>
      <c r="Z70" s="4"/>
      <c r="AA70" s="4"/>
      <c r="AB70" s="4"/>
      <c r="AC70" s="4"/>
      <c r="AD70" s="4"/>
      <c r="AE70" s="4"/>
      <c r="AF70" s="4"/>
      <c r="AG70" s="4"/>
      <c r="AH70" s="4"/>
      <c r="AI70" s="4"/>
      <c r="AJ70" s="6"/>
      <c r="AK70" s="6"/>
      <c r="AL70" s="6"/>
      <c r="AM70" s="598"/>
      <c r="AN70" s="4"/>
      <c r="AO70" s="6"/>
      <c r="AP70" s="4"/>
      <c r="AQ70" s="7"/>
      <c r="AR70" s="4"/>
      <c r="AS70" s="6"/>
      <c r="AT70" s="6"/>
      <c r="AU70" s="4"/>
      <c r="AV70" s="7"/>
      <c r="AW70" s="9"/>
      <c r="AX70" s="9"/>
      <c r="AY70" s="9"/>
      <c r="AZ70" s="596"/>
      <c r="BA70" s="6"/>
      <c r="BB70" s="5"/>
      <c r="BC70" s="5"/>
    </row>
    <row r="71" spans="1:56" ht="15" thickBot="1">
      <c r="A71" s="684" t="s">
        <v>130</v>
      </c>
      <c r="B71" s="685"/>
      <c r="C71" s="685"/>
      <c r="D71" s="685"/>
      <c r="E71" s="685"/>
      <c r="F71" s="685"/>
      <c r="G71" s="685"/>
      <c r="H71" s="685"/>
      <c r="I71" s="685"/>
      <c r="J71" s="685"/>
      <c r="K71" s="685"/>
      <c r="L71" s="685"/>
      <c r="M71" s="685"/>
      <c r="N71" s="685"/>
      <c r="O71" s="685"/>
      <c r="P71" s="685"/>
      <c r="Q71" s="685"/>
      <c r="R71" s="685"/>
      <c r="S71" s="685"/>
      <c r="T71" s="685"/>
      <c r="U71" s="80"/>
      <c r="V71" s="44"/>
      <c r="W71" s="31"/>
      <c r="X71" s="31"/>
      <c r="Y71" s="573"/>
      <c r="Z71" s="573"/>
      <c r="AA71" s="575"/>
      <c r="AB71" s="577"/>
      <c r="AC71" s="600"/>
      <c r="AD71" s="4"/>
      <c r="AE71" s="4"/>
      <c r="AF71" s="4"/>
      <c r="AG71" s="4"/>
      <c r="AH71" s="4"/>
      <c r="AI71" s="4"/>
      <c r="AJ71" s="6"/>
      <c r="AK71" s="6"/>
      <c r="AL71" s="6"/>
      <c r="AM71" s="598"/>
      <c r="AN71" s="4"/>
      <c r="AO71" s="6"/>
      <c r="AP71" s="4"/>
      <c r="AQ71" s="7"/>
      <c r="AR71" s="4"/>
      <c r="AS71" s="6"/>
      <c r="AT71" s="6"/>
      <c r="AU71" s="4"/>
      <c r="AV71" s="7"/>
      <c r="AW71" s="9"/>
      <c r="AX71" s="9"/>
      <c r="AY71" s="9"/>
      <c r="AZ71" s="596"/>
      <c r="BA71" s="6"/>
      <c r="BB71" s="5"/>
      <c r="BC71" s="5"/>
    </row>
    <row r="72" spans="1:56" ht="54.6" customHeight="1">
      <c r="A72" s="142" t="s">
        <v>70</v>
      </c>
      <c r="B72" s="153" t="s">
        <v>78</v>
      </c>
      <c r="C72" s="146" t="s">
        <v>86</v>
      </c>
      <c r="D72" s="142" t="s">
        <v>87</v>
      </c>
      <c r="E72" s="142" t="s">
        <v>88</v>
      </c>
      <c r="F72" s="142" t="s">
        <v>89</v>
      </c>
      <c r="G72" s="142" t="s">
        <v>90</v>
      </c>
      <c r="H72" s="142" t="s">
        <v>91</v>
      </c>
      <c r="I72" s="142" t="s">
        <v>92</v>
      </c>
      <c r="J72" s="154" t="s">
        <v>97</v>
      </c>
      <c r="K72" s="145" t="s">
        <v>108</v>
      </c>
      <c r="L72" s="155" t="s">
        <v>109</v>
      </c>
      <c r="M72" s="156" t="s">
        <v>110</v>
      </c>
      <c r="N72" s="156" t="s">
        <v>111</v>
      </c>
      <c r="O72" s="155" t="s">
        <v>112</v>
      </c>
      <c r="P72" s="155" t="s">
        <v>113</v>
      </c>
      <c r="Q72" s="157" t="s">
        <v>114</v>
      </c>
      <c r="R72" s="158" t="s">
        <v>115</v>
      </c>
      <c r="S72" s="159" t="s">
        <v>116</v>
      </c>
      <c r="T72" s="160" t="s">
        <v>117</v>
      </c>
      <c r="U72" s="88"/>
      <c r="V72" s="44"/>
      <c r="W72" s="44"/>
      <c r="X72" s="72"/>
      <c r="Y72" s="31"/>
      <c r="Z72" s="88"/>
      <c r="AA72" s="88"/>
      <c r="AB72" s="601"/>
      <c r="AC72" s="4"/>
      <c r="AD72" s="4"/>
      <c r="AE72" s="4"/>
      <c r="AF72" s="4"/>
      <c r="AG72" s="4"/>
      <c r="AH72" s="4"/>
      <c r="AI72" s="4"/>
      <c r="AJ72" s="6"/>
      <c r="AK72" s="6"/>
      <c r="AL72" s="6"/>
      <c r="AM72" s="598"/>
      <c r="AN72" s="4"/>
      <c r="AO72" s="6"/>
      <c r="AP72" s="4"/>
      <c r="AQ72" s="7"/>
      <c r="AR72" s="4"/>
      <c r="AS72" s="6"/>
      <c r="AT72" s="6"/>
      <c r="AU72" s="4"/>
      <c r="AV72" s="7"/>
      <c r="AW72" s="9"/>
      <c r="AX72" s="9"/>
      <c r="AY72" s="9"/>
      <c r="AZ72" s="596"/>
      <c r="BA72" s="6"/>
      <c r="BB72" s="5"/>
      <c r="BC72" s="5"/>
    </row>
    <row r="73" spans="1:56">
      <c r="A73" s="344" t="s">
        <v>118</v>
      </c>
      <c r="B73" s="344" t="b">
        <v>1</v>
      </c>
      <c r="C73" s="344" t="s">
        <v>118</v>
      </c>
      <c r="D73" s="344" t="s">
        <v>118</v>
      </c>
      <c r="E73" s="344" t="s">
        <v>118</v>
      </c>
      <c r="F73" s="344" t="s">
        <v>118</v>
      </c>
      <c r="G73" s="344" t="s">
        <v>118</v>
      </c>
      <c r="H73" s="344" t="s">
        <v>118</v>
      </c>
      <c r="I73" s="344" t="s">
        <v>118</v>
      </c>
      <c r="J73" s="344"/>
      <c r="K73" s="344" t="s">
        <v>118</v>
      </c>
      <c r="L73" s="344" t="s">
        <v>118</v>
      </c>
      <c r="M73" s="344" t="s">
        <v>118</v>
      </c>
      <c r="N73" s="344" t="s">
        <v>118</v>
      </c>
      <c r="O73" s="344" t="s">
        <v>118</v>
      </c>
      <c r="P73" s="344" t="s">
        <v>118</v>
      </c>
      <c r="Q73" s="344" t="s">
        <v>118</v>
      </c>
      <c r="R73" s="344"/>
      <c r="S73" s="344"/>
      <c r="T73" s="344"/>
      <c r="U73" s="601"/>
      <c r="V73" s="602"/>
      <c r="W73" s="602"/>
      <c r="X73" s="603"/>
      <c r="Y73" s="601"/>
      <c r="Z73" s="580"/>
      <c r="AA73" s="88"/>
      <c r="AB73" s="6"/>
      <c r="AC73" s="4"/>
      <c r="AD73" s="4"/>
      <c r="AE73" s="4"/>
      <c r="AF73" s="4"/>
      <c r="AG73" s="4"/>
      <c r="AH73" s="4"/>
      <c r="AI73" s="4"/>
      <c r="AJ73" s="6"/>
      <c r="AK73" s="6"/>
      <c r="AL73" s="6"/>
      <c r="AM73" s="598"/>
      <c r="AN73" s="4"/>
      <c r="AO73" s="6"/>
      <c r="AP73" s="4"/>
      <c r="AQ73" s="7"/>
      <c r="AR73" s="4"/>
      <c r="AS73" s="6"/>
      <c r="AT73" s="6"/>
      <c r="AU73" s="4"/>
      <c r="AV73" s="7"/>
      <c r="AW73" s="9"/>
      <c r="AX73" s="9"/>
      <c r="AY73" s="9"/>
      <c r="AZ73" s="596"/>
      <c r="BA73" s="6"/>
      <c r="BB73" s="5"/>
      <c r="BC73" s="5"/>
    </row>
    <row r="74" spans="1:56">
      <c r="A74" s="17"/>
      <c r="B74" s="17"/>
      <c r="C74" s="17"/>
      <c r="D74" s="17"/>
      <c r="E74" s="17"/>
      <c r="F74" s="17"/>
      <c r="G74" s="16"/>
      <c r="H74" s="16"/>
      <c r="I74" s="16"/>
      <c r="J74" s="16"/>
      <c r="K74" s="16"/>
      <c r="L74" s="16"/>
      <c r="M74" s="17"/>
      <c r="N74" s="17"/>
      <c r="O74" s="16"/>
      <c r="P74" s="16"/>
      <c r="Q74" s="16"/>
      <c r="R74" s="16"/>
      <c r="S74" s="16"/>
      <c r="T74" s="16"/>
      <c r="U74" s="4"/>
      <c r="V74" s="4"/>
      <c r="W74" s="4"/>
      <c r="X74" s="4"/>
      <c r="Y74" s="4"/>
      <c r="Z74" s="4"/>
      <c r="AA74" s="16"/>
      <c r="AB74" s="4"/>
      <c r="AC74" s="4"/>
      <c r="AD74" s="4"/>
      <c r="AE74" s="4"/>
      <c r="AF74" s="4"/>
      <c r="AG74" s="4"/>
      <c r="AH74" s="4"/>
      <c r="AI74" s="4"/>
      <c r="AJ74" s="6"/>
      <c r="AK74" s="6"/>
      <c r="AL74" s="6"/>
      <c r="AM74" s="598"/>
      <c r="AN74" s="4"/>
      <c r="AO74" s="6"/>
      <c r="AP74" s="4"/>
      <c r="AQ74" s="7"/>
      <c r="AR74" s="4"/>
      <c r="AS74" s="6"/>
      <c r="AT74" s="6"/>
      <c r="AU74" s="4"/>
      <c r="AV74" s="7"/>
      <c r="AW74" s="9"/>
      <c r="AX74" s="9"/>
      <c r="AY74" s="9"/>
      <c r="AZ74" s="596"/>
      <c r="BA74" s="6"/>
      <c r="BB74" s="5"/>
      <c r="BC74" s="5"/>
    </row>
    <row r="75" spans="1:56" ht="15" thickBot="1">
      <c r="A75" s="69" t="s">
        <v>131</v>
      </c>
      <c r="B75" s="7"/>
      <c r="C75" s="7"/>
      <c r="D75" s="7"/>
      <c r="E75" s="7"/>
      <c r="F75" s="7"/>
      <c r="G75" s="4"/>
      <c r="H75" s="4"/>
      <c r="I75" s="4"/>
      <c r="J75" s="7"/>
      <c r="K75" s="7"/>
      <c r="L75" s="6"/>
      <c r="M75" s="4"/>
      <c r="N75" s="4"/>
      <c r="O75" s="4"/>
      <c r="P75" s="4"/>
      <c r="Q75" s="4"/>
      <c r="R75" s="4"/>
      <c r="S75" s="17"/>
      <c r="T75" s="7"/>
      <c r="U75" s="4"/>
      <c r="V75" s="4"/>
      <c r="W75" s="4"/>
      <c r="X75" s="4"/>
      <c r="Y75" s="4"/>
      <c r="Z75" s="4"/>
      <c r="AA75" s="4"/>
      <c r="AB75" s="4"/>
      <c r="AC75" s="4"/>
      <c r="AD75" s="4"/>
      <c r="AE75" s="4"/>
      <c r="AF75" s="4"/>
      <c r="AG75" s="4"/>
      <c r="AH75" s="4"/>
      <c r="AI75" s="4"/>
      <c r="AJ75" s="6"/>
      <c r="AK75" s="6"/>
      <c r="AL75" s="6"/>
      <c r="AM75" s="598"/>
      <c r="AN75" s="4"/>
      <c r="AO75" s="6"/>
      <c r="AP75" s="4"/>
      <c r="AQ75" s="7"/>
      <c r="AR75" s="4"/>
      <c r="AS75" s="6"/>
      <c r="AT75" s="6"/>
      <c r="AU75" s="4"/>
      <c r="AV75" s="7"/>
      <c r="AW75" s="9"/>
      <c r="AX75" s="9"/>
      <c r="AY75" s="9"/>
      <c r="AZ75" s="596"/>
      <c r="BA75" s="6"/>
      <c r="BB75" s="5"/>
      <c r="BC75" s="5"/>
    </row>
    <row r="76" spans="1:56" ht="15" customHeight="1" thickBot="1">
      <c r="A76" s="681" t="s">
        <v>132</v>
      </c>
      <c r="B76" s="682"/>
      <c r="C76" s="682"/>
      <c r="D76" s="682"/>
      <c r="E76" s="683"/>
      <c r="F76" s="350"/>
      <c r="G76" s="7"/>
      <c r="H76" s="7"/>
      <c r="I76" s="7"/>
      <c r="J76" s="7"/>
      <c r="K76" s="7"/>
      <c r="L76" s="7"/>
      <c r="M76" s="7"/>
      <c r="N76" s="7"/>
      <c r="O76" s="7"/>
      <c r="P76" s="7"/>
      <c r="Q76" s="7"/>
      <c r="R76" s="7"/>
      <c r="S76" s="7"/>
      <c r="AA76" s="4"/>
      <c r="AB76" s="4"/>
      <c r="AC76" s="4"/>
      <c r="AD76" s="4"/>
      <c r="AE76" s="4"/>
      <c r="AF76" s="4"/>
      <c r="AG76" s="4"/>
      <c r="AH76" s="4"/>
      <c r="AI76" s="4"/>
      <c r="AJ76" s="6"/>
      <c r="AK76" s="6"/>
      <c r="AL76" s="6"/>
      <c r="AM76" s="598"/>
      <c r="AN76" s="4"/>
      <c r="AO76" s="6"/>
      <c r="AP76" s="4"/>
      <c r="AQ76" s="7"/>
      <c r="AR76" s="4"/>
      <c r="AS76" s="6"/>
      <c r="AT76" s="6"/>
      <c r="AU76" s="4"/>
      <c r="AV76" s="7"/>
      <c r="AW76" s="9"/>
      <c r="AX76" s="9"/>
      <c r="AY76" s="9"/>
      <c r="AZ76" s="596"/>
      <c r="BA76" s="6"/>
      <c r="BB76" s="5"/>
      <c r="BC76" s="5"/>
    </row>
    <row r="77" spans="1:56" ht="51">
      <c r="A77" s="351" t="s">
        <v>67</v>
      </c>
      <c r="B77" s="351" t="s">
        <v>68</v>
      </c>
      <c r="C77" s="351" t="s">
        <v>69</v>
      </c>
      <c r="D77" s="351" t="s">
        <v>133</v>
      </c>
      <c r="E77" s="351" t="s">
        <v>103</v>
      </c>
      <c r="F77" s="345" t="s">
        <v>123</v>
      </c>
      <c r="G77" s="6"/>
      <c r="H77" s="4"/>
      <c r="I77" s="4"/>
      <c r="J77" s="7"/>
      <c r="K77" s="7"/>
      <c r="L77" s="6"/>
      <c r="M77" s="4"/>
      <c r="N77" s="4"/>
      <c r="O77" s="4"/>
      <c r="P77" s="4"/>
      <c r="Q77" s="4"/>
      <c r="R77" s="4"/>
      <c r="S77" s="17"/>
      <c r="T77" s="7"/>
      <c r="U77" s="4"/>
      <c r="V77" s="4"/>
      <c r="W77" s="4"/>
      <c r="X77" s="4"/>
      <c r="Y77" s="4"/>
      <c r="Z77" s="4"/>
      <c r="AA77" s="4"/>
      <c r="AB77" s="4"/>
      <c r="AC77" s="4"/>
      <c r="AD77" s="4"/>
      <c r="AE77" s="4"/>
      <c r="AF77" s="4"/>
      <c r="AG77" s="4"/>
      <c r="AH77" s="4"/>
      <c r="AI77" s="4"/>
      <c r="AJ77" s="6"/>
      <c r="AK77" s="6"/>
      <c r="AL77" s="6"/>
      <c r="AM77" s="598"/>
      <c r="AN77" s="4"/>
      <c r="AO77" s="6"/>
      <c r="AP77" s="4"/>
      <c r="AQ77" s="7"/>
      <c r="AR77" s="4"/>
      <c r="AS77" s="6"/>
      <c r="AT77" s="6"/>
      <c r="AU77" s="4"/>
      <c r="AV77" s="7"/>
      <c r="AW77" s="9"/>
      <c r="AX77" s="9"/>
      <c r="AY77" s="9"/>
      <c r="AZ77" s="596"/>
      <c r="BA77" s="6"/>
      <c r="BB77" s="5"/>
      <c r="BC77" s="5"/>
    </row>
    <row r="78" spans="1:56">
      <c r="A78" s="344" t="s">
        <v>118</v>
      </c>
      <c r="B78" s="342"/>
      <c r="C78" s="344" t="s">
        <v>118</v>
      </c>
      <c r="D78" s="344"/>
      <c r="E78" s="344"/>
      <c r="F78" s="343"/>
      <c r="G78" s="6"/>
      <c r="H78" s="4"/>
      <c r="I78" s="4"/>
      <c r="J78" s="7"/>
      <c r="K78" s="7"/>
      <c r="L78" s="6"/>
      <c r="M78" s="4"/>
      <c r="N78" s="4"/>
      <c r="O78" s="4"/>
      <c r="P78" s="4"/>
      <c r="Q78" s="4"/>
      <c r="R78" s="4"/>
      <c r="S78" s="17"/>
      <c r="T78" s="7"/>
      <c r="U78" s="7"/>
      <c r="V78" s="7"/>
      <c r="W78" s="7"/>
      <c r="X78" s="7"/>
      <c r="Y78" s="7"/>
      <c r="Z78" s="7"/>
      <c r="AA78" s="7"/>
      <c r="AB78" s="7"/>
      <c r="AC78" s="7"/>
      <c r="AD78" s="7"/>
      <c r="AE78" s="7"/>
      <c r="AF78" s="7"/>
      <c r="AG78" s="7"/>
      <c r="AH78" s="7"/>
      <c r="AI78" s="7"/>
      <c r="AJ78" s="7"/>
      <c r="AK78" s="7"/>
      <c r="AL78" s="7"/>
      <c r="AM78" s="7"/>
      <c r="AN78" s="4"/>
      <c r="AO78" s="6"/>
      <c r="AP78" s="4"/>
      <c r="AQ78" s="7"/>
      <c r="AR78" s="4"/>
      <c r="AS78" s="6"/>
      <c r="AT78" s="6"/>
      <c r="AU78" s="4"/>
      <c r="AV78" s="7"/>
      <c r="AW78" s="9"/>
      <c r="AX78" s="9"/>
      <c r="AY78" s="9"/>
      <c r="AZ78" s="596"/>
      <c r="BA78" s="6"/>
      <c r="BB78" s="5"/>
      <c r="BC78" s="5"/>
    </row>
    <row r="79" spans="1:56">
      <c r="A79" s="17"/>
      <c r="B79" s="17"/>
      <c r="C79" s="17"/>
      <c r="D79" s="17"/>
      <c r="E79" s="17"/>
      <c r="F79" s="1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c r="AI79" s="7"/>
      <c r="AJ79" s="7"/>
      <c r="AK79" s="7"/>
      <c r="AL79" s="7"/>
      <c r="AM79" s="7"/>
      <c r="AN79" s="4"/>
      <c r="AO79" s="6"/>
      <c r="AP79" s="4"/>
      <c r="AQ79" s="7"/>
      <c r="AR79" s="4"/>
      <c r="AS79" s="6"/>
      <c r="AT79" s="6"/>
      <c r="AU79" s="4"/>
      <c r="AV79" s="7"/>
      <c r="AW79" s="9"/>
      <c r="AX79" s="9"/>
      <c r="AY79" s="9"/>
      <c r="AZ79" s="596"/>
      <c r="BA79" s="6"/>
      <c r="BB79" s="5"/>
      <c r="BC79" s="5"/>
    </row>
    <row r="80" spans="1:56" ht="26.45" thickBot="1">
      <c r="A80" s="69" t="s">
        <v>134</v>
      </c>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c r="AI80" s="7"/>
      <c r="AJ80" s="7"/>
      <c r="AK80" s="7"/>
      <c r="AL80" s="7"/>
      <c r="AM80" s="7"/>
      <c r="AN80" s="4"/>
      <c r="AO80" s="6"/>
      <c r="AP80" s="4"/>
      <c r="AQ80" s="7"/>
      <c r="AR80" s="4"/>
      <c r="AS80" s="6"/>
      <c r="AT80" s="6"/>
      <c r="AU80" s="4"/>
      <c r="AV80" s="7"/>
      <c r="AW80" s="9"/>
      <c r="AX80" s="9"/>
      <c r="AY80" s="9"/>
      <c r="AZ80" s="596"/>
      <c r="BA80" s="6"/>
      <c r="BB80" s="5"/>
      <c r="BC80" s="5"/>
    </row>
    <row r="81" spans="1:55" ht="15" thickBot="1">
      <c r="A81" s="684" t="s">
        <v>135</v>
      </c>
      <c r="B81" s="685"/>
      <c r="C81" s="685"/>
      <c r="D81" s="685"/>
      <c r="E81" s="685"/>
      <c r="F81" s="685"/>
      <c r="G81" s="685"/>
      <c r="H81" s="685"/>
      <c r="I81" s="685"/>
      <c r="J81" s="685"/>
      <c r="K81" s="685"/>
      <c r="L81" s="685"/>
      <c r="M81" s="685"/>
      <c r="N81" s="685"/>
      <c r="O81" s="685"/>
      <c r="P81" s="685"/>
      <c r="Q81" s="685"/>
      <c r="R81" s="685"/>
      <c r="S81" s="685"/>
      <c r="T81" s="685"/>
      <c r="U81" s="7"/>
      <c r="V81" s="7"/>
      <c r="W81" s="7"/>
      <c r="X81" s="7"/>
      <c r="Y81" s="7"/>
      <c r="Z81" s="7"/>
      <c r="AA81" s="7"/>
      <c r="AB81" s="7"/>
      <c r="AC81" s="7"/>
      <c r="AD81" s="7"/>
      <c r="AE81" s="7"/>
      <c r="AF81" s="7"/>
      <c r="AG81" s="7"/>
      <c r="AH81" s="7"/>
      <c r="AI81" s="7"/>
      <c r="AJ81" s="7"/>
      <c r="AK81" s="7"/>
      <c r="AL81" s="7"/>
      <c r="AM81" s="7"/>
      <c r="AN81" s="4"/>
      <c r="AO81" s="6"/>
      <c r="AP81" s="4"/>
      <c r="AQ81" s="7"/>
      <c r="AR81" s="4"/>
      <c r="AS81" s="6"/>
      <c r="AT81" s="6"/>
      <c r="AU81" s="4"/>
      <c r="AV81" s="7"/>
      <c r="AW81" s="9"/>
      <c r="AX81" s="9"/>
      <c r="AY81" s="9"/>
      <c r="AZ81" s="596"/>
      <c r="BA81" s="6"/>
      <c r="BB81" s="5"/>
      <c r="BC81" s="5"/>
    </row>
    <row r="82" spans="1:55" ht="51">
      <c r="A82" s="142" t="s">
        <v>70</v>
      </c>
      <c r="B82" s="142" t="s">
        <v>72</v>
      </c>
      <c r="C82" s="142" t="s">
        <v>73</v>
      </c>
      <c r="D82" s="153" t="s">
        <v>78</v>
      </c>
      <c r="E82" s="142" t="s">
        <v>79</v>
      </c>
      <c r="F82" s="142" t="s">
        <v>80</v>
      </c>
      <c r="G82" s="142" t="s">
        <v>81</v>
      </c>
      <c r="H82" s="142" t="s">
        <v>82</v>
      </c>
      <c r="I82" s="142" t="s">
        <v>83</v>
      </c>
      <c r="J82" s="142" t="s">
        <v>84</v>
      </c>
      <c r="K82" s="146" t="s">
        <v>86</v>
      </c>
      <c r="L82" s="142" t="s">
        <v>87</v>
      </c>
      <c r="M82" s="142" t="s">
        <v>88</v>
      </c>
      <c r="N82" s="142" t="s">
        <v>89</v>
      </c>
      <c r="O82" s="142" t="s">
        <v>90</v>
      </c>
      <c r="P82" s="142" t="s">
        <v>91</v>
      </c>
      <c r="Q82" s="142" t="s">
        <v>92</v>
      </c>
      <c r="R82" s="142" t="s">
        <v>93</v>
      </c>
      <c r="S82" s="142" t="s">
        <v>94</v>
      </c>
      <c r="T82" s="142" t="s">
        <v>95</v>
      </c>
      <c r="U82" s="4"/>
      <c r="V82" s="4"/>
      <c r="W82" s="4"/>
      <c r="X82" s="4"/>
      <c r="Y82" s="4"/>
      <c r="Z82" s="4"/>
      <c r="AA82" s="4"/>
      <c r="AB82" s="4"/>
      <c r="AC82" s="4"/>
      <c r="AD82" s="5"/>
      <c r="AE82" s="9"/>
      <c r="AF82" s="604"/>
      <c r="AG82" s="4"/>
      <c r="AH82" s="4"/>
      <c r="AI82" s="4"/>
      <c r="AJ82" s="6"/>
      <c r="AK82" s="6"/>
      <c r="AL82" s="6"/>
      <c r="AM82" s="598"/>
      <c r="AN82" s="4"/>
      <c r="AO82" s="6"/>
      <c r="AP82" s="4"/>
      <c r="AQ82" s="7"/>
      <c r="AR82" s="4"/>
      <c r="AS82" s="6"/>
      <c r="AT82" s="6"/>
      <c r="AU82" s="4"/>
      <c r="AV82" s="7"/>
      <c r="AW82" s="9"/>
      <c r="AX82" s="9"/>
      <c r="AY82" s="9"/>
      <c r="AZ82" s="596"/>
      <c r="BA82" s="6"/>
      <c r="BB82" s="5"/>
      <c r="BC82" s="5"/>
    </row>
    <row r="83" spans="1:55">
      <c r="A83" s="344" t="s">
        <v>118</v>
      </c>
      <c r="B83" s="344" t="s">
        <v>118</v>
      </c>
      <c r="C83" s="344"/>
      <c r="D83" s="344" t="b">
        <v>1</v>
      </c>
      <c r="E83" s="344"/>
      <c r="F83" s="344"/>
      <c r="G83" s="344"/>
      <c r="H83" s="344"/>
      <c r="I83" s="344"/>
      <c r="J83" s="344"/>
      <c r="K83" s="344" t="s">
        <v>118</v>
      </c>
      <c r="L83" s="344" t="s">
        <v>118</v>
      </c>
      <c r="M83" s="344" t="s">
        <v>118</v>
      </c>
      <c r="N83" s="344" t="s">
        <v>118</v>
      </c>
      <c r="O83" s="344" t="s">
        <v>118</v>
      </c>
      <c r="P83" s="344" t="s">
        <v>118</v>
      </c>
      <c r="Q83" s="344" t="s">
        <v>118</v>
      </c>
      <c r="R83" s="344" t="s">
        <v>118</v>
      </c>
      <c r="S83" s="344" t="s">
        <v>118</v>
      </c>
      <c r="T83" s="344" t="s">
        <v>118</v>
      </c>
      <c r="U83" s="9"/>
      <c r="V83" s="7"/>
      <c r="W83" s="7"/>
      <c r="X83" s="7"/>
      <c r="Y83" s="7"/>
      <c r="Z83" s="7"/>
      <c r="AA83" s="7"/>
      <c r="AB83" s="7"/>
      <c r="AC83" s="7"/>
      <c r="AD83" s="7"/>
      <c r="AE83" s="7"/>
      <c r="AF83" s="7"/>
      <c r="AG83" s="7"/>
      <c r="AH83" s="7"/>
      <c r="AI83" s="7"/>
      <c r="AJ83" s="7"/>
      <c r="AK83" s="7"/>
      <c r="AL83" s="7"/>
      <c r="AM83" s="598"/>
      <c r="AN83" s="4"/>
      <c r="AO83" s="6"/>
      <c r="AP83" s="4"/>
      <c r="AQ83" s="7"/>
      <c r="AR83" s="4"/>
      <c r="AS83" s="6"/>
      <c r="AT83" s="6"/>
      <c r="AU83" s="4"/>
      <c r="AV83" s="7"/>
      <c r="AW83" s="9"/>
      <c r="AX83" s="9"/>
      <c r="AY83" s="9"/>
      <c r="AZ83" s="596"/>
      <c r="BA83" s="6"/>
      <c r="BB83" s="5"/>
      <c r="BC83" s="5"/>
    </row>
    <row r="84" spans="1:55">
      <c r="A84" s="17"/>
      <c r="B84" s="17"/>
      <c r="C84" s="17"/>
      <c r="D84" s="17"/>
      <c r="E84" s="17"/>
      <c r="F84" s="17"/>
      <c r="G84" s="17"/>
      <c r="H84" s="17"/>
      <c r="I84" s="17"/>
      <c r="J84" s="17"/>
      <c r="K84" s="17"/>
      <c r="L84" s="17"/>
      <c r="M84" s="17"/>
      <c r="N84" s="17"/>
      <c r="O84" s="17"/>
      <c r="P84" s="17"/>
      <c r="Q84" s="17"/>
      <c r="R84" s="17"/>
      <c r="S84" s="17"/>
      <c r="T84" s="17"/>
      <c r="U84" s="7"/>
      <c r="V84" s="7"/>
      <c r="W84" s="7"/>
      <c r="X84" s="7"/>
      <c r="Y84" s="7"/>
      <c r="Z84" s="7"/>
      <c r="AA84" s="7"/>
      <c r="AB84" s="7"/>
      <c r="AC84" s="7"/>
      <c r="AD84" s="7"/>
      <c r="AE84" s="7"/>
      <c r="AF84" s="7"/>
      <c r="AG84" s="7"/>
      <c r="AH84" s="7"/>
      <c r="AI84" s="7"/>
      <c r="AJ84" s="7"/>
      <c r="AK84" s="7"/>
      <c r="AL84" s="7"/>
      <c r="AM84" s="598"/>
      <c r="AN84" s="4"/>
      <c r="AO84" s="6"/>
      <c r="AP84" s="4"/>
      <c r="AQ84" s="7"/>
      <c r="AR84" s="4"/>
      <c r="AS84" s="6"/>
      <c r="AT84" s="6"/>
      <c r="AU84" s="4"/>
      <c r="AV84" s="7"/>
      <c r="AW84" s="9"/>
      <c r="AX84" s="9"/>
      <c r="AY84" s="9"/>
      <c r="AZ84" s="596"/>
      <c r="BA84" s="6"/>
      <c r="BB84" s="5"/>
      <c r="BC84" s="5"/>
    </row>
    <row r="85" spans="1:55" ht="15" thickBot="1">
      <c r="A85" s="69" t="s">
        <v>136</v>
      </c>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c r="AI85" s="7"/>
      <c r="AJ85" s="7"/>
      <c r="AK85" s="7"/>
      <c r="AL85" s="7"/>
      <c r="AM85" s="598"/>
      <c r="AN85" s="4"/>
      <c r="AO85" s="6"/>
      <c r="AP85" s="4"/>
      <c r="AQ85" s="7"/>
      <c r="AR85" s="4"/>
      <c r="AS85" s="6"/>
      <c r="AT85" s="6"/>
      <c r="AU85" s="4"/>
      <c r="AV85" s="7"/>
      <c r="AW85" s="9"/>
      <c r="AX85" s="9"/>
      <c r="AY85" s="9"/>
      <c r="AZ85" s="596"/>
      <c r="BA85" s="6"/>
      <c r="BB85" s="5"/>
      <c r="BC85" s="5"/>
    </row>
    <row r="86" spans="1:55" ht="15" thickBot="1">
      <c r="A86" s="681" t="s">
        <v>121</v>
      </c>
      <c r="B86" s="682"/>
      <c r="C86" s="682"/>
      <c r="D86" s="682"/>
      <c r="E86" s="682"/>
      <c r="F86" s="682"/>
      <c r="G86" s="682"/>
      <c r="H86" s="682"/>
      <c r="I86" s="682"/>
      <c r="J86" s="682"/>
      <c r="K86" s="682"/>
      <c r="L86" s="682"/>
      <c r="M86" s="7"/>
      <c r="N86" s="7"/>
      <c r="O86" s="7"/>
      <c r="P86" s="7"/>
      <c r="Q86" s="7"/>
      <c r="R86" s="7"/>
      <c r="S86" s="7"/>
      <c r="T86" s="7"/>
      <c r="U86" s="7"/>
      <c r="V86" s="7"/>
      <c r="W86" s="7"/>
      <c r="X86" s="7"/>
      <c r="Y86" s="7"/>
      <c r="Z86" s="7"/>
      <c r="AA86" s="7"/>
      <c r="AB86" s="7"/>
      <c r="AC86" s="7"/>
      <c r="AD86" s="7"/>
      <c r="AE86" s="7"/>
      <c r="AF86" s="7"/>
      <c r="AG86" s="7"/>
      <c r="AH86" s="7"/>
      <c r="AI86" s="7"/>
      <c r="AJ86" s="7"/>
      <c r="AK86" s="7"/>
      <c r="AL86" s="7"/>
      <c r="AM86" s="598"/>
      <c r="AN86" s="4"/>
      <c r="AO86" s="6"/>
      <c r="AP86" s="4"/>
      <c r="AQ86" s="7"/>
      <c r="AR86" s="4"/>
      <c r="AS86" s="6"/>
      <c r="AT86" s="6"/>
      <c r="AU86" s="4"/>
      <c r="AV86" s="7"/>
      <c r="AW86" s="9"/>
      <c r="AX86" s="9"/>
      <c r="AY86" s="9"/>
      <c r="AZ86" s="596"/>
      <c r="BA86" s="6"/>
      <c r="BB86" s="5"/>
      <c r="BC86" s="5"/>
    </row>
    <row r="87" spans="1:55" ht="61.5">
      <c r="A87" s="146" t="s">
        <v>67</v>
      </c>
      <c r="B87" s="143" t="s">
        <v>68</v>
      </c>
      <c r="C87" s="142" t="s">
        <v>69</v>
      </c>
      <c r="D87" s="142" t="s">
        <v>70</v>
      </c>
      <c r="E87" s="153" t="s">
        <v>137</v>
      </c>
      <c r="F87" s="142" t="s">
        <v>79</v>
      </c>
      <c r="G87" s="142" t="s">
        <v>80</v>
      </c>
      <c r="H87" s="142" t="s">
        <v>81</v>
      </c>
      <c r="I87" s="142" t="s">
        <v>82</v>
      </c>
      <c r="J87" s="142" t="s">
        <v>83</v>
      </c>
      <c r="K87" s="142" t="s">
        <v>84</v>
      </c>
      <c r="L87" s="143" t="s">
        <v>103</v>
      </c>
      <c r="M87" s="4"/>
      <c r="N87" s="4"/>
      <c r="O87" s="4"/>
      <c r="P87" s="4"/>
      <c r="Q87" s="4"/>
      <c r="R87" s="4"/>
      <c r="S87" s="17"/>
      <c r="T87" s="604"/>
      <c r="U87" s="4"/>
      <c r="V87" s="4"/>
      <c r="W87" s="4"/>
      <c r="X87" s="4"/>
      <c r="Y87" s="4"/>
      <c r="Z87" s="4"/>
      <c r="AA87" s="4"/>
      <c r="AB87" s="4"/>
      <c r="AC87" s="4"/>
      <c r="AD87" s="5"/>
      <c r="AE87" s="9"/>
      <c r="AF87" s="604"/>
      <c r="AG87" s="4"/>
      <c r="AH87" s="4"/>
      <c r="AI87" s="4"/>
      <c r="AJ87" s="6"/>
      <c r="AK87" s="6"/>
      <c r="AL87" s="6"/>
      <c r="AM87" s="598"/>
      <c r="AN87" s="4"/>
      <c r="AO87" s="6"/>
      <c r="AP87" s="4"/>
      <c r="AQ87" s="7"/>
      <c r="AR87" s="4"/>
      <c r="AS87" s="6"/>
      <c r="AT87" s="6"/>
      <c r="AU87" s="4"/>
      <c r="AV87" s="7"/>
      <c r="AW87" s="9"/>
      <c r="AX87" s="9"/>
      <c r="AY87" s="9"/>
      <c r="AZ87" s="596"/>
      <c r="BA87" s="6"/>
      <c r="BB87" s="5"/>
      <c r="BC87" s="5"/>
    </row>
    <row r="88" spans="1:55" ht="17.45" customHeight="1">
      <c r="A88" s="344" t="s">
        <v>118</v>
      </c>
      <c r="B88" s="342" t="s">
        <v>139</v>
      </c>
      <c r="C88" s="344" t="s">
        <v>140</v>
      </c>
      <c r="D88" s="344" t="s">
        <v>141</v>
      </c>
      <c r="E88" s="344" t="b">
        <v>1</v>
      </c>
      <c r="F88" s="344" t="s">
        <v>142</v>
      </c>
      <c r="G88" s="344" t="s">
        <v>142</v>
      </c>
      <c r="H88" s="344" t="s">
        <v>142</v>
      </c>
      <c r="I88" s="344" t="s">
        <v>142</v>
      </c>
      <c r="J88" s="344" t="s">
        <v>142</v>
      </c>
      <c r="K88" s="344" t="s">
        <v>142</v>
      </c>
      <c r="L88" s="344">
        <v>0</v>
      </c>
      <c r="M88" s="6"/>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c r="AQ88" s="7"/>
      <c r="AR88" s="7"/>
      <c r="AS88" s="7"/>
      <c r="AT88" s="7"/>
      <c r="AU88" s="4"/>
      <c r="AV88" s="7"/>
      <c r="AW88" s="9"/>
      <c r="AX88" s="9"/>
      <c r="AY88" s="9"/>
      <c r="AZ88" s="596"/>
      <c r="BA88" s="6"/>
      <c r="BB88" s="5"/>
      <c r="BC88" s="5"/>
    </row>
    <row r="89" spans="1:55">
      <c r="A89" s="166"/>
      <c r="B89" s="16"/>
      <c r="C89" s="16"/>
      <c r="D89" s="346"/>
      <c r="E89" s="16"/>
      <c r="F89" s="16"/>
      <c r="G89" s="16"/>
      <c r="H89" s="16"/>
      <c r="I89" s="16"/>
      <c r="J89" s="17"/>
      <c r="K89" s="17"/>
      <c r="L89" s="15"/>
      <c r="M89" s="4"/>
      <c r="N89" s="4"/>
      <c r="O89" s="4"/>
      <c r="P89" s="4"/>
      <c r="Q89" s="4"/>
      <c r="R89" s="4"/>
      <c r="S89" s="7"/>
      <c r="T89" s="7"/>
      <c r="U89" s="4"/>
      <c r="V89" s="4"/>
      <c r="W89" s="4"/>
      <c r="X89" s="4"/>
      <c r="Y89" s="4"/>
      <c r="Z89" s="4"/>
      <c r="AA89" s="4"/>
      <c r="AB89" s="4"/>
      <c r="AC89" s="4"/>
      <c r="AD89" s="5"/>
      <c r="AE89" s="9"/>
      <c r="AF89" s="4"/>
      <c r="AG89" s="4"/>
      <c r="AH89" s="4"/>
      <c r="AI89" s="4"/>
      <c r="AJ89" s="6"/>
      <c r="AK89" s="6"/>
      <c r="AL89" s="6"/>
      <c r="AM89" s="6"/>
      <c r="AN89" s="6"/>
      <c r="AO89" s="6"/>
      <c r="AP89" s="4"/>
      <c r="AQ89" s="4"/>
      <c r="AR89" s="4"/>
      <c r="AS89" s="6"/>
      <c r="AT89" s="6"/>
      <c r="AU89" s="4"/>
      <c r="AV89" s="7"/>
      <c r="AW89" s="9"/>
      <c r="AX89" s="9"/>
      <c r="AY89" s="9"/>
      <c r="AZ89" s="596"/>
      <c r="BA89" s="6"/>
      <c r="BB89" s="5"/>
      <c r="BC89" s="5"/>
    </row>
    <row r="90" spans="1:55" ht="15" thickBot="1">
      <c r="A90" s="3"/>
      <c r="B90" s="4"/>
      <c r="C90" s="4"/>
      <c r="D90" s="2"/>
      <c r="E90" s="4"/>
      <c r="F90" s="4"/>
      <c r="G90" s="4"/>
      <c r="H90" s="4"/>
      <c r="I90" s="4"/>
      <c r="J90" s="7"/>
      <c r="K90" s="7"/>
      <c r="L90" s="6"/>
      <c r="M90" s="4"/>
      <c r="N90" s="4"/>
      <c r="O90" s="4"/>
      <c r="P90" s="4"/>
      <c r="Q90" s="4"/>
      <c r="R90" s="4"/>
      <c r="S90" s="7"/>
      <c r="T90" s="7"/>
      <c r="U90" s="4"/>
      <c r="V90" s="4"/>
      <c r="W90" s="4"/>
      <c r="X90" s="4"/>
      <c r="Y90" s="4"/>
      <c r="Z90" s="4"/>
      <c r="AA90" s="4"/>
      <c r="AB90" s="4"/>
      <c r="AC90" s="4"/>
      <c r="AD90" s="5"/>
      <c r="AE90" s="9"/>
      <c r="AF90" s="4"/>
      <c r="AG90" s="4"/>
      <c r="AH90" s="4"/>
      <c r="AI90" s="4"/>
      <c r="AJ90" s="6"/>
      <c r="AK90" s="6"/>
      <c r="AL90" s="6"/>
      <c r="AM90" s="6"/>
      <c r="AN90" s="6"/>
      <c r="AO90" s="6"/>
      <c r="AP90" s="4"/>
      <c r="AQ90" s="4"/>
      <c r="AR90" s="4"/>
      <c r="AS90" s="6"/>
      <c r="AT90" s="6"/>
      <c r="AU90" s="4"/>
      <c r="AV90" s="7"/>
      <c r="AW90" s="9"/>
      <c r="AX90" s="9"/>
      <c r="AY90" s="9"/>
      <c r="AZ90" s="596"/>
      <c r="BA90" s="6"/>
      <c r="BB90" s="5"/>
      <c r="BC90" s="5"/>
    </row>
    <row r="91" spans="1:55" ht="88.5">
      <c r="A91" s="142" t="s">
        <v>70</v>
      </c>
      <c r="B91" s="153" t="s">
        <v>78</v>
      </c>
      <c r="C91" s="146" t="s">
        <v>86</v>
      </c>
      <c r="D91" s="142" t="s">
        <v>87</v>
      </c>
      <c r="E91" s="142" t="s">
        <v>88</v>
      </c>
      <c r="F91" s="142" t="s">
        <v>89</v>
      </c>
      <c r="G91" s="142" t="s">
        <v>145</v>
      </c>
      <c r="H91" s="142" t="s">
        <v>145</v>
      </c>
      <c r="I91" s="142" t="s">
        <v>91</v>
      </c>
      <c r="J91" s="142" t="s">
        <v>92</v>
      </c>
      <c r="K91" s="154" t="s">
        <v>97</v>
      </c>
      <c r="L91" s="145" t="s">
        <v>108</v>
      </c>
      <c r="M91" s="155" t="s">
        <v>109</v>
      </c>
      <c r="N91" s="156" t="s">
        <v>110</v>
      </c>
      <c r="O91" s="156" t="s">
        <v>111</v>
      </c>
      <c r="P91" s="155" t="s">
        <v>112</v>
      </c>
      <c r="Q91" s="155" t="s">
        <v>113</v>
      </c>
      <c r="R91" s="157" t="s">
        <v>114</v>
      </c>
      <c r="S91" s="158" t="s">
        <v>115</v>
      </c>
      <c r="T91" s="159" t="s">
        <v>116</v>
      </c>
      <c r="U91" s="160" t="s">
        <v>117</v>
      </c>
      <c r="V91" s="4"/>
      <c r="W91" s="4"/>
      <c r="X91" s="4"/>
      <c r="Y91" s="4"/>
      <c r="Z91" s="4"/>
      <c r="AA91" s="4"/>
      <c r="AB91" s="4"/>
      <c r="AC91" s="4"/>
      <c r="AD91" s="5"/>
      <c r="AE91" s="9"/>
      <c r="AF91" s="4"/>
      <c r="AG91" s="4"/>
      <c r="AH91" s="4"/>
      <c r="AI91" s="4"/>
      <c r="AJ91" s="6"/>
      <c r="AK91" s="6"/>
      <c r="AL91" s="6"/>
      <c r="AM91" s="6"/>
      <c r="AN91" s="6"/>
      <c r="AO91" s="6"/>
      <c r="AP91" s="4"/>
      <c r="AQ91" s="4"/>
      <c r="AR91" s="4"/>
      <c r="AS91" s="6"/>
      <c r="AT91" s="6"/>
      <c r="AU91" s="4"/>
      <c r="AV91" s="7"/>
      <c r="AW91" s="9"/>
      <c r="AX91" s="9"/>
      <c r="AY91" s="9"/>
      <c r="AZ91" s="596"/>
      <c r="BA91" s="6"/>
      <c r="BB91" s="5"/>
      <c r="BC91" s="5"/>
    </row>
    <row r="92" spans="1:55">
      <c r="A92" s="344" t="s">
        <v>118</v>
      </c>
      <c r="B92" s="344" t="b">
        <v>1</v>
      </c>
      <c r="C92" s="344" t="s">
        <v>118</v>
      </c>
      <c r="D92" s="344" t="s">
        <v>118</v>
      </c>
      <c r="E92" s="344" t="s">
        <v>118</v>
      </c>
      <c r="F92" s="344" t="s">
        <v>118</v>
      </c>
      <c r="G92" s="344" t="s">
        <v>118</v>
      </c>
      <c r="H92" s="344" t="s">
        <v>118</v>
      </c>
      <c r="I92" s="344" t="s">
        <v>118</v>
      </c>
      <c r="J92" s="344" t="s">
        <v>118</v>
      </c>
      <c r="K92" s="344"/>
      <c r="L92" s="344" t="s">
        <v>118</v>
      </c>
      <c r="M92" s="344" t="s">
        <v>118</v>
      </c>
      <c r="N92" s="344" t="s">
        <v>118</v>
      </c>
      <c r="O92" s="344" t="s">
        <v>118</v>
      </c>
      <c r="P92" s="344" t="s">
        <v>118</v>
      </c>
      <c r="Q92" s="344" t="s">
        <v>118</v>
      </c>
      <c r="R92" s="344" t="s">
        <v>118</v>
      </c>
      <c r="S92" s="344"/>
      <c r="T92" s="344"/>
      <c r="U92" s="344"/>
      <c r="V92" s="4"/>
      <c r="W92" s="4"/>
      <c r="X92" s="4"/>
      <c r="Y92" s="4"/>
      <c r="Z92" s="4"/>
      <c r="AA92" s="4"/>
      <c r="AB92" s="4"/>
      <c r="AC92" s="4"/>
      <c r="AD92" s="5"/>
      <c r="AE92" s="9"/>
      <c r="AF92" s="4"/>
      <c r="AG92" s="4"/>
      <c r="AH92" s="4"/>
      <c r="AI92" s="4"/>
      <c r="AJ92" s="6"/>
      <c r="AK92" s="6"/>
      <c r="AL92" s="6"/>
      <c r="AM92" s="6"/>
      <c r="AN92" s="6"/>
      <c r="AO92" s="6"/>
      <c r="AP92" s="4"/>
      <c r="AQ92" s="4"/>
      <c r="AR92" s="4"/>
      <c r="AS92" s="6"/>
      <c r="AT92" s="6"/>
      <c r="AU92" s="4"/>
      <c r="AV92" s="7"/>
      <c r="AW92" s="9"/>
      <c r="AX92" s="9"/>
      <c r="AY92" s="9"/>
      <c r="AZ92" s="596"/>
      <c r="BA92" s="6"/>
      <c r="BB92" s="5"/>
      <c r="BC92" s="5"/>
    </row>
    <row r="93" spans="1:55">
      <c r="A93" s="3"/>
      <c r="B93" s="4"/>
      <c r="C93" s="4"/>
      <c r="D93" s="2"/>
      <c r="E93" s="4"/>
      <c r="F93" s="4"/>
      <c r="G93" s="4"/>
      <c r="H93" s="4"/>
      <c r="I93" s="4"/>
      <c r="J93" s="7"/>
      <c r="K93" s="7"/>
      <c r="L93" s="6"/>
      <c r="M93" s="4"/>
      <c r="N93" s="4"/>
      <c r="O93" s="4"/>
      <c r="P93" s="4"/>
      <c r="Q93" s="4"/>
      <c r="R93" s="4"/>
      <c r="S93" s="7"/>
      <c r="T93" s="7"/>
      <c r="U93" s="4"/>
      <c r="V93" s="4"/>
      <c r="W93" s="4"/>
      <c r="X93" s="4"/>
      <c r="Y93" s="4"/>
      <c r="Z93" s="4"/>
      <c r="AA93" s="4"/>
      <c r="AB93" s="4"/>
      <c r="AC93" s="4"/>
      <c r="AD93" s="5"/>
      <c r="AE93" s="9"/>
      <c r="AF93" s="4"/>
      <c r="AG93" s="4"/>
      <c r="AH93" s="4"/>
      <c r="AI93" s="4"/>
      <c r="AJ93" s="6"/>
      <c r="AK93" s="6"/>
      <c r="AL93" s="6"/>
      <c r="AM93" s="6"/>
      <c r="AN93" s="6"/>
      <c r="AO93" s="6"/>
      <c r="AP93" s="4"/>
      <c r="AQ93" s="4"/>
      <c r="AR93" s="4"/>
      <c r="AS93" s="6"/>
      <c r="AT93" s="6"/>
      <c r="AU93" s="4"/>
      <c r="AV93" s="7"/>
      <c r="AW93" s="9"/>
      <c r="AX93" s="9"/>
      <c r="AY93" s="9"/>
      <c r="AZ93" s="596"/>
      <c r="BA93" s="6"/>
      <c r="BB93" s="5"/>
      <c r="BC93" s="5"/>
    </row>
    <row r="94" spans="1:55" ht="15" thickBot="1">
      <c r="A94" s="3"/>
      <c r="B94" s="4"/>
      <c r="C94" s="4"/>
      <c r="D94" s="2"/>
      <c r="E94" s="4"/>
      <c r="F94" s="4"/>
      <c r="G94" s="4"/>
      <c r="H94" s="4"/>
      <c r="I94" s="4"/>
      <c r="J94" s="7"/>
      <c r="K94" s="7"/>
      <c r="L94" s="6"/>
      <c r="M94" s="4"/>
      <c r="N94" s="4"/>
      <c r="O94" s="4"/>
      <c r="P94" s="4"/>
      <c r="Q94" s="4"/>
      <c r="R94" s="4"/>
      <c r="S94" s="7"/>
      <c r="T94" s="7"/>
      <c r="U94" s="4"/>
      <c r="V94" s="4"/>
      <c r="W94" s="4"/>
      <c r="X94" s="4"/>
      <c r="Y94" s="4"/>
      <c r="Z94" s="4"/>
      <c r="AA94" s="4"/>
      <c r="AB94" s="4"/>
      <c r="AC94" s="4"/>
      <c r="AD94" s="5"/>
      <c r="AE94" s="9"/>
      <c r="AF94" s="4"/>
      <c r="AG94" s="4"/>
      <c r="AH94" s="4"/>
      <c r="AI94" s="4"/>
      <c r="AJ94" s="6"/>
      <c r="AK94" s="6"/>
      <c r="AL94" s="6"/>
      <c r="AM94" s="6"/>
      <c r="AN94" s="6"/>
      <c r="AO94" s="6"/>
      <c r="AP94" s="4"/>
      <c r="AQ94" s="4"/>
      <c r="AR94" s="4"/>
      <c r="AS94" s="6"/>
      <c r="AT94" s="6"/>
      <c r="AU94" s="4"/>
      <c r="AV94" s="7"/>
      <c r="AW94" s="9"/>
      <c r="AX94" s="9"/>
      <c r="AY94" s="9"/>
      <c r="AZ94" s="596"/>
      <c r="BA94" s="6"/>
      <c r="BB94" s="5"/>
      <c r="BC94" s="5"/>
    </row>
    <row r="95" spans="1:55" ht="88.5">
      <c r="A95" s="3"/>
      <c r="B95" s="4"/>
      <c r="C95" s="4"/>
      <c r="D95" s="2"/>
      <c r="E95" s="4"/>
      <c r="F95" s="4"/>
      <c r="G95" s="142" t="s">
        <v>145</v>
      </c>
      <c r="H95" s="142" t="s">
        <v>145</v>
      </c>
      <c r="I95" s="142" t="s">
        <v>91</v>
      </c>
      <c r="J95" s="142" t="s">
        <v>92</v>
      </c>
      <c r="K95" s="154" t="s">
        <v>97</v>
      </c>
      <c r="L95" s="145" t="s">
        <v>108</v>
      </c>
      <c r="M95" s="155" t="s">
        <v>109</v>
      </c>
      <c r="N95" s="156" t="s">
        <v>110</v>
      </c>
      <c r="O95" s="156" t="s">
        <v>111</v>
      </c>
      <c r="P95" s="155" t="s">
        <v>112</v>
      </c>
      <c r="Q95" s="155" t="s">
        <v>113</v>
      </c>
      <c r="R95" s="157" t="s">
        <v>114</v>
      </c>
      <c r="S95" s="158" t="s">
        <v>115</v>
      </c>
      <c r="T95" s="159" t="s">
        <v>116</v>
      </c>
      <c r="U95" s="160" t="s">
        <v>117</v>
      </c>
      <c r="V95" s="4"/>
      <c r="W95" s="4"/>
      <c r="X95" s="4"/>
      <c r="Y95" s="4"/>
      <c r="Z95" s="4"/>
      <c r="AA95" s="4"/>
      <c r="AB95" s="4"/>
      <c r="AC95" s="4"/>
      <c r="AD95" s="5"/>
      <c r="AE95" s="9"/>
      <c r="AF95" s="4"/>
      <c r="AG95" s="4"/>
      <c r="AH95" s="4"/>
      <c r="AI95" s="4"/>
      <c r="AJ95" s="6"/>
      <c r="AK95" s="6"/>
      <c r="AL95" s="6"/>
      <c r="AM95" s="6"/>
      <c r="AN95" s="6"/>
      <c r="AO95" s="6"/>
      <c r="AP95" s="4"/>
      <c r="AQ95" s="4"/>
      <c r="AR95" s="4"/>
      <c r="AS95" s="6"/>
      <c r="AT95" s="6"/>
      <c r="AU95" s="4"/>
      <c r="AV95" s="7"/>
      <c r="AW95" s="9"/>
      <c r="AX95" s="9"/>
      <c r="AY95" s="9"/>
      <c r="AZ95" s="596"/>
      <c r="BA95" s="6"/>
      <c r="BB95" s="5"/>
      <c r="BC95" s="5"/>
    </row>
    <row r="96" spans="1:55">
      <c r="A96" s="3"/>
      <c r="B96" s="4"/>
      <c r="C96" s="4"/>
      <c r="D96" s="2"/>
      <c r="E96" s="4"/>
      <c r="F96" s="4"/>
      <c r="G96" s="344" t="s">
        <v>118</v>
      </c>
      <c r="H96" s="344" t="s">
        <v>118</v>
      </c>
      <c r="I96" s="344" t="s">
        <v>118</v>
      </c>
      <c r="J96" s="344" t="s">
        <v>118</v>
      </c>
      <c r="K96" s="344"/>
      <c r="L96" s="344" t="s">
        <v>118</v>
      </c>
      <c r="M96" s="344" t="s">
        <v>118</v>
      </c>
      <c r="N96" s="344" t="s">
        <v>118</v>
      </c>
      <c r="O96" s="344" t="s">
        <v>118</v>
      </c>
      <c r="P96" s="344" t="s">
        <v>118</v>
      </c>
      <c r="Q96" s="344" t="s">
        <v>118</v>
      </c>
      <c r="R96" s="344" t="s">
        <v>118</v>
      </c>
      <c r="S96" s="344"/>
      <c r="T96" s="344"/>
      <c r="U96" s="344"/>
      <c r="V96" s="4"/>
      <c r="W96" s="4"/>
      <c r="X96" s="4"/>
      <c r="Y96" s="4"/>
      <c r="Z96" s="4"/>
      <c r="AA96" s="4"/>
      <c r="AB96" s="4"/>
      <c r="AC96" s="4"/>
      <c r="AD96" s="5"/>
      <c r="AE96" s="9"/>
      <c r="AF96" s="4"/>
      <c r="AG96" s="4"/>
      <c r="AH96" s="4"/>
      <c r="AI96" s="4"/>
      <c r="AJ96" s="6"/>
      <c r="AK96" s="6"/>
      <c r="AL96" s="6"/>
      <c r="AM96" s="6"/>
      <c r="AN96" s="6"/>
      <c r="AO96" s="6"/>
      <c r="AP96" s="4"/>
      <c r="AQ96" s="4"/>
      <c r="AR96" s="4"/>
      <c r="AS96" s="6"/>
      <c r="AT96" s="6"/>
      <c r="AU96" s="4"/>
      <c r="AV96" s="7"/>
      <c r="AW96" s="9"/>
      <c r="AX96" s="9"/>
      <c r="AY96" s="9"/>
      <c r="AZ96" s="596"/>
      <c r="BA96" s="6"/>
      <c r="BB96" s="5"/>
      <c r="BC96" s="5"/>
    </row>
    <row r="97" spans="1:55">
      <c r="A97" s="3"/>
      <c r="B97" s="4"/>
      <c r="C97" s="4"/>
      <c r="D97" s="2"/>
      <c r="E97" s="4"/>
      <c r="F97" s="4"/>
      <c r="G97" s="4"/>
      <c r="H97" s="4"/>
      <c r="I97" s="4"/>
      <c r="J97" s="7"/>
      <c r="K97" s="7"/>
      <c r="L97" s="6"/>
      <c r="M97" s="4"/>
      <c r="N97" s="4"/>
      <c r="O97" s="4"/>
      <c r="P97" s="4"/>
      <c r="Q97" s="4"/>
      <c r="R97" s="4"/>
      <c r="S97" s="7"/>
      <c r="T97" s="7"/>
      <c r="U97" s="4"/>
      <c r="V97" s="4"/>
      <c r="W97" s="4"/>
      <c r="X97" s="4"/>
      <c r="Y97" s="4"/>
      <c r="Z97" s="4"/>
      <c r="AA97" s="4"/>
      <c r="AB97" s="4"/>
      <c r="AC97" s="4"/>
      <c r="AD97" s="5"/>
      <c r="AE97" s="9"/>
      <c r="AF97" s="4"/>
      <c r="AG97" s="4"/>
      <c r="AH97" s="4"/>
      <c r="AI97" s="4"/>
      <c r="AJ97" s="6"/>
      <c r="AK97" s="6"/>
      <c r="AL97" s="6"/>
      <c r="AM97" s="6"/>
      <c r="AN97" s="6"/>
      <c r="AO97" s="6"/>
      <c r="AP97" s="4"/>
      <c r="AQ97" s="4"/>
      <c r="AR97" s="4"/>
      <c r="AS97" s="6"/>
      <c r="AT97" s="6"/>
      <c r="AU97" s="4"/>
      <c r="AV97" s="7"/>
      <c r="AW97" s="9"/>
      <c r="AX97" s="9"/>
      <c r="AY97" s="9"/>
      <c r="AZ97" s="596"/>
      <c r="BA97" s="6"/>
      <c r="BB97" s="5"/>
      <c r="BC97" s="5"/>
    </row>
    <row r="98" spans="1:55">
      <c r="A98" s="3"/>
      <c r="B98" s="4"/>
      <c r="C98" s="4"/>
      <c r="D98" s="2"/>
      <c r="E98" s="4"/>
      <c r="F98" s="4"/>
      <c r="G98" s="4"/>
      <c r="H98" s="4"/>
      <c r="I98" s="4"/>
      <c r="J98" s="7"/>
      <c r="K98" s="7"/>
      <c r="L98" s="6"/>
      <c r="M98" s="4"/>
      <c r="N98" s="4"/>
      <c r="O98" s="4"/>
      <c r="P98" s="4"/>
      <c r="Q98" s="4"/>
      <c r="R98" s="4"/>
      <c r="S98" s="7"/>
      <c r="T98" s="7"/>
      <c r="U98" s="4"/>
      <c r="V98" s="4"/>
      <c r="W98" s="4"/>
      <c r="X98" s="4"/>
      <c r="Y98" s="4"/>
      <c r="Z98" s="4"/>
      <c r="AA98" s="4"/>
      <c r="AB98" s="4"/>
      <c r="AC98" s="4"/>
      <c r="AD98" s="5"/>
      <c r="AE98" s="9"/>
      <c r="AF98" s="4"/>
      <c r="AG98" s="4"/>
      <c r="AH98" s="4"/>
      <c r="AI98" s="4"/>
      <c r="AJ98" s="6"/>
      <c r="AK98" s="6"/>
      <c r="AL98" s="6"/>
      <c r="AM98" s="6"/>
      <c r="AN98" s="6"/>
      <c r="AO98" s="6"/>
      <c r="AP98" s="4"/>
      <c r="AQ98" s="4"/>
      <c r="AR98" s="4"/>
      <c r="AS98" s="6"/>
      <c r="AT98" s="6"/>
      <c r="AU98" s="4"/>
      <c r="AV98" s="7"/>
      <c r="AW98" s="9"/>
      <c r="AX98" s="9"/>
      <c r="AY98" s="9"/>
      <c r="AZ98" s="596"/>
      <c r="BA98" s="6"/>
      <c r="BB98" s="5"/>
      <c r="BC98" s="5"/>
    </row>
    <row r="99" spans="1:55">
      <c r="A99" s="3"/>
      <c r="B99" s="4"/>
      <c r="C99" s="4"/>
      <c r="D99" s="2"/>
      <c r="E99" s="4"/>
      <c r="F99" s="4"/>
      <c r="G99" s="4"/>
      <c r="H99" s="4"/>
      <c r="I99" s="4"/>
      <c r="J99" s="7"/>
      <c r="K99" s="7"/>
      <c r="L99" s="6"/>
      <c r="M99" s="4"/>
      <c r="N99" s="4"/>
      <c r="O99" s="4"/>
      <c r="P99" s="4"/>
      <c r="Q99" s="4"/>
      <c r="R99" s="4"/>
      <c r="S99" s="7"/>
      <c r="T99" s="7"/>
      <c r="U99" s="4"/>
      <c r="V99" s="4"/>
      <c r="W99" s="4"/>
      <c r="X99" s="4"/>
      <c r="Y99" s="4"/>
      <c r="Z99" s="4"/>
      <c r="AA99" s="4"/>
      <c r="AB99" s="4"/>
      <c r="AC99" s="4"/>
      <c r="AD99" s="5"/>
      <c r="AE99" s="9"/>
      <c r="AF99" s="4"/>
      <c r="AG99" s="4"/>
      <c r="AH99" s="4"/>
      <c r="AI99" s="4"/>
      <c r="AJ99" s="6"/>
      <c r="AK99" s="6"/>
      <c r="AL99" s="6"/>
      <c r="AM99" s="6"/>
      <c r="AN99" s="6"/>
      <c r="AO99" s="6"/>
      <c r="AP99" s="4"/>
      <c r="AQ99" s="4"/>
      <c r="AR99" s="4"/>
      <c r="AS99" s="6"/>
      <c r="AT99" s="6"/>
      <c r="AU99" s="4"/>
      <c r="AV99" s="7"/>
      <c r="AW99" s="9"/>
      <c r="AX99" s="9"/>
      <c r="AY99" s="9"/>
      <c r="AZ99" s="596"/>
      <c r="BA99" s="6"/>
      <c r="BB99" s="5"/>
      <c r="BC99" s="5"/>
    </row>
    <row r="100" spans="1:55">
      <c r="A100" s="3"/>
      <c r="B100" s="4"/>
      <c r="C100" s="4"/>
      <c r="D100" s="2"/>
      <c r="E100" s="4"/>
      <c r="F100" s="4"/>
      <c r="G100" s="4"/>
      <c r="H100" s="4"/>
      <c r="I100" s="4"/>
      <c r="J100" s="7"/>
      <c r="K100" s="7"/>
      <c r="L100" s="6"/>
      <c r="M100" s="4"/>
      <c r="N100" s="4"/>
      <c r="O100" s="4"/>
      <c r="P100" s="4"/>
      <c r="Q100" s="4"/>
      <c r="R100" s="4"/>
      <c r="S100" s="7"/>
      <c r="T100" s="7"/>
      <c r="U100" s="4"/>
      <c r="V100" s="4"/>
      <c r="W100" s="4"/>
      <c r="X100" s="4"/>
      <c r="Y100" s="4"/>
      <c r="Z100" s="4"/>
      <c r="AA100" s="4"/>
      <c r="AB100" s="4"/>
      <c r="AC100" s="4"/>
      <c r="AD100" s="5"/>
      <c r="AE100" s="9"/>
      <c r="AF100" s="4"/>
      <c r="AG100" s="4"/>
      <c r="AH100" s="4"/>
      <c r="AI100" s="4"/>
      <c r="AJ100" s="6"/>
      <c r="AK100" s="6"/>
      <c r="AL100" s="6"/>
      <c r="AM100" s="6"/>
      <c r="AN100" s="6"/>
      <c r="AO100" s="6"/>
      <c r="AP100" s="4"/>
      <c r="AQ100" s="4"/>
      <c r="AR100" s="4"/>
      <c r="AS100" s="6"/>
      <c r="AT100" s="6"/>
      <c r="AU100" s="4"/>
      <c r="AV100" s="7"/>
      <c r="AW100" s="9"/>
      <c r="AX100" s="9"/>
      <c r="AY100" s="9"/>
      <c r="AZ100" s="596"/>
      <c r="BA100" s="6"/>
      <c r="BB100" s="5"/>
      <c r="BC100" s="5"/>
    </row>
    <row r="101" spans="1:55">
      <c r="A101" s="3"/>
      <c r="B101" s="4"/>
      <c r="C101" s="4"/>
      <c r="D101" s="2"/>
      <c r="E101" s="4"/>
      <c r="F101" s="4"/>
      <c r="G101" s="4"/>
      <c r="H101" s="4"/>
      <c r="I101" s="4"/>
      <c r="J101" s="7"/>
      <c r="K101" s="7"/>
      <c r="L101" s="6"/>
      <c r="M101" s="4"/>
      <c r="N101" s="4"/>
      <c r="O101" s="4"/>
      <c r="P101" s="4"/>
      <c r="Q101" s="4"/>
      <c r="R101" s="4"/>
      <c r="S101" s="7"/>
      <c r="T101" s="7"/>
      <c r="U101" s="4"/>
      <c r="V101" s="4"/>
      <c r="W101" s="4"/>
      <c r="X101" s="4"/>
      <c r="Y101" s="4"/>
      <c r="Z101" s="4"/>
      <c r="AA101" s="4"/>
      <c r="AB101" s="4"/>
      <c r="AC101" s="4"/>
      <c r="AD101" s="5"/>
      <c r="AE101" s="9"/>
      <c r="AF101" s="4"/>
      <c r="AG101" s="4"/>
      <c r="AH101" s="4"/>
      <c r="AI101" s="4"/>
      <c r="AJ101" s="6"/>
      <c r="AK101" s="6"/>
      <c r="AL101" s="6"/>
      <c r="AM101" s="6"/>
      <c r="AN101" s="6"/>
      <c r="AO101" s="6"/>
      <c r="AP101" s="4"/>
      <c r="AQ101" s="4"/>
      <c r="AR101" s="4"/>
      <c r="AS101" s="6"/>
      <c r="AT101" s="6"/>
      <c r="AU101" s="4"/>
      <c r="AV101" s="7"/>
      <c r="AW101" s="9"/>
      <c r="AX101" s="9"/>
      <c r="AY101" s="9"/>
      <c r="AZ101" s="596"/>
      <c r="BA101" s="6"/>
      <c r="BB101" s="5"/>
      <c r="BC101" s="5"/>
    </row>
    <row r="102" spans="1:55">
      <c r="A102" s="3"/>
      <c r="B102" s="4"/>
      <c r="C102" s="4"/>
      <c r="D102" s="2"/>
      <c r="E102" s="4"/>
      <c r="F102" s="4"/>
      <c r="G102" s="4"/>
      <c r="H102" s="4"/>
      <c r="I102" s="4"/>
      <c r="J102" s="7"/>
      <c r="K102" s="7"/>
      <c r="L102" s="6"/>
      <c r="M102" s="4"/>
      <c r="N102" s="4"/>
      <c r="O102" s="4"/>
      <c r="P102" s="4"/>
      <c r="Q102" s="4"/>
      <c r="R102" s="4"/>
      <c r="S102" s="7"/>
      <c r="T102" s="7"/>
      <c r="U102" s="4"/>
      <c r="V102" s="4"/>
      <c r="W102" s="4"/>
      <c r="X102" s="4"/>
      <c r="Y102" s="4"/>
      <c r="Z102" s="4"/>
      <c r="AA102" s="4"/>
      <c r="AB102" s="4"/>
      <c r="AC102" s="4"/>
      <c r="AD102" s="5"/>
      <c r="AE102" s="9"/>
      <c r="AF102" s="4"/>
      <c r="AG102" s="4"/>
      <c r="AH102" s="4"/>
      <c r="AI102" s="4"/>
      <c r="AJ102" s="6"/>
      <c r="AK102" s="6"/>
      <c r="AL102" s="6"/>
      <c r="AM102" s="6"/>
      <c r="AN102" s="6"/>
      <c r="AO102" s="6"/>
      <c r="AP102" s="4"/>
      <c r="AQ102" s="4"/>
      <c r="AR102" s="4"/>
      <c r="AS102" s="6"/>
      <c r="AT102" s="6"/>
      <c r="AU102" s="4"/>
      <c r="AV102" s="7"/>
      <c r="AW102" s="9"/>
      <c r="AX102" s="9"/>
      <c r="AY102" s="9"/>
      <c r="AZ102" s="596"/>
      <c r="BA102" s="6"/>
      <c r="BB102" s="5"/>
      <c r="BC102" s="5"/>
    </row>
    <row r="103" spans="1:55">
      <c r="A103" s="3"/>
      <c r="B103" s="4"/>
      <c r="C103" s="4"/>
      <c r="D103" s="2"/>
      <c r="E103" s="4"/>
      <c r="F103" s="4"/>
      <c r="G103" s="4"/>
      <c r="H103" s="4"/>
      <c r="I103" s="4"/>
      <c r="J103" s="7"/>
      <c r="K103" s="7"/>
      <c r="L103" s="6"/>
      <c r="M103" s="4"/>
      <c r="N103" s="4"/>
      <c r="O103" s="4"/>
      <c r="P103" s="4"/>
      <c r="Q103" s="4"/>
      <c r="R103" s="4"/>
      <c r="S103" s="7"/>
      <c r="T103" s="7"/>
      <c r="U103" s="4"/>
      <c r="V103" s="4"/>
      <c r="W103" s="4"/>
      <c r="X103" s="4"/>
      <c r="Y103" s="4"/>
      <c r="Z103" s="4"/>
      <c r="AA103" s="4"/>
      <c r="AB103" s="4"/>
      <c r="AC103" s="4"/>
      <c r="AD103" s="5"/>
      <c r="AE103" s="9"/>
      <c r="AF103" s="4"/>
      <c r="AG103" s="4"/>
      <c r="AH103" s="4"/>
      <c r="AI103" s="4"/>
      <c r="AJ103" s="6"/>
      <c r="AK103" s="6"/>
      <c r="AL103" s="6"/>
      <c r="AM103" s="6"/>
      <c r="AN103" s="6"/>
      <c r="AO103" s="6"/>
      <c r="AP103" s="4"/>
      <c r="AQ103" s="4"/>
      <c r="AR103" s="4"/>
      <c r="AS103" s="6"/>
      <c r="AT103" s="6"/>
      <c r="AU103" s="4"/>
      <c r="AV103" s="7"/>
      <c r="AW103" s="9"/>
      <c r="AX103" s="9"/>
      <c r="AY103" s="9"/>
      <c r="AZ103" s="596"/>
      <c r="BA103" s="6"/>
      <c r="BB103" s="5"/>
      <c r="BC103" s="5"/>
    </row>
    <row r="104" spans="1:55">
      <c r="A104" s="3"/>
      <c r="B104" s="4"/>
      <c r="C104" s="4"/>
      <c r="D104" s="2"/>
      <c r="E104" s="4"/>
      <c r="F104" s="4"/>
      <c r="G104" s="4"/>
      <c r="H104" s="4"/>
      <c r="I104" s="4"/>
      <c r="J104" s="7"/>
      <c r="K104" s="7"/>
      <c r="L104" s="6"/>
      <c r="M104" s="4"/>
      <c r="N104" s="4"/>
      <c r="O104" s="4"/>
      <c r="P104" s="4"/>
      <c r="Q104" s="4"/>
      <c r="R104" s="4"/>
      <c r="S104" s="7"/>
      <c r="T104" s="7"/>
      <c r="U104" s="4"/>
      <c r="V104" s="4"/>
      <c r="W104" s="4"/>
      <c r="X104" s="4"/>
      <c r="Y104" s="4"/>
      <c r="Z104" s="4"/>
      <c r="AA104" s="4"/>
      <c r="AB104" s="4"/>
      <c r="AC104" s="4"/>
      <c r="AD104" s="5"/>
      <c r="AE104" s="9"/>
      <c r="AF104" s="4"/>
      <c r="AG104" s="4"/>
      <c r="AH104" s="4"/>
      <c r="AI104" s="4"/>
      <c r="AJ104" s="6"/>
      <c r="AK104" s="6"/>
      <c r="AL104" s="6"/>
      <c r="AM104" s="6"/>
      <c r="AN104" s="6"/>
      <c r="AO104" s="6"/>
      <c r="AP104" s="4"/>
      <c r="AQ104" s="4"/>
      <c r="AR104" s="4"/>
      <c r="AS104" s="6"/>
      <c r="AT104" s="6"/>
      <c r="AU104" s="4"/>
      <c r="AV104" s="7"/>
      <c r="AW104" s="9"/>
      <c r="AX104" s="9"/>
      <c r="AY104" s="9"/>
      <c r="AZ104" s="596"/>
      <c r="BA104" s="6"/>
      <c r="BB104" s="5"/>
      <c r="BC104" s="5"/>
    </row>
    <row r="105" spans="1:55">
      <c r="A105" s="3"/>
      <c r="B105" s="4"/>
      <c r="C105" s="4"/>
      <c r="D105" s="2"/>
      <c r="E105" s="4"/>
      <c r="F105" s="4"/>
      <c r="G105" s="4"/>
      <c r="H105" s="4"/>
      <c r="I105" s="4"/>
      <c r="J105" s="7"/>
      <c r="K105" s="7"/>
      <c r="L105" s="6"/>
      <c r="M105" s="4"/>
      <c r="N105" s="4"/>
      <c r="O105" s="4"/>
      <c r="P105" s="4"/>
      <c r="Q105" s="4"/>
      <c r="R105" s="4"/>
      <c r="S105" s="7"/>
      <c r="T105" s="7"/>
      <c r="U105" s="4"/>
      <c r="V105" s="4"/>
      <c r="W105" s="4"/>
      <c r="X105" s="4"/>
      <c r="Y105" s="4"/>
      <c r="Z105" s="4"/>
      <c r="AA105" s="4"/>
      <c r="AB105" s="4"/>
      <c r="AC105" s="4"/>
      <c r="AD105" s="5"/>
      <c r="AE105" s="9"/>
      <c r="AF105" s="4"/>
      <c r="AG105" s="4"/>
      <c r="AH105" s="4"/>
      <c r="AI105" s="4"/>
      <c r="AJ105" s="6"/>
      <c r="AK105" s="6"/>
      <c r="AL105" s="6"/>
      <c r="AM105" s="6"/>
      <c r="AN105" s="6"/>
      <c r="AO105" s="6"/>
      <c r="AP105" s="4"/>
      <c r="AQ105" s="4"/>
      <c r="AR105" s="4"/>
      <c r="AS105" s="6"/>
      <c r="AT105" s="6"/>
      <c r="AU105" s="4"/>
      <c r="AV105" s="7"/>
      <c r="AW105" s="9"/>
      <c r="AX105" s="9"/>
      <c r="AY105" s="9"/>
      <c r="AZ105" s="596"/>
      <c r="BA105" s="6"/>
      <c r="BB105" s="5"/>
      <c r="BC105" s="5"/>
    </row>
    <row r="106" spans="1:55">
      <c r="A106" s="3"/>
      <c r="B106" s="4"/>
      <c r="C106" s="4"/>
      <c r="D106" s="2"/>
      <c r="E106" s="4"/>
      <c r="F106" s="4"/>
      <c r="G106" s="4"/>
      <c r="H106" s="4"/>
      <c r="I106" s="4"/>
      <c r="J106" s="7"/>
      <c r="K106" s="7"/>
      <c r="L106" s="6"/>
      <c r="M106" s="4"/>
      <c r="N106" s="4"/>
      <c r="O106" s="4"/>
      <c r="P106" s="4"/>
      <c r="Q106" s="4"/>
      <c r="R106" s="4"/>
      <c r="S106" s="7"/>
      <c r="T106" s="7"/>
      <c r="U106" s="4"/>
      <c r="V106" s="4"/>
      <c r="W106" s="4"/>
      <c r="X106" s="4"/>
      <c r="Y106" s="4"/>
      <c r="Z106" s="4"/>
      <c r="AA106" s="4"/>
      <c r="AB106" s="4"/>
      <c r="AC106" s="4"/>
      <c r="AD106" s="5"/>
      <c r="AE106" s="9"/>
      <c r="AF106" s="4"/>
      <c r="AG106" s="4"/>
      <c r="AH106" s="4"/>
      <c r="AI106" s="4"/>
      <c r="AJ106" s="6"/>
      <c r="AK106" s="6"/>
      <c r="AL106" s="6"/>
      <c r="AM106" s="6"/>
      <c r="AN106" s="6"/>
      <c r="AO106" s="6"/>
      <c r="AP106" s="4"/>
      <c r="AQ106" s="4"/>
      <c r="AR106" s="4"/>
      <c r="AS106" s="6"/>
      <c r="AT106" s="6"/>
      <c r="AU106" s="4"/>
      <c r="AV106" s="7"/>
      <c r="AW106" s="9"/>
      <c r="AX106" s="9"/>
      <c r="AY106" s="9"/>
      <c r="AZ106" s="596"/>
      <c r="BA106" s="6"/>
      <c r="BB106" s="5"/>
      <c r="BC106" s="5"/>
    </row>
    <row r="107" spans="1:55">
      <c r="A107" s="3"/>
      <c r="B107" s="4"/>
      <c r="C107" s="4"/>
      <c r="D107" s="2"/>
      <c r="E107" s="4"/>
      <c r="F107" s="4"/>
      <c r="G107" s="4"/>
      <c r="H107" s="4"/>
      <c r="I107" s="4"/>
      <c r="J107" s="7"/>
      <c r="K107" s="7"/>
      <c r="L107" s="6"/>
      <c r="M107" s="4"/>
      <c r="N107" s="4"/>
      <c r="O107" s="4"/>
      <c r="P107" s="4"/>
      <c r="Q107" s="4"/>
      <c r="R107" s="4"/>
      <c r="S107" s="7"/>
      <c r="T107" s="7"/>
      <c r="U107" s="4"/>
      <c r="V107" s="4"/>
      <c r="W107" s="4"/>
      <c r="X107" s="4"/>
      <c r="Y107" s="4"/>
      <c r="Z107" s="4"/>
      <c r="AA107" s="4"/>
      <c r="AB107" s="4"/>
      <c r="AC107" s="4"/>
      <c r="AD107" s="5"/>
      <c r="AE107" s="9"/>
      <c r="AF107" s="4"/>
      <c r="AG107" s="4"/>
      <c r="AH107" s="4"/>
      <c r="AI107" s="4"/>
      <c r="AJ107" s="6"/>
      <c r="AK107" s="6"/>
      <c r="AL107" s="6"/>
      <c r="AM107" s="6"/>
      <c r="AN107" s="6"/>
      <c r="AO107" s="6"/>
      <c r="AP107" s="4"/>
      <c r="AQ107" s="4"/>
      <c r="AR107" s="4"/>
      <c r="AS107" s="6"/>
      <c r="AT107" s="6"/>
      <c r="AU107" s="4"/>
      <c r="AV107" s="7"/>
      <c r="AW107" s="9"/>
      <c r="AX107" s="9"/>
      <c r="AY107" s="9"/>
      <c r="AZ107" s="596"/>
      <c r="BA107" s="6"/>
      <c r="BB107" s="5"/>
      <c r="BC107" s="5"/>
    </row>
    <row r="108" spans="1:55">
      <c r="A108" s="3"/>
      <c r="B108" s="4"/>
      <c r="C108" s="4"/>
      <c r="D108" s="2"/>
      <c r="E108" s="4"/>
      <c r="F108" s="4"/>
      <c r="G108" s="4"/>
      <c r="H108" s="4"/>
      <c r="I108" s="4"/>
      <c r="J108" s="7"/>
      <c r="K108" s="7"/>
      <c r="L108" s="6"/>
      <c r="M108" s="4"/>
      <c r="N108" s="4"/>
      <c r="O108" s="4"/>
      <c r="P108" s="4"/>
      <c r="Q108" s="4"/>
      <c r="R108" s="4"/>
      <c r="S108" s="7"/>
      <c r="T108" s="7"/>
      <c r="U108" s="4"/>
      <c r="V108" s="4"/>
      <c r="W108" s="4"/>
      <c r="X108" s="4"/>
      <c r="Y108" s="4"/>
      <c r="Z108" s="4"/>
      <c r="AA108" s="4"/>
      <c r="AB108" s="4"/>
      <c r="AC108" s="4"/>
      <c r="AD108" s="5"/>
      <c r="AE108" s="9"/>
      <c r="AF108" s="4"/>
      <c r="AG108" s="4"/>
      <c r="AH108" s="4"/>
      <c r="AI108" s="4"/>
      <c r="AJ108" s="6"/>
      <c r="AK108" s="6"/>
      <c r="AL108" s="6"/>
      <c r="AM108" s="6"/>
      <c r="AN108" s="6"/>
      <c r="AO108" s="6"/>
      <c r="AP108" s="4"/>
      <c r="AQ108" s="4"/>
      <c r="AR108" s="4"/>
      <c r="AS108" s="6"/>
      <c r="AT108" s="6"/>
      <c r="AU108" s="4"/>
      <c r="AV108" s="7"/>
      <c r="AW108" s="9"/>
      <c r="AX108" s="9"/>
      <c r="AY108" s="9"/>
      <c r="AZ108" s="596"/>
      <c r="BA108" s="6"/>
      <c r="BB108" s="5"/>
      <c r="BC108" s="5"/>
    </row>
    <row r="109" spans="1:55">
      <c r="A109" s="3"/>
      <c r="B109" s="4"/>
      <c r="C109" s="4"/>
      <c r="D109" s="2"/>
      <c r="E109" s="4"/>
      <c r="F109" s="4"/>
      <c r="G109" s="4"/>
      <c r="H109" s="4"/>
      <c r="I109" s="4"/>
      <c r="J109" s="7"/>
      <c r="K109" s="7"/>
      <c r="L109" s="6"/>
      <c r="M109" s="4"/>
      <c r="N109" s="4"/>
      <c r="O109" s="4"/>
      <c r="P109" s="4"/>
      <c r="Q109" s="4"/>
      <c r="R109" s="4"/>
      <c r="S109" s="7"/>
      <c r="T109" s="7"/>
      <c r="U109" s="4"/>
      <c r="V109" s="4"/>
      <c r="W109" s="4"/>
      <c r="X109" s="4"/>
      <c r="Y109" s="4"/>
      <c r="Z109" s="4"/>
      <c r="AA109" s="4"/>
      <c r="AB109" s="4"/>
      <c r="AC109" s="4"/>
      <c r="AD109" s="5"/>
      <c r="AE109" s="9"/>
      <c r="AF109" s="4"/>
      <c r="AG109" s="4"/>
      <c r="AH109" s="4"/>
      <c r="AI109" s="4"/>
      <c r="AJ109" s="6"/>
      <c r="AK109" s="6"/>
      <c r="AL109" s="6"/>
      <c r="AM109" s="6"/>
      <c r="AN109" s="6"/>
      <c r="AO109" s="6"/>
      <c r="AP109" s="4"/>
      <c r="AQ109" s="4"/>
      <c r="AR109" s="4"/>
      <c r="AS109" s="6"/>
      <c r="AT109" s="6"/>
      <c r="AU109" s="4"/>
      <c r="AV109" s="7"/>
      <c r="AW109" s="9"/>
      <c r="AX109" s="9"/>
      <c r="AY109" s="9"/>
      <c r="AZ109" s="596"/>
      <c r="BA109" s="6"/>
      <c r="BB109" s="5"/>
      <c r="BC109" s="5"/>
    </row>
    <row r="110" spans="1:55">
      <c r="A110" s="3"/>
      <c r="B110" s="4"/>
      <c r="C110" s="4"/>
      <c r="D110" s="2"/>
      <c r="E110" s="4"/>
      <c r="F110" s="4"/>
      <c r="G110" s="4"/>
      <c r="H110" s="4"/>
      <c r="I110" s="4"/>
      <c r="J110" s="7"/>
      <c r="K110" s="7"/>
      <c r="L110" s="6"/>
      <c r="M110" s="4"/>
      <c r="N110" s="4"/>
      <c r="O110" s="4"/>
      <c r="P110" s="4"/>
      <c r="Q110" s="4"/>
      <c r="R110" s="4"/>
      <c r="S110" s="7"/>
      <c r="T110" s="7"/>
      <c r="U110" s="4"/>
      <c r="V110" s="4"/>
      <c r="W110" s="4"/>
      <c r="X110" s="4"/>
      <c r="Y110" s="4"/>
      <c r="Z110" s="4"/>
      <c r="AA110" s="4"/>
      <c r="AB110" s="4"/>
      <c r="AC110" s="4"/>
      <c r="AD110" s="5"/>
      <c r="AE110" s="9"/>
      <c r="AF110" s="4"/>
      <c r="AG110" s="4"/>
      <c r="AH110" s="4"/>
      <c r="AI110" s="4"/>
      <c r="AJ110" s="6"/>
      <c r="AK110" s="6"/>
      <c r="AL110" s="6"/>
      <c r="AM110" s="6"/>
      <c r="AN110" s="6"/>
      <c r="AO110" s="6"/>
      <c r="AP110" s="4"/>
      <c r="AQ110" s="4"/>
      <c r="AR110" s="4"/>
      <c r="AS110" s="6"/>
      <c r="AT110" s="6"/>
      <c r="AU110" s="4"/>
      <c r="AV110" s="7"/>
      <c r="AW110" s="9"/>
      <c r="AX110" s="9"/>
      <c r="AY110" s="9"/>
      <c r="AZ110" s="596"/>
      <c r="BA110" s="6"/>
      <c r="BB110" s="5"/>
      <c r="BC110" s="5"/>
    </row>
    <row r="111" spans="1:55">
      <c r="A111" s="3"/>
      <c r="B111" s="4"/>
      <c r="C111" s="4"/>
      <c r="D111" s="2"/>
      <c r="E111" s="4"/>
      <c r="F111" s="4"/>
      <c r="G111" s="4"/>
      <c r="H111" s="4"/>
      <c r="I111" s="4"/>
      <c r="J111" s="7"/>
      <c r="K111" s="7"/>
      <c r="L111" s="6"/>
      <c r="M111" s="4"/>
      <c r="N111" s="4"/>
      <c r="O111" s="4"/>
      <c r="P111" s="4"/>
      <c r="Q111" s="4"/>
      <c r="R111" s="4"/>
      <c r="S111" s="7"/>
      <c r="T111" s="7"/>
      <c r="U111" s="4"/>
      <c r="V111" s="4"/>
      <c r="W111" s="4"/>
      <c r="X111" s="4"/>
      <c r="Y111" s="4"/>
      <c r="Z111" s="4"/>
      <c r="AA111" s="4"/>
      <c r="AB111" s="4"/>
      <c r="AC111" s="4"/>
      <c r="AD111" s="5"/>
      <c r="AE111" s="9"/>
      <c r="AF111" s="4"/>
      <c r="AG111" s="4"/>
      <c r="AH111" s="4"/>
      <c r="AI111" s="4"/>
      <c r="AJ111" s="6"/>
      <c r="AK111" s="6"/>
      <c r="AL111" s="6"/>
      <c r="AM111" s="6"/>
      <c r="AN111" s="6"/>
      <c r="AO111" s="6"/>
      <c r="AP111" s="4"/>
      <c r="AQ111" s="4"/>
      <c r="AR111" s="4"/>
      <c r="AS111" s="6"/>
      <c r="AT111" s="6"/>
      <c r="AU111" s="4"/>
      <c r="AV111" s="7"/>
      <c r="AW111" s="9"/>
      <c r="AX111" s="9"/>
      <c r="AY111" s="9"/>
      <c r="AZ111" s="596"/>
      <c r="BA111" s="6"/>
      <c r="BB111" s="5"/>
      <c r="BC111" s="5"/>
    </row>
    <row r="112" spans="1:55">
      <c r="A112" s="3"/>
      <c r="B112" s="4"/>
      <c r="C112" s="4"/>
      <c r="D112" s="2"/>
      <c r="E112" s="4"/>
      <c r="F112" s="4"/>
      <c r="G112" s="4"/>
      <c r="H112" s="4"/>
      <c r="I112" s="4"/>
      <c r="J112" s="7"/>
      <c r="K112" s="7"/>
      <c r="L112" s="6"/>
      <c r="M112" s="4"/>
      <c r="N112" s="4"/>
      <c r="O112" s="4"/>
      <c r="P112" s="4"/>
      <c r="Q112" s="4"/>
      <c r="R112" s="4"/>
      <c r="S112" s="7"/>
      <c r="T112" s="7"/>
      <c r="U112" s="4"/>
      <c r="V112" s="4"/>
      <c r="W112" s="4"/>
      <c r="X112" s="4"/>
      <c r="Y112" s="4"/>
      <c r="Z112" s="4"/>
      <c r="AA112" s="4"/>
      <c r="AB112" s="4"/>
      <c r="AC112" s="4"/>
      <c r="AD112" s="5"/>
      <c r="AE112" s="9"/>
      <c r="AF112" s="4"/>
      <c r="AG112" s="4"/>
      <c r="AH112" s="4"/>
      <c r="AI112" s="4"/>
      <c r="AJ112" s="6"/>
      <c r="AK112" s="6"/>
      <c r="AL112" s="6"/>
      <c r="AM112" s="6"/>
      <c r="AN112" s="6"/>
      <c r="AO112" s="6"/>
      <c r="AP112" s="4"/>
      <c r="AQ112" s="4"/>
      <c r="AR112" s="4"/>
      <c r="AS112" s="6"/>
      <c r="AT112" s="6"/>
      <c r="AU112" s="4"/>
      <c r="AV112" s="7"/>
      <c r="AW112" s="9"/>
      <c r="AX112" s="9"/>
      <c r="AY112" s="9"/>
      <c r="AZ112" s="596"/>
      <c r="BA112" s="6"/>
      <c r="BB112" s="5"/>
      <c r="BC112" s="5"/>
    </row>
    <row r="113" spans="1:55">
      <c r="A113" s="3"/>
      <c r="B113" s="4"/>
      <c r="C113" s="4"/>
      <c r="D113" s="2"/>
      <c r="E113" s="4"/>
      <c r="F113" s="4"/>
      <c r="G113" s="4"/>
      <c r="H113" s="4"/>
      <c r="I113" s="4"/>
      <c r="J113" s="7"/>
      <c r="K113" s="7"/>
      <c r="L113" s="6"/>
      <c r="M113" s="4"/>
      <c r="N113" s="4"/>
      <c r="O113" s="4"/>
      <c r="P113" s="4"/>
      <c r="Q113" s="4"/>
      <c r="R113" s="4"/>
      <c r="S113" s="7"/>
      <c r="T113" s="7"/>
      <c r="U113" s="4"/>
      <c r="V113" s="4"/>
      <c r="W113" s="4"/>
      <c r="X113" s="4"/>
      <c r="Y113" s="4"/>
      <c r="Z113" s="4"/>
      <c r="AA113" s="4"/>
      <c r="AB113" s="4"/>
      <c r="AC113" s="4"/>
      <c r="AD113" s="5"/>
      <c r="AE113" s="9"/>
      <c r="AF113" s="4"/>
      <c r="AG113" s="4"/>
      <c r="AH113" s="4"/>
      <c r="AI113" s="4"/>
      <c r="AJ113" s="6"/>
      <c r="AK113" s="6"/>
      <c r="AL113" s="6"/>
      <c r="AM113" s="6"/>
      <c r="AN113" s="6"/>
      <c r="AO113" s="6"/>
      <c r="AP113" s="4"/>
      <c r="AQ113" s="4"/>
      <c r="AR113" s="4"/>
      <c r="AS113" s="6"/>
      <c r="AT113" s="6"/>
      <c r="AU113" s="4"/>
      <c r="AV113" s="7"/>
      <c r="AW113" s="9"/>
      <c r="AX113" s="9"/>
      <c r="AY113" s="9"/>
      <c r="AZ113" s="596"/>
      <c r="BA113" s="6"/>
      <c r="BB113" s="5"/>
      <c r="BC113" s="5"/>
    </row>
    <row r="114" spans="1:55">
      <c r="A114" s="3"/>
      <c r="B114" s="4"/>
      <c r="C114" s="4"/>
      <c r="D114" s="2"/>
      <c r="E114" s="4"/>
      <c r="F114" s="4"/>
      <c r="G114" s="4"/>
      <c r="H114" s="4"/>
      <c r="I114" s="4"/>
      <c r="J114" s="7"/>
      <c r="K114" s="7"/>
      <c r="L114" s="6"/>
      <c r="M114" s="4"/>
      <c r="N114" s="4"/>
      <c r="O114" s="4"/>
      <c r="P114" s="4"/>
      <c r="Q114" s="4"/>
      <c r="R114" s="4"/>
      <c r="S114" s="7"/>
      <c r="T114" s="7"/>
      <c r="U114" s="4"/>
      <c r="V114" s="4"/>
      <c r="W114" s="4"/>
      <c r="X114" s="4"/>
      <c r="Y114" s="4"/>
      <c r="Z114" s="4"/>
      <c r="AA114" s="4"/>
      <c r="AB114" s="4"/>
      <c r="AC114" s="4"/>
      <c r="AD114" s="5"/>
      <c r="AE114" s="9"/>
      <c r="AF114" s="4"/>
      <c r="AG114" s="4"/>
      <c r="AH114" s="4"/>
      <c r="AI114" s="4"/>
      <c r="AJ114" s="6"/>
      <c r="AK114" s="6"/>
      <c r="AL114" s="6"/>
      <c r="AM114" s="6"/>
      <c r="AN114" s="6"/>
      <c r="AO114" s="6"/>
      <c r="AP114" s="4"/>
      <c r="AQ114" s="4"/>
      <c r="AR114" s="4"/>
      <c r="AS114" s="6"/>
      <c r="AT114" s="6"/>
      <c r="AU114" s="4"/>
      <c r="AV114" s="7"/>
      <c r="AW114" s="9"/>
      <c r="AX114" s="9"/>
      <c r="AY114" s="9"/>
      <c r="AZ114" s="596"/>
      <c r="BA114" s="6"/>
      <c r="BB114" s="5"/>
      <c r="BC114" s="5"/>
    </row>
    <row r="115" spans="1:55">
      <c r="A115" s="3"/>
      <c r="B115" s="4"/>
      <c r="C115" s="4"/>
      <c r="D115" s="2"/>
      <c r="E115" s="4"/>
      <c r="F115" s="4"/>
      <c r="G115" s="4"/>
      <c r="H115" s="4"/>
      <c r="I115" s="4"/>
      <c r="J115" s="7"/>
      <c r="K115" s="7"/>
      <c r="L115" s="6"/>
      <c r="M115" s="4"/>
      <c r="N115" s="4"/>
      <c r="O115" s="4"/>
      <c r="P115" s="4"/>
      <c r="Q115" s="4"/>
      <c r="R115" s="4"/>
      <c r="S115" s="7"/>
      <c r="T115" s="7"/>
      <c r="U115" s="4"/>
      <c r="V115" s="4"/>
      <c r="W115" s="4"/>
      <c r="X115" s="4"/>
      <c r="Y115" s="4"/>
      <c r="Z115" s="4"/>
      <c r="AA115" s="4"/>
      <c r="AB115" s="4"/>
      <c r="AC115" s="4"/>
      <c r="AD115" s="5"/>
      <c r="AE115" s="9"/>
      <c r="AF115" s="4"/>
      <c r="AG115" s="4"/>
      <c r="AH115" s="4"/>
      <c r="AI115" s="4"/>
      <c r="AJ115" s="6"/>
      <c r="AK115" s="6"/>
      <c r="AL115" s="6"/>
      <c r="AM115" s="6"/>
      <c r="AN115" s="6"/>
      <c r="AO115" s="6"/>
      <c r="AP115" s="4"/>
      <c r="AQ115" s="4"/>
      <c r="AR115" s="4"/>
      <c r="AS115" s="6"/>
      <c r="AT115" s="6"/>
      <c r="AU115" s="4"/>
      <c r="AV115" s="7"/>
      <c r="AW115" s="9"/>
      <c r="AX115" s="9"/>
      <c r="AY115" s="9"/>
      <c r="AZ115" s="596"/>
      <c r="BA115" s="6"/>
      <c r="BB115" s="5"/>
      <c r="BC115" s="5"/>
    </row>
    <row r="116" spans="1:55">
      <c r="A116" s="8"/>
      <c r="B116" s="8"/>
      <c r="C116" s="8"/>
      <c r="D116" s="8"/>
      <c r="E116" s="8"/>
      <c r="F116" s="8"/>
      <c r="G116" s="8"/>
      <c r="H116" s="8"/>
      <c r="I116" s="8"/>
      <c r="J116" s="8"/>
      <c r="K116" s="7"/>
      <c r="L116" s="8"/>
      <c r="M116" s="8"/>
      <c r="N116" s="8"/>
      <c r="O116" s="8"/>
      <c r="P116" s="8"/>
      <c r="Q116" s="8"/>
      <c r="R116" s="8"/>
      <c r="S116" s="7"/>
      <c r="T116" s="7"/>
      <c r="U116" s="8"/>
      <c r="V116" s="8"/>
      <c r="W116" s="8"/>
      <c r="X116" s="8"/>
      <c r="Y116" s="8"/>
      <c r="Z116" s="8"/>
      <c r="AA116" s="8"/>
      <c r="AB116" s="8"/>
      <c r="AC116" s="8"/>
      <c r="AD116" s="8"/>
      <c r="AE116" s="8"/>
      <c r="AF116" s="8"/>
      <c r="AG116" s="8"/>
      <c r="AH116" s="8"/>
      <c r="AI116" s="8"/>
      <c r="AJ116" s="8"/>
      <c r="AK116" s="8"/>
      <c r="AL116" s="8"/>
      <c r="AM116" s="6"/>
      <c r="AN116" s="8"/>
      <c r="AO116" s="8"/>
      <c r="AP116" s="8"/>
      <c r="AQ116" s="4"/>
      <c r="AR116" s="4"/>
      <c r="AS116" s="8"/>
      <c r="AT116" s="8"/>
      <c r="AU116" s="8"/>
      <c r="AV116" s="8"/>
      <c r="AW116" s="8"/>
      <c r="AX116" s="8"/>
      <c r="AY116" s="8"/>
      <c r="AZ116" s="596"/>
      <c r="BA116" s="8"/>
      <c r="BB116" s="8"/>
      <c r="BC116" s="8"/>
    </row>
    <row r="117" spans="1:55">
      <c r="A117" s="8"/>
      <c r="B117" s="8"/>
      <c r="C117" s="8"/>
      <c r="D117" s="8"/>
      <c r="E117" s="8"/>
      <c r="F117" s="8"/>
      <c r="G117" s="8"/>
      <c r="H117" s="8"/>
      <c r="I117" s="8"/>
      <c r="J117" s="8"/>
      <c r="K117" s="7"/>
      <c r="L117" s="8"/>
      <c r="M117" s="8"/>
      <c r="N117" s="8"/>
      <c r="O117" s="8"/>
      <c r="P117" s="8"/>
      <c r="Q117" s="8"/>
      <c r="R117" s="8"/>
      <c r="S117" s="7"/>
      <c r="T117" s="7"/>
      <c r="U117" s="8"/>
      <c r="V117" s="8"/>
      <c r="W117" s="8"/>
      <c r="X117" s="8"/>
      <c r="Y117" s="8"/>
      <c r="Z117" s="8"/>
      <c r="AA117" s="8"/>
      <c r="AB117" s="8"/>
      <c r="AC117" s="8"/>
      <c r="AD117" s="8"/>
      <c r="AE117" s="8"/>
      <c r="AF117" s="8"/>
      <c r="AG117" s="8"/>
      <c r="AH117" s="8"/>
      <c r="AI117" s="8"/>
      <c r="AJ117" s="8"/>
      <c r="AK117" s="8"/>
      <c r="AL117" s="8"/>
      <c r="AM117" s="6"/>
      <c r="AN117" s="8"/>
      <c r="AO117" s="8"/>
      <c r="AP117" s="8"/>
      <c r="AQ117" s="4"/>
      <c r="AR117" s="4"/>
      <c r="AS117" s="8"/>
      <c r="AT117" s="8"/>
      <c r="AU117" s="8"/>
      <c r="AV117" s="8"/>
      <c r="AW117" s="8"/>
      <c r="AX117" s="8"/>
      <c r="AY117" s="8"/>
      <c r="AZ117" s="596"/>
      <c r="BA117" s="8"/>
      <c r="BB117" s="8"/>
      <c r="BC117" s="8"/>
    </row>
    <row r="118" spans="1:55">
      <c r="A118" s="8"/>
      <c r="B118" s="8"/>
      <c r="C118" s="8"/>
      <c r="D118" s="8"/>
      <c r="E118" s="8"/>
      <c r="F118" s="8"/>
      <c r="G118" s="8"/>
      <c r="H118" s="8"/>
      <c r="I118" s="8"/>
      <c r="J118" s="8"/>
      <c r="K118" s="7"/>
      <c r="L118" s="8"/>
      <c r="M118" s="8"/>
      <c r="N118" s="8"/>
      <c r="O118" s="8"/>
      <c r="P118" s="8"/>
      <c r="Q118" s="8"/>
      <c r="R118" s="8"/>
      <c r="S118" s="7"/>
      <c r="T118" s="7"/>
      <c r="U118" s="8"/>
      <c r="V118" s="8"/>
      <c r="W118" s="8"/>
      <c r="X118" s="8"/>
      <c r="Y118" s="8"/>
      <c r="Z118" s="8"/>
      <c r="AA118" s="8"/>
      <c r="AB118" s="8"/>
      <c r="AC118" s="8"/>
      <c r="AD118" s="8"/>
      <c r="AE118" s="8"/>
      <c r="AF118" s="8"/>
      <c r="AG118" s="8"/>
      <c r="AH118" s="8"/>
      <c r="AI118" s="8"/>
      <c r="AJ118" s="8"/>
      <c r="AK118" s="8"/>
      <c r="AL118" s="8"/>
      <c r="AM118" s="6"/>
      <c r="AN118" s="8"/>
      <c r="AO118" s="8"/>
      <c r="AP118" s="8"/>
      <c r="AQ118" s="4"/>
      <c r="AR118" s="4"/>
      <c r="AS118" s="8"/>
      <c r="AT118" s="8"/>
      <c r="AU118" s="8"/>
      <c r="AV118" s="8"/>
      <c r="AW118" s="8"/>
      <c r="AX118" s="8"/>
      <c r="AY118" s="8"/>
      <c r="AZ118" s="596"/>
      <c r="BA118" s="8"/>
      <c r="BB118" s="8"/>
      <c r="BC118" s="8"/>
    </row>
    <row r="119" spans="1:55">
      <c r="A119" s="8"/>
      <c r="B119" s="8"/>
      <c r="C119" s="8"/>
      <c r="D119" s="8"/>
      <c r="E119" s="8"/>
      <c r="F119" s="8"/>
      <c r="G119" s="8"/>
      <c r="H119" s="8"/>
      <c r="I119" s="8"/>
      <c r="J119" s="8"/>
      <c r="K119" s="7"/>
      <c r="L119" s="8"/>
      <c r="M119" s="8"/>
      <c r="N119" s="8"/>
      <c r="O119" s="8"/>
      <c r="P119" s="8"/>
      <c r="Q119" s="8"/>
      <c r="R119" s="8"/>
      <c r="S119" s="7"/>
      <c r="T119" s="7"/>
      <c r="U119" s="8"/>
      <c r="V119" s="8"/>
      <c r="W119" s="8"/>
      <c r="X119" s="8"/>
      <c r="Y119" s="8"/>
      <c r="Z119" s="8"/>
      <c r="AA119" s="8"/>
      <c r="AB119" s="8"/>
      <c r="AC119" s="8"/>
      <c r="AD119" s="8"/>
      <c r="AE119" s="8"/>
      <c r="AF119" s="8"/>
      <c r="AG119" s="8"/>
      <c r="AH119" s="8"/>
      <c r="AI119" s="8"/>
      <c r="AJ119" s="8"/>
      <c r="AK119" s="8"/>
      <c r="AL119" s="8"/>
      <c r="AM119" s="6"/>
      <c r="AN119" s="8"/>
      <c r="AO119" s="8"/>
      <c r="AP119" s="8"/>
      <c r="AQ119" s="4"/>
      <c r="AR119" s="4"/>
      <c r="AS119" s="8"/>
      <c r="AT119" s="8"/>
      <c r="AU119" s="8"/>
      <c r="AV119" s="8"/>
      <c r="AW119" s="8"/>
      <c r="AX119" s="8"/>
      <c r="AY119" s="8"/>
      <c r="AZ119" s="596"/>
      <c r="BA119" s="8"/>
      <c r="BB119" s="8"/>
      <c r="BC119" s="8"/>
    </row>
    <row r="120" spans="1:55">
      <c r="A120" s="8"/>
      <c r="B120" s="8"/>
      <c r="C120" s="8"/>
      <c r="D120" s="8"/>
      <c r="E120" s="8"/>
      <c r="F120" s="8"/>
      <c r="G120" s="8"/>
      <c r="H120" s="8"/>
      <c r="I120" s="8"/>
      <c r="J120" s="8"/>
      <c r="K120" s="7"/>
      <c r="L120" s="8"/>
      <c r="M120" s="8"/>
      <c r="N120" s="8"/>
      <c r="O120" s="8"/>
      <c r="P120" s="8"/>
      <c r="Q120" s="8"/>
      <c r="R120" s="8"/>
      <c r="S120" s="7"/>
      <c r="T120" s="7"/>
      <c r="U120" s="8"/>
      <c r="V120" s="8"/>
      <c r="W120" s="8"/>
      <c r="X120" s="8"/>
      <c r="Y120" s="8"/>
      <c r="Z120" s="8"/>
      <c r="AA120" s="8"/>
      <c r="AB120" s="8"/>
      <c r="AC120" s="8"/>
      <c r="AD120" s="8"/>
      <c r="AE120" s="8"/>
      <c r="AF120" s="8"/>
      <c r="AG120" s="8"/>
      <c r="AH120" s="8"/>
      <c r="AI120" s="8"/>
      <c r="AJ120" s="8"/>
      <c r="AK120" s="8"/>
      <c r="AL120" s="8"/>
      <c r="AM120" s="6"/>
      <c r="AN120" s="8"/>
      <c r="AO120" s="8"/>
      <c r="AP120" s="8"/>
      <c r="AQ120" s="4"/>
      <c r="AR120" s="4"/>
      <c r="AS120" s="8"/>
      <c r="AT120" s="8"/>
      <c r="AU120" s="8"/>
      <c r="AV120" s="8"/>
      <c r="AW120" s="8"/>
      <c r="AX120" s="8"/>
      <c r="AY120" s="8"/>
      <c r="AZ120" s="596"/>
      <c r="BA120" s="8"/>
      <c r="BB120" s="8"/>
      <c r="BC120" s="8"/>
    </row>
    <row r="121" spans="1:55">
      <c r="A121" s="8"/>
      <c r="B121" s="8"/>
      <c r="C121" s="8"/>
      <c r="D121" s="8"/>
      <c r="E121" s="8"/>
      <c r="F121" s="8"/>
      <c r="G121" s="8"/>
      <c r="H121" s="8"/>
      <c r="I121" s="8"/>
      <c r="J121" s="8"/>
      <c r="K121" s="7"/>
      <c r="L121" s="8"/>
      <c r="M121" s="8"/>
      <c r="N121" s="8"/>
      <c r="O121" s="8"/>
      <c r="P121" s="8"/>
      <c r="Q121" s="8"/>
      <c r="R121" s="8"/>
      <c r="S121" s="7"/>
      <c r="T121" s="7"/>
      <c r="U121" s="8"/>
      <c r="V121" s="8"/>
      <c r="W121" s="8"/>
      <c r="X121" s="8"/>
      <c r="Y121" s="8"/>
      <c r="Z121" s="8"/>
      <c r="AA121" s="8"/>
      <c r="AB121" s="8"/>
      <c r="AC121" s="8"/>
      <c r="AD121" s="8"/>
      <c r="AE121" s="8"/>
      <c r="AF121" s="8"/>
      <c r="AG121" s="8"/>
      <c r="AH121" s="8"/>
      <c r="AI121" s="8"/>
      <c r="AJ121" s="8"/>
      <c r="AK121" s="8"/>
      <c r="AL121" s="8"/>
      <c r="AM121" s="6"/>
      <c r="AN121" s="8"/>
      <c r="AO121" s="8"/>
      <c r="AP121" s="8"/>
      <c r="AQ121" s="4"/>
      <c r="AR121" s="4"/>
      <c r="AS121" s="8"/>
      <c r="AT121" s="8"/>
      <c r="AU121" s="8"/>
      <c r="AV121" s="8"/>
      <c r="AW121" s="8"/>
      <c r="AX121" s="8"/>
      <c r="AY121" s="8"/>
      <c r="AZ121" s="596"/>
      <c r="BA121" s="8"/>
      <c r="BB121" s="8"/>
      <c r="BC121" s="8"/>
    </row>
    <row r="122" spans="1:55">
      <c r="A122" s="8"/>
      <c r="B122" s="8"/>
      <c r="C122" s="8"/>
      <c r="D122" s="8"/>
      <c r="E122" s="8"/>
      <c r="F122" s="8"/>
      <c r="G122" s="8"/>
      <c r="H122" s="8"/>
      <c r="I122" s="8"/>
      <c r="J122" s="8"/>
      <c r="K122" s="7"/>
      <c r="L122" s="8"/>
      <c r="M122" s="8"/>
      <c r="N122" s="8"/>
      <c r="O122" s="8"/>
      <c r="P122" s="8"/>
      <c r="Q122" s="8"/>
      <c r="R122" s="8"/>
      <c r="S122" s="7"/>
      <c r="T122" s="8"/>
      <c r="U122" s="8"/>
      <c r="V122" s="8"/>
      <c r="W122" s="8"/>
      <c r="X122" s="8"/>
      <c r="Y122" s="8"/>
      <c r="Z122" s="8"/>
      <c r="AA122" s="8"/>
      <c r="AB122" s="8"/>
      <c r="AC122" s="8"/>
      <c r="AD122" s="8"/>
      <c r="AE122" s="8"/>
      <c r="AF122" s="8"/>
      <c r="AG122" s="8"/>
      <c r="AH122" s="8"/>
      <c r="AI122" s="8"/>
      <c r="AJ122" s="8"/>
      <c r="AK122" s="8"/>
      <c r="AL122" s="8"/>
      <c r="AM122" s="6"/>
      <c r="AN122" s="8"/>
      <c r="AO122" s="8"/>
      <c r="AP122" s="8"/>
      <c r="AQ122" s="4"/>
      <c r="AR122" s="4"/>
      <c r="AS122" s="8"/>
      <c r="AT122" s="8"/>
      <c r="AU122" s="8"/>
      <c r="AV122" s="8"/>
      <c r="AW122" s="8"/>
      <c r="AX122" s="8"/>
      <c r="AY122" s="8"/>
      <c r="AZ122" s="596"/>
      <c r="BA122" s="8"/>
      <c r="BB122" s="8"/>
      <c r="BC122" s="8"/>
    </row>
    <row r="123" spans="1:55">
      <c r="A123" s="8"/>
      <c r="B123" s="8"/>
      <c r="C123" s="8"/>
      <c r="D123" s="8"/>
      <c r="E123" s="8"/>
      <c r="F123" s="8"/>
      <c r="G123" s="8"/>
      <c r="H123" s="8"/>
      <c r="I123" s="8"/>
      <c r="J123" s="8"/>
      <c r="K123" s="7"/>
      <c r="L123" s="8"/>
      <c r="M123" s="8"/>
      <c r="N123" s="8"/>
      <c r="O123" s="8"/>
      <c r="P123" s="8"/>
      <c r="Q123" s="8"/>
      <c r="R123" s="8"/>
      <c r="S123" s="7"/>
      <c r="T123" s="8"/>
      <c r="U123" s="8"/>
      <c r="V123" s="8"/>
      <c r="W123" s="8"/>
      <c r="X123" s="8"/>
      <c r="Y123" s="8"/>
      <c r="Z123" s="8"/>
      <c r="AA123" s="8"/>
      <c r="AB123" s="8"/>
      <c r="AC123" s="8"/>
      <c r="AD123" s="8"/>
      <c r="AE123" s="8"/>
      <c r="AF123" s="8"/>
      <c r="AG123" s="8"/>
      <c r="AH123" s="8"/>
      <c r="AI123" s="8"/>
      <c r="AJ123" s="8"/>
      <c r="AK123" s="8"/>
      <c r="AL123" s="8"/>
      <c r="AM123" s="6"/>
      <c r="AN123" s="8"/>
      <c r="AO123" s="8"/>
      <c r="AP123" s="8"/>
      <c r="AQ123" s="4"/>
      <c r="AR123" s="4"/>
      <c r="AS123" s="8"/>
      <c r="AT123" s="8"/>
      <c r="AU123" s="8"/>
      <c r="AV123" s="8"/>
      <c r="AW123" s="8"/>
      <c r="AX123" s="8"/>
      <c r="AY123" s="8"/>
      <c r="AZ123" s="596"/>
      <c r="BA123" s="8"/>
      <c r="BB123" s="8"/>
      <c r="BC123" s="8"/>
    </row>
    <row r="124" spans="1:55">
      <c r="A124" s="8"/>
      <c r="B124" s="8"/>
      <c r="C124" s="8"/>
      <c r="D124" s="8"/>
      <c r="E124" s="8"/>
      <c r="F124" s="8"/>
      <c r="G124" s="8"/>
      <c r="H124" s="8"/>
      <c r="I124" s="8"/>
      <c r="J124" s="8"/>
      <c r="K124" s="7"/>
      <c r="L124" s="8"/>
      <c r="M124" s="8"/>
      <c r="N124" s="8"/>
      <c r="O124" s="8"/>
      <c r="P124" s="8"/>
      <c r="Q124" s="8"/>
      <c r="R124" s="8"/>
      <c r="S124" s="7"/>
      <c r="T124" s="8"/>
      <c r="U124" s="8"/>
      <c r="V124" s="8"/>
      <c r="W124" s="8"/>
      <c r="X124" s="8"/>
      <c r="Y124" s="8"/>
      <c r="Z124" s="8"/>
      <c r="AA124" s="8"/>
      <c r="AB124" s="8"/>
      <c r="AC124" s="8"/>
      <c r="AD124" s="8"/>
      <c r="AE124" s="8"/>
      <c r="AF124" s="8"/>
      <c r="AG124" s="8"/>
      <c r="AH124" s="8"/>
      <c r="AI124" s="8"/>
      <c r="AJ124" s="8"/>
      <c r="AK124" s="8"/>
      <c r="AL124" s="8"/>
      <c r="AM124" s="6"/>
      <c r="AN124" s="8"/>
      <c r="AO124" s="8"/>
      <c r="AP124" s="8"/>
      <c r="AQ124" s="4"/>
      <c r="AR124" s="4"/>
      <c r="AS124" s="8"/>
      <c r="AT124" s="8"/>
      <c r="AU124" s="8"/>
      <c r="AV124" s="8"/>
      <c r="AW124" s="8"/>
      <c r="AX124" s="8"/>
      <c r="AY124" s="8"/>
      <c r="AZ124" s="596"/>
      <c r="BA124" s="8"/>
      <c r="BB124" s="8"/>
      <c r="BC124" s="8"/>
    </row>
    <row r="125" spans="1:55">
      <c r="A125" s="8"/>
      <c r="B125" s="8"/>
      <c r="C125" s="8"/>
      <c r="D125" s="8"/>
      <c r="E125" s="8"/>
      <c r="F125" s="8"/>
      <c r="G125" s="8"/>
      <c r="H125" s="8"/>
      <c r="I125" s="8"/>
      <c r="J125" s="8"/>
      <c r="K125" s="7"/>
      <c r="L125" s="8"/>
      <c r="M125" s="8"/>
      <c r="N125" s="8"/>
      <c r="O125" s="8"/>
      <c r="P125" s="8"/>
      <c r="Q125" s="8"/>
      <c r="R125" s="8"/>
      <c r="S125" s="7"/>
      <c r="T125" s="8"/>
      <c r="U125" s="8"/>
      <c r="V125" s="8"/>
      <c r="W125" s="8"/>
      <c r="X125" s="8"/>
      <c r="Y125" s="8"/>
      <c r="Z125" s="8"/>
      <c r="AA125" s="8"/>
      <c r="AB125" s="8"/>
      <c r="AC125" s="8"/>
      <c r="AD125" s="8"/>
      <c r="AE125" s="8"/>
      <c r="AF125" s="8"/>
      <c r="AG125" s="8"/>
      <c r="AH125" s="8"/>
      <c r="AI125" s="8"/>
      <c r="AJ125" s="8"/>
      <c r="AK125" s="8"/>
      <c r="AL125" s="8"/>
      <c r="AM125" s="6"/>
      <c r="AN125" s="8"/>
      <c r="AO125" s="8"/>
      <c r="AP125" s="8"/>
      <c r="AQ125" s="4"/>
      <c r="AR125" s="4"/>
      <c r="AS125" s="8"/>
      <c r="AT125" s="8"/>
      <c r="AU125" s="8"/>
      <c r="AV125" s="8"/>
      <c r="AW125" s="8"/>
      <c r="AX125" s="8"/>
      <c r="AY125" s="8"/>
      <c r="AZ125" s="596"/>
      <c r="BA125" s="8"/>
      <c r="BB125" s="8"/>
      <c r="BC125" s="8"/>
    </row>
    <row r="126" spans="1:55">
      <c r="A126" s="8"/>
      <c r="B126" s="8"/>
      <c r="C126" s="8"/>
      <c r="D126" s="8"/>
      <c r="E126" s="8"/>
      <c r="F126" s="8"/>
      <c r="G126" s="8"/>
      <c r="H126" s="8"/>
      <c r="I126" s="8"/>
      <c r="J126" s="8"/>
      <c r="K126" s="7"/>
      <c r="L126" s="8"/>
      <c r="M126" s="8"/>
      <c r="N126" s="8"/>
      <c r="O126" s="8"/>
      <c r="P126" s="8"/>
      <c r="Q126" s="8"/>
      <c r="R126" s="8"/>
      <c r="S126" s="7"/>
      <c r="T126" s="8"/>
      <c r="U126" s="8"/>
      <c r="V126" s="8"/>
      <c r="W126" s="8"/>
      <c r="X126" s="8"/>
      <c r="Y126" s="8"/>
      <c r="Z126" s="8"/>
      <c r="AA126" s="8"/>
      <c r="AB126" s="8"/>
      <c r="AC126" s="8"/>
      <c r="AD126" s="8"/>
      <c r="AE126" s="8"/>
      <c r="AF126" s="8"/>
      <c r="AG126" s="8"/>
      <c r="AH126" s="8"/>
      <c r="AI126" s="8"/>
      <c r="AJ126" s="8"/>
      <c r="AK126" s="8"/>
      <c r="AL126" s="8"/>
      <c r="AM126" s="6"/>
      <c r="AN126" s="8"/>
      <c r="AO126" s="8"/>
      <c r="AP126" s="8"/>
      <c r="AQ126" s="4"/>
      <c r="AR126" s="4"/>
      <c r="AS126" s="8"/>
      <c r="AT126" s="8"/>
      <c r="AU126" s="8"/>
      <c r="AV126" s="8"/>
      <c r="AW126" s="8"/>
      <c r="AX126" s="8"/>
      <c r="AY126" s="8"/>
      <c r="AZ126" s="596"/>
      <c r="BA126" s="8"/>
      <c r="BB126" s="8"/>
      <c r="BC126" s="8"/>
    </row>
    <row r="127" spans="1:55">
      <c r="A127" s="8"/>
      <c r="B127" s="8"/>
      <c r="C127" s="8"/>
      <c r="D127" s="8"/>
      <c r="E127" s="8"/>
      <c r="F127" s="8"/>
      <c r="G127" s="8"/>
      <c r="H127" s="8"/>
      <c r="I127" s="8"/>
      <c r="J127" s="8"/>
      <c r="K127" s="7"/>
      <c r="L127" s="8"/>
      <c r="M127" s="8"/>
      <c r="N127" s="8"/>
      <c r="O127" s="8"/>
      <c r="P127" s="8"/>
      <c r="Q127" s="8"/>
      <c r="R127" s="8"/>
      <c r="S127" s="7"/>
      <c r="T127" s="8"/>
      <c r="U127" s="8"/>
      <c r="V127" s="8"/>
      <c r="W127" s="8"/>
      <c r="X127" s="8"/>
      <c r="Y127" s="8"/>
      <c r="Z127" s="8"/>
      <c r="AA127" s="8"/>
      <c r="AB127" s="8"/>
      <c r="AC127" s="8"/>
      <c r="AD127" s="8"/>
      <c r="AE127" s="8"/>
      <c r="AF127" s="8"/>
      <c r="AG127" s="8"/>
      <c r="AH127" s="8"/>
      <c r="AI127" s="8"/>
      <c r="AJ127" s="8"/>
      <c r="AK127" s="8"/>
      <c r="AL127" s="8"/>
      <c r="AM127" s="6"/>
      <c r="AN127" s="8"/>
      <c r="AO127" s="8"/>
      <c r="AP127" s="8"/>
      <c r="AQ127" s="4"/>
      <c r="AR127" s="4"/>
      <c r="AS127" s="8"/>
      <c r="AT127" s="8"/>
      <c r="AU127" s="8"/>
      <c r="AV127" s="8"/>
      <c r="AW127" s="8"/>
      <c r="AX127" s="8"/>
      <c r="AY127" s="8"/>
      <c r="AZ127" s="596"/>
      <c r="BA127" s="8"/>
      <c r="BB127" s="8"/>
      <c r="BC127" s="8"/>
    </row>
    <row r="128" spans="1:55">
      <c r="A128" s="8"/>
      <c r="B128" s="8"/>
      <c r="C128" s="8"/>
      <c r="D128" s="8"/>
      <c r="E128" s="8"/>
      <c r="F128" s="8"/>
      <c r="G128" s="8"/>
      <c r="H128" s="8"/>
      <c r="I128" s="8"/>
      <c r="J128" s="8"/>
      <c r="K128" s="7"/>
      <c r="L128" s="8"/>
      <c r="M128" s="8"/>
      <c r="N128" s="8"/>
      <c r="O128" s="8"/>
      <c r="P128" s="8"/>
      <c r="Q128" s="8"/>
      <c r="R128" s="8"/>
      <c r="S128" s="7"/>
      <c r="T128" s="8"/>
      <c r="U128" s="8"/>
      <c r="V128" s="8"/>
      <c r="W128" s="8"/>
      <c r="X128" s="8"/>
      <c r="Y128" s="8"/>
      <c r="Z128" s="8"/>
      <c r="AA128" s="8"/>
      <c r="AB128" s="8"/>
      <c r="AC128" s="8"/>
      <c r="AD128" s="8"/>
      <c r="AE128" s="8"/>
      <c r="AF128" s="8"/>
      <c r="AG128" s="8"/>
      <c r="AH128" s="8"/>
      <c r="AI128" s="8"/>
      <c r="AJ128" s="8"/>
      <c r="AK128" s="8"/>
      <c r="AL128" s="8"/>
      <c r="AM128" s="6"/>
      <c r="AN128" s="8"/>
      <c r="AO128" s="8"/>
      <c r="AP128" s="8"/>
      <c r="AQ128" s="4"/>
      <c r="AR128" s="4"/>
      <c r="AS128" s="8"/>
      <c r="AT128" s="8"/>
      <c r="AU128" s="8"/>
      <c r="AV128" s="8"/>
      <c r="AW128" s="8"/>
      <c r="AX128" s="8"/>
      <c r="AY128" s="8"/>
      <c r="AZ128" s="596"/>
    </row>
    <row r="129" spans="1:52">
      <c r="A129" s="8"/>
      <c r="B129" s="8"/>
      <c r="C129" s="8"/>
      <c r="D129" s="8"/>
      <c r="E129" s="8"/>
      <c r="F129" s="8"/>
      <c r="G129" s="8"/>
      <c r="H129" s="8"/>
      <c r="I129" s="8"/>
      <c r="J129" s="8"/>
      <c r="K129" s="7"/>
      <c r="L129" s="8"/>
      <c r="M129" s="8"/>
      <c r="N129" s="8"/>
      <c r="O129" s="8"/>
      <c r="P129" s="8"/>
      <c r="Q129" s="8"/>
      <c r="R129" s="8"/>
      <c r="S129" s="7"/>
      <c r="T129" s="8"/>
      <c r="U129" s="8"/>
      <c r="V129" s="8"/>
      <c r="W129" s="8"/>
      <c r="X129" s="8"/>
      <c r="Y129" s="8"/>
      <c r="Z129" s="8"/>
      <c r="AA129" s="8"/>
      <c r="AB129" s="8"/>
      <c r="AC129" s="8"/>
      <c r="AD129" s="8"/>
      <c r="AE129" s="8"/>
      <c r="AF129" s="8"/>
      <c r="AG129" s="8"/>
      <c r="AH129" s="8"/>
      <c r="AI129" s="8"/>
      <c r="AJ129" s="8"/>
      <c r="AK129" s="8"/>
      <c r="AL129" s="8"/>
      <c r="AM129" s="6"/>
      <c r="AN129" s="8"/>
      <c r="AO129" s="8"/>
      <c r="AP129" s="8"/>
      <c r="AQ129" s="4"/>
      <c r="AR129" s="4"/>
      <c r="AS129" s="8"/>
      <c r="AT129" s="8"/>
      <c r="AU129" s="8"/>
      <c r="AV129" s="8"/>
      <c r="AW129" s="8"/>
      <c r="AX129" s="8"/>
      <c r="AY129" s="8"/>
      <c r="AZ129" s="596"/>
    </row>
    <row r="130" spans="1:52">
      <c r="A130" s="8"/>
      <c r="B130" s="8"/>
      <c r="C130" s="8"/>
      <c r="D130" s="8"/>
      <c r="E130" s="8"/>
      <c r="F130" s="8"/>
      <c r="G130" s="8"/>
      <c r="H130" s="8"/>
      <c r="I130" s="8"/>
      <c r="J130" s="8"/>
      <c r="K130" s="7"/>
      <c r="L130" s="8"/>
      <c r="M130" s="8"/>
      <c r="N130" s="8"/>
      <c r="O130" s="8"/>
      <c r="P130" s="8"/>
      <c r="Q130" s="8"/>
      <c r="R130" s="8"/>
      <c r="S130" s="7"/>
      <c r="T130" s="8"/>
      <c r="U130" s="8"/>
      <c r="V130" s="8"/>
      <c r="W130" s="8"/>
      <c r="X130" s="8"/>
      <c r="Y130" s="8"/>
      <c r="Z130" s="8"/>
      <c r="AA130" s="8"/>
      <c r="AB130" s="8"/>
      <c r="AC130" s="8"/>
      <c r="AD130" s="8"/>
      <c r="AE130" s="8"/>
      <c r="AF130" s="8"/>
      <c r="AG130" s="8"/>
      <c r="AH130" s="8"/>
      <c r="AI130" s="8"/>
      <c r="AJ130" s="8"/>
      <c r="AK130" s="8"/>
      <c r="AL130" s="8"/>
      <c r="AM130" s="6"/>
      <c r="AN130" s="8"/>
      <c r="AO130" s="8"/>
      <c r="AP130" s="8"/>
      <c r="AQ130" s="4"/>
      <c r="AR130" s="4"/>
      <c r="AS130" s="8"/>
      <c r="AT130" s="8"/>
      <c r="AU130" s="8"/>
      <c r="AV130" s="8"/>
      <c r="AW130" s="8"/>
      <c r="AX130" s="8"/>
      <c r="AY130" s="8"/>
      <c r="AZ130" s="596"/>
    </row>
    <row r="131" spans="1:52">
      <c r="A131" s="8"/>
      <c r="B131" s="8"/>
      <c r="C131" s="8"/>
      <c r="D131" s="8"/>
      <c r="E131" s="8"/>
      <c r="F131" s="8"/>
      <c r="G131" s="8"/>
      <c r="H131" s="8"/>
      <c r="I131" s="8"/>
      <c r="J131" s="8"/>
      <c r="K131" s="7"/>
      <c r="L131" s="8"/>
      <c r="M131" s="8"/>
      <c r="N131" s="8"/>
      <c r="O131" s="8"/>
      <c r="P131" s="8"/>
      <c r="Q131" s="8"/>
      <c r="R131" s="8"/>
      <c r="S131" s="7"/>
      <c r="T131" s="8"/>
      <c r="U131" s="8"/>
      <c r="V131" s="8"/>
      <c r="W131" s="8"/>
      <c r="X131" s="8"/>
      <c r="Y131" s="8"/>
      <c r="Z131" s="8"/>
      <c r="AA131" s="8"/>
      <c r="AB131" s="8"/>
      <c r="AC131" s="8"/>
      <c r="AD131" s="8"/>
      <c r="AE131" s="8"/>
      <c r="AF131" s="8"/>
      <c r="AG131" s="8"/>
      <c r="AH131" s="8"/>
      <c r="AI131" s="8"/>
      <c r="AJ131" s="8"/>
      <c r="AK131" s="8"/>
      <c r="AL131" s="8"/>
      <c r="AM131" s="6"/>
      <c r="AN131" s="8"/>
      <c r="AO131" s="8"/>
      <c r="AP131" s="8"/>
      <c r="AQ131" s="8"/>
      <c r="AR131" s="4"/>
      <c r="AS131" s="8"/>
      <c r="AT131" s="8"/>
      <c r="AU131" s="8"/>
      <c r="AV131" s="8"/>
      <c r="AW131" s="8"/>
      <c r="AX131" s="8"/>
      <c r="AY131" s="8"/>
      <c r="AZ131" s="596"/>
    </row>
    <row r="132" spans="1:52">
      <c r="A132" s="8"/>
      <c r="B132" s="8"/>
      <c r="C132" s="8"/>
      <c r="D132" s="8"/>
      <c r="E132" s="8"/>
      <c r="F132" s="8"/>
      <c r="G132" s="8"/>
      <c r="H132" s="8"/>
      <c r="I132" s="8"/>
      <c r="J132" s="8"/>
      <c r="K132" s="7"/>
      <c r="L132" s="8"/>
      <c r="M132" s="8"/>
      <c r="N132" s="8"/>
      <c r="O132" s="8"/>
      <c r="P132" s="8"/>
      <c r="Q132" s="8"/>
      <c r="R132" s="8"/>
      <c r="S132" s="7"/>
      <c r="T132" s="8"/>
      <c r="U132" s="8"/>
      <c r="V132" s="8"/>
      <c r="W132" s="8"/>
      <c r="X132" s="8"/>
      <c r="Y132" s="8"/>
      <c r="Z132" s="8"/>
      <c r="AA132" s="8"/>
      <c r="AB132" s="8"/>
      <c r="AC132" s="8"/>
      <c r="AD132" s="8"/>
      <c r="AE132" s="8"/>
      <c r="AF132" s="8"/>
      <c r="AG132" s="8"/>
      <c r="AH132" s="8"/>
      <c r="AI132" s="8"/>
      <c r="AJ132" s="8"/>
      <c r="AK132" s="8"/>
      <c r="AL132" s="8"/>
      <c r="AM132" s="6"/>
      <c r="AN132" s="8"/>
      <c r="AO132" s="8"/>
      <c r="AP132" s="8"/>
      <c r="AQ132" s="8"/>
      <c r="AR132" s="4"/>
      <c r="AS132" s="8"/>
      <c r="AT132" s="8"/>
      <c r="AU132" s="8"/>
      <c r="AV132" s="8"/>
      <c r="AW132" s="8"/>
      <c r="AX132" s="8"/>
      <c r="AY132" s="8"/>
      <c r="AZ132" s="596"/>
    </row>
    <row r="133" spans="1:52">
      <c r="A133" s="8"/>
      <c r="B133" s="8"/>
      <c r="C133" s="8"/>
      <c r="D133" s="8"/>
      <c r="E133" s="8"/>
      <c r="F133" s="8"/>
      <c r="G133" s="8"/>
      <c r="H133" s="8"/>
      <c r="I133" s="8"/>
      <c r="J133" s="8"/>
      <c r="K133" s="7"/>
      <c r="L133" s="8"/>
      <c r="M133" s="8"/>
      <c r="N133" s="8"/>
      <c r="O133" s="8"/>
      <c r="P133" s="8"/>
      <c r="Q133" s="8"/>
      <c r="R133" s="8"/>
      <c r="S133" s="7"/>
      <c r="T133" s="8"/>
      <c r="U133" s="8"/>
      <c r="V133" s="8"/>
      <c r="W133" s="8"/>
      <c r="X133" s="8"/>
      <c r="Y133" s="8"/>
      <c r="Z133" s="8"/>
      <c r="AA133" s="8"/>
      <c r="AB133" s="8"/>
      <c r="AC133" s="8"/>
      <c r="AD133" s="8"/>
      <c r="AE133" s="8"/>
      <c r="AF133" s="8"/>
      <c r="AG133" s="8"/>
      <c r="AH133" s="8"/>
      <c r="AI133" s="8"/>
      <c r="AJ133" s="8"/>
      <c r="AK133" s="8"/>
      <c r="AL133" s="8"/>
      <c r="AM133" s="6"/>
      <c r="AN133" s="8"/>
      <c r="AO133" s="8"/>
      <c r="AP133" s="8"/>
      <c r="AQ133" s="8"/>
      <c r="AR133" s="4"/>
      <c r="AS133" s="8"/>
      <c r="AT133" s="8"/>
      <c r="AU133" s="8"/>
      <c r="AV133" s="8"/>
      <c r="AW133" s="8"/>
      <c r="AX133" s="8"/>
      <c r="AY133" s="8"/>
      <c r="AZ133" s="596"/>
    </row>
    <row r="134" spans="1:52">
      <c r="A134" s="8"/>
      <c r="B134" s="8"/>
      <c r="C134" s="8"/>
      <c r="D134" s="8"/>
      <c r="E134" s="8"/>
      <c r="F134" s="8"/>
      <c r="G134" s="8"/>
      <c r="H134" s="8"/>
      <c r="I134" s="8"/>
      <c r="J134" s="8"/>
      <c r="K134" s="7"/>
      <c r="L134" s="8"/>
      <c r="M134" s="8"/>
      <c r="N134" s="8"/>
      <c r="O134" s="8"/>
      <c r="P134" s="8"/>
      <c r="Q134" s="8"/>
      <c r="R134" s="8"/>
      <c r="S134" s="7"/>
      <c r="T134" s="8"/>
      <c r="U134" s="8"/>
      <c r="V134" s="8"/>
      <c r="W134" s="8"/>
      <c r="X134" s="8"/>
      <c r="Y134" s="8"/>
      <c r="Z134" s="8"/>
      <c r="AA134" s="8"/>
      <c r="AB134" s="8"/>
      <c r="AC134" s="8"/>
      <c r="AD134" s="8"/>
      <c r="AE134" s="8"/>
      <c r="AF134" s="8"/>
      <c r="AG134" s="8"/>
      <c r="AH134" s="8"/>
      <c r="AI134" s="8"/>
      <c r="AJ134" s="8"/>
      <c r="AK134" s="8"/>
      <c r="AL134" s="8"/>
      <c r="AM134" s="6"/>
      <c r="AN134" s="8"/>
      <c r="AO134" s="8"/>
      <c r="AP134" s="8"/>
      <c r="AQ134" s="8"/>
      <c r="AR134" s="4"/>
      <c r="AS134" s="8"/>
      <c r="AT134" s="8"/>
      <c r="AU134" s="8"/>
      <c r="AV134" s="8"/>
      <c r="AW134" s="8"/>
      <c r="AX134" s="8"/>
      <c r="AY134" s="8"/>
      <c r="AZ134" s="596"/>
    </row>
    <row r="135" spans="1:52">
      <c r="A135" s="8"/>
      <c r="B135" s="8"/>
      <c r="C135" s="8"/>
      <c r="D135" s="8"/>
      <c r="E135" s="8"/>
      <c r="F135" s="8"/>
      <c r="G135" s="8"/>
      <c r="H135" s="8"/>
      <c r="I135" s="8"/>
      <c r="J135" s="8"/>
      <c r="K135" s="7"/>
      <c r="L135" s="8"/>
      <c r="M135" s="8"/>
      <c r="N135" s="8"/>
      <c r="O135" s="8"/>
      <c r="P135" s="8"/>
      <c r="Q135" s="8"/>
      <c r="R135" s="8"/>
      <c r="S135" s="7"/>
      <c r="T135" s="8"/>
      <c r="U135" s="8"/>
      <c r="V135" s="8"/>
      <c r="W135" s="8"/>
      <c r="X135" s="8"/>
      <c r="Y135" s="8"/>
      <c r="Z135" s="8"/>
      <c r="AA135" s="8"/>
      <c r="AB135" s="8"/>
      <c r="AC135" s="8"/>
      <c r="AD135" s="8"/>
      <c r="AE135" s="8"/>
      <c r="AF135" s="8"/>
      <c r="AG135" s="8"/>
      <c r="AH135" s="8"/>
      <c r="AI135" s="8"/>
      <c r="AJ135" s="8"/>
      <c r="AK135" s="8"/>
      <c r="AL135" s="8"/>
      <c r="AM135" s="6"/>
      <c r="AN135" s="8"/>
      <c r="AO135" s="8"/>
      <c r="AP135" s="8"/>
      <c r="AQ135" s="8"/>
      <c r="AR135" s="4"/>
      <c r="AS135" s="8"/>
      <c r="AT135" s="8"/>
      <c r="AU135" s="8"/>
      <c r="AV135" s="8"/>
      <c r="AW135" s="8"/>
      <c r="AX135" s="8"/>
      <c r="AY135" s="8"/>
      <c r="AZ135" s="596"/>
    </row>
    <row r="136" spans="1:52">
      <c r="A136" s="8"/>
      <c r="B136" s="8"/>
      <c r="C136" s="8"/>
      <c r="D136" s="8"/>
      <c r="E136" s="8"/>
      <c r="F136" s="8"/>
      <c r="G136" s="8"/>
      <c r="H136" s="8"/>
      <c r="I136" s="8"/>
      <c r="J136" s="8"/>
      <c r="K136" s="7"/>
      <c r="L136" s="8"/>
      <c r="M136" s="8"/>
      <c r="N136" s="8"/>
      <c r="O136" s="8"/>
      <c r="P136" s="8"/>
      <c r="Q136" s="8"/>
      <c r="R136" s="8"/>
      <c r="S136" s="7"/>
      <c r="T136" s="8"/>
      <c r="U136" s="8"/>
      <c r="V136" s="8"/>
      <c r="W136" s="8"/>
      <c r="X136" s="8"/>
      <c r="Y136" s="8"/>
      <c r="Z136" s="8"/>
      <c r="AA136" s="8"/>
      <c r="AB136" s="8"/>
      <c r="AC136" s="8"/>
      <c r="AD136" s="8"/>
      <c r="AE136" s="8"/>
      <c r="AF136" s="8"/>
      <c r="AG136" s="8"/>
      <c r="AH136" s="8"/>
      <c r="AI136" s="8"/>
      <c r="AJ136" s="8"/>
      <c r="AK136" s="8"/>
      <c r="AL136" s="8"/>
      <c r="AM136" s="6"/>
      <c r="AN136" s="8"/>
      <c r="AO136" s="8"/>
      <c r="AP136" s="8"/>
      <c r="AQ136" s="8"/>
      <c r="AR136" s="4"/>
      <c r="AS136" s="8"/>
      <c r="AT136" s="8"/>
      <c r="AU136" s="8"/>
      <c r="AV136" s="8"/>
      <c r="AW136" s="8"/>
      <c r="AX136" s="8"/>
      <c r="AY136" s="8"/>
      <c r="AZ136" s="596"/>
    </row>
    <row r="137" spans="1:52">
      <c r="A137" s="8"/>
      <c r="B137" s="8"/>
      <c r="C137" s="8"/>
      <c r="D137" s="8"/>
      <c r="E137" s="8"/>
      <c r="F137" s="8"/>
      <c r="G137" s="8"/>
      <c r="H137" s="8"/>
      <c r="I137" s="8"/>
      <c r="J137" s="8"/>
      <c r="K137" s="7"/>
      <c r="L137" s="8"/>
      <c r="M137" s="8"/>
      <c r="N137" s="8"/>
      <c r="O137" s="8"/>
      <c r="P137" s="8"/>
      <c r="Q137" s="8"/>
      <c r="R137" s="8"/>
      <c r="S137" s="7"/>
      <c r="T137" s="8"/>
      <c r="U137" s="8"/>
      <c r="V137" s="8"/>
      <c r="W137" s="8"/>
      <c r="X137" s="8"/>
      <c r="Y137" s="8"/>
      <c r="Z137" s="8"/>
      <c r="AA137" s="8"/>
      <c r="AB137" s="8"/>
      <c r="AC137" s="8"/>
      <c r="AD137" s="8"/>
      <c r="AE137" s="8"/>
      <c r="AF137" s="8"/>
      <c r="AG137" s="8"/>
      <c r="AH137" s="8"/>
      <c r="AI137" s="8"/>
      <c r="AJ137" s="8"/>
      <c r="AK137" s="8"/>
      <c r="AL137" s="8"/>
      <c r="AM137" s="6"/>
      <c r="AN137" s="8"/>
      <c r="AO137" s="8"/>
      <c r="AP137" s="8"/>
      <c r="AQ137" s="8"/>
      <c r="AR137" s="4"/>
      <c r="AS137" s="8"/>
      <c r="AT137" s="8"/>
      <c r="AU137" s="8"/>
      <c r="AV137" s="8"/>
      <c r="AW137" s="8"/>
      <c r="AX137" s="8"/>
      <c r="AY137" s="8"/>
      <c r="AZ137" s="596"/>
    </row>
    <row r="138" spans="1:52">
      <c r="A138" s="8"/>
      <c r="B138" s="8"/>
      <c r="C138" s="8"/>
      <c r="D138" s="8"/>
      <c r="E138" s="8"/>
      <c r="F138" s="8"/>
      <c r="G138" s="8"/>
      <c r="H138" s="8"/>
      <c r="I138" s="8"/>
      <c r="J138" s="8"/>
      <c r="K138" s="7"/>
      <c r="L138" s="8"/>
      <c r="M138" s="8"/>
      <c r="N138" s="8"/>
      <c r="O138" s="8"/>
      <c r="P138" s="8"/>
      <c r="Q138" s="8"/>
      <c r="R138" s="8"/>
      <c r="S138" s="7"/>
      <c r="T138" s="8"/>
      <c r="U138" s="8"/>
      <c r="V138" s="8"/>
      <c r="W138" s="8"/>
      <c r="X138" s="8"/>
      <c r="Y138" s="8"/>
      <c r="Z138" s="8"/>
      <c r="AA138" s="8"/>
      <c r="AB138" s="8"/>
      <c r="AC138" s="8"/>
      <c r="AD138" s="8"/>
      <c r="AE138" s="8"/>
      <c r="AF138" s="8"/>
      <c r="AG138" s="8"/>
      <c r="AH138" s="8"/>
      <c r="AI138" s="8"/>
      <c r="AJ138" s="8"/>
      <c r="AK138" s="8"/>
      <c r="AL138" s="8"/>
      <c r="AM138" s="6"/>
      <c r="AN138" s="8"/>
      <c r="AO138" s="8"/>
      <c r="AP138" s="8"/>
      <c r="AQ138" s="8"/>
      <c r="AR138" s="4"/>
      <c r="AS138" s="8"/>
      <c r="AT138" s="8"/>
      <c r="AU138" s="8"/>
      <c r="AV138" s="8"/>
      <c r="AW138" s="8"/>
      <c r="AX138" s="8"/>
      <c r="AY138" s="8"/>
      <c r="AZ138" s="596"/>
    </row>
    <row r="139" spans="1:52">
      <c r="A139" s="8"/>
      <c r="B139" s="8"/>
      <c r="C139" s="8"/>
      <c r="D139" s="8"/>
      <c r="E139" s="8"/>
      <c r="F139" s="8"/>
      <c r="G139" s="8"/>
      <c r="H139" s="8"/>
      <c r="I139" s="8"/>
      <c r="J139" s="8"/>
      <c r="K139" s="7"/>
      <c r="L139" s="8"/>
      <c r="M139" s="8"/>
      <c r="N139" s="8"/>
      <c r="O139" s="8"/>
      <c r="P139" s="8"/>
      <c r="Q139" s="8"/>
      <c r="R139" s="8"/>
      <c r="S139" s="7"/>
      <c r="T139" s="8"/>
      <c r="U139" s="8"/>
      <c r="V139" s="8"/>
      <c r="W139" s="8"/>
      <c r="X139" s="8"/>
      <c r="Y139" s="8"/>
      <c r="Z139" s="8"/>
      <c r="AA139" s="8"/>
      <c r="AB139" s="8"/>
      <c r="AC139" s="8"/>
      <c r="AD139" s="8"/>
      <c r="AE139" s="8"/>
      <c r="AF139" s="8"/>
      <c r="AG139" s="8"/>
      <c r="AH139" s="8"/>
      <c r="AI139" s="8"/>
      <c r="AJ139" s="8"/>
      <c r="AK139" s="8"/>
      <c r="AL139" s="8"/>
      <c r="AM139" s="6"/>
      <c r="AN139" s="8"/>
      <c r="AO139" s="8"/>
      <c r="AP139" s="8"/>
      <c r="AQ139" s="8"/>
      <c r="AR139" s="4"/>
      <c r="AS139" s="8"/>
      <c r="AT139" s="8"/>
      <c r="AU139" s="8"/>
      <c r="AV139" s="8"/>
      <c r="AW139" s="8"/>
      <c r="AX139" s="8"/>
      <c r="AY139" s="8"/>
      <c r="AZ139" s="596"/>
    </row>
    <row r="140" spans="1:52">
      <c r="A140" s="8"/>
      <c r="B140" s="8"/>
      <c r="C140" s="8"/>
      <c r="D140" s="8"/>
      <c r="E140" s="8"/>
      <c r="F140" s="8"/>
      <c r="G140" s="8"/>
      <c r="H140" s="8"/>
      <c r="I140" s="8"/>
      <c r="J140" s="8"/>
      <c r="K140" s="7"/>
      <c r="L140" s="8"/>
      <c r="M140" s="8"/>
      <c r="N140" s="8"/>
      <c r="O140" s="8"/>
      <c r="P140" s="8"/>
      <c r="Q140" s="8"/>
      <c r="R140" s="8"/>
      <c r="S140" s="7"/>
      <c r="T140" s="8"/>
      <c r="U140" s="8"/>
      <c r="V140" s="8"/>
      <c r="W140" s="8"/>
      <c r="X140" s="8"/>
      <c r="Y140" s="8"/>
      <c r="Z140" s="8"/>
      <c r="AA140" s="8"/>
      <c r="AB140" s="8"/>
      <c r="AC140" s="8"/>
      <c r="AD140" s="8"/>
      <c r="AE140" s="8"/>
      <c r="AF140" s="8"/>
      <c r="AG140" s="8"/>
      <c r="AH140" s="8"/>
      <c r="AI140" s="8"/>
      <c r="AJ140" s="8"/>
      <c r="AK140" s="8"/>
      <c r="AL140" s="8"/>
      <c r="AM140" s="6"/>
      <c r="AN140" s="8"/>
      <c r="AO140" s="8"/>
      <c r="AP140" s="8"/>
      <c r="AQ140" s="8"/>
      <c r="AR140" s="4"/>
      <c r="AS140" s="8"/>
      <c r="AT140" s="8"/>
      <c r="AU140" s="8"/>
      <c r="AV140" s="8"/>
      <c r="AW140" s="8"/>
      <c r="AX140" s="8"/>
      <c r="AY140" s="8"/>
      <c r="AZ140" s="596"/>
    </row>
    <row r="141" spans="1:52">
      <c r="A141" s="8"/>
      <c r="B141" s="8"/>
      <c r="C141" s="8"/>
      <c r="D141" s="8"/>
      <c r="E141" s="8"/>
      <c r="F141" s="8"/>
      <c r="G141" s="8"/>
      <c r="H141" s="8"/>
      <c r="I141" s="8"/>
      <c r="J141" s="8"/>
      <c r="K141" s="7"/>
      <c r="L141" s="8"/>
      <c r="M141" s="8"/>
      <c r="N141" s="8"/>
      <c r="O141" s="8"/>
      <c r="P141" s="8"/>
      <c r="Q141" s="8"/>
      <c r="R141" s="8"/>
      <c r="S141" s="7"/>
      <c r="T141" s="8"/>
      <c r="U141" s="8"/>
      <c r="V141" s="8"/>
      <c r="W141" s="8"/>
      <c r="X141" s="8"/>
      <c r="Y141" s="8"/>
      <c r="Z141" s="8"/>
      <c r="AA141" s="8"/>
      <c r="AB141" s="8"/>
      <c r="AC141" s="8"/>
      <c r="AD141" s="8"/>
      <c r="AE141" s="8"/>
      <c r="AF141" s="8"/>
      <c r="AG141" s="8"/>
      <c r="AH141" s="8"/>
      <c r="AI141" s="8"/>
      <c r="AJ141" s="8"/>
      <c r="AK141" s="8"/>
      <c r="AL141" s="8"/>
      <c r="AM141" s="6"/>
      <c r="AN141" s="8"/>
      <c r="AO141" s="8"/>
      <c r="AP141" s="8"/>
      <c r="AQ141" s="8"/>
      <c r="AR141" s="4"/>
      <c r="AS141" s="8"/>
      <c r="AT141" s="8"/>
      <c r="AU141" s="8"/>
      <c r="AV141" s="8"/>
      <c r="AW141" s="8"/>
      <c r="AX141" s="8"/>
      <c r="AY141" s="8"/>
      <c r="AZ141" s="596"/>
    </row>
    <row r="142" spans="1:52">
      <c r="A142" s="8"/>
      <c r="B142" s="8"/>
      <c r="C142" s="8"/>
      <c r="D142" s="8"/>
      <c r="E142" s="8"/>
      <c r="F142" s="8"/>
      <c r="G142" s="8"/>
      <c r="H142" s="8"/>
      <c r="I142" s="8"/>
      <c r="J142" s="8"/>
      <c r="K142" s="7"/>
      <c r="L142" s="8"/>
      <c r="M142" s="8"/>
      <c r="N142" s="8"/>
      <c r="O142" s="8"/>
      <c r="P142" s="8"/>
      <c r="Q142" s="8"/>
      <c r="R142" s="8"/>
      <c r="S142" s="7"/>
      <c r="T142" s="8"/>
      <c r="U142" s="8"/>
      <c r="V142" s="8"/>
      <c r="W142" s="8"/>
      <c r="X142" s="8"/>
      <c r="Y142" s="8"/>
      <c r="Z142" s="8"/>
      <c r="AA142" s="8"/>
      <c r="AB142" s="8"/>
      <c r="AC142" s="8"/>
      <c r="AD142" s="8"/>
      <c r="AE142" s="8"/>
      <c r="AF142" s="8"/>
      <c r="AG142" s="8"/>
      <c r="AH142" s="8"/>
      <c r="AI142" s="8"/>
      <c r="AJ142" s="8"/>
      <c r="AK142" s="8"/>
      <c r="AL142" s="8"/>
      <c r="AM142" s="6"/>
      <c r="AN142" s="8"/>
      <c r="AO142" s="8"/>
      <c r="AP142" s="8"/>
      <c r="AQ142" s="8"/>
      <c r="AR142" s="4"/>
      <c r="AS142" s="8"/>
      <c r="AT142" s="8"/>
      <c r="AU142" s="8"/>
      <c r="AV142" s="8"/>
      <c r="AW142" s="8"/>
      <c r="AX142" s="8"/>
      <c r="AY142" s="8"/>
      <c r="AZ142" s="596"/>
    </row>
    <row r="143" spans="1:52">
      <c r="A143" s="8"/>
      <c r="B143" s="8"/>
      <c r="C143" s="8"/>
      <c r="D143" s="8"/>
      <c r="E143" s="8"/>
      <c r="F143" s="8"/>
      <c r="G143" s="8"/>
      <c r="H143" s="8"/>
      <c r="I143" s="8"/>
      <c r="J143" s="8"/>
      <c r="K143" s="7"/>
      <c r="L143" s="8"/>
      <c r="M143" s="8"/>
      <c r="N143" s="8"/>
      <c r="O143" s="8"/>
      <c r="P143" s="8"/>
      <c r="Q143" s="8"/>
      <c r="R143" s="8"/>
      <c r="S143" s="7"/>
      <c r="T143" s="8"/>
      <c r="U143" s="8"/>
      <c r="V143" s="8"/>
      <c r="W143" s="8"/>
      <c r="X143" s="8"/>
      <c r="Y143" s="8"/>
      <c r="Z143" s="8"/>
      <c r="AA143" s="8"/>
      <c r="AB143" s="8"/>
      <c r="AC143" s="8"/>
      <c r="AD143" s="8"/>
      <c r="AE143" s="8"/>
      <c r="AF143" s="8"/>
      <c r="AG143" s="8"/>
      <c r="AH143" s="8"/>
      <c r="AI143" s="8"/>
      <c r="AJ143" s="8"/>
      <c r="AK143" s="8"/>
      <c r="AL143" s="8"/>
      <c r="AM143" s="6"/>
      <c r="AN143" s="8"/>
      <c r="AO143" s="8"/>
      <c r="AP143" s="8"/>
      <c r="AQ143" s="8"/>
      <c r="AR143" s="4"/>
      <c r="AS143" s="8"/>
      <c r="AT143" s="8"/>
      <c r="AU143" s="8"/>
      <c r="AV143" s="8"/>
      <c r="AW143" s="8"/>
      <c r="AX143" s="8"/>
      <c r="AY143" s="8"/>
      <c r="AZ143" s="596"/>
    </row>
    <row r="144" spans="1:52">
      <c r="A144" s="8"/>
      <c r="B144" s="8"/>
      <c r="C144" s="8"/>
      <c r="D144" s="8"/>
      <c r="E144" s="8"/>
      <c r="F144" s="8"/>
      <c r="G144" s="8"/>
      <c r="H144" s="8"/>
      <c r="I144" s="8"/>
      <c r="J144" s="8"/>
      <c r="K144" s="7"/>
      <c r="L144" s="8"/>
      <c r="M144" s="8"/>
      <c r="N144" s="8"/>
      <c r="O144" s="8"/>
      <c r="P144" s="8"/>
      <c r="Q144" s="8"/>
      <c r="R144" s="8"/>
      <c r="S144" s="7"/>
      <c r="T144" s="8"/>
      <c r="U144" s="8"/>
      <c r="V144" s="8"/>
      <c r="W144" s="8"/>
      <c r="X144" s="8"/>
      <c r="Y144" s="8"/>
      <c r="Z144" s="8"/>
      <c r="AA144" s="8"/>
      <c r="AB144" s="8"/>
      <c r="AC144" s="8"/>
      <c r="AD144" s="8"/>
      <c r="AE144" s="8"/>
      <c r="AF144" s="8"/>
      <c r="AG144" s="8"/>
      <c r="AH144" s="8"/>
      <c r="AI144" s="8"/>
      <c r="AJ144" s="8"/>
      <c r="AK144" s="8"/>
      <c r="AL144" s="8"/>
      <c r="AM144" s="6"/>
      <c r="AN144" s="8"/>
      <c r="AO144" s="8"/>
      <c r="AP144" s="8"/>
      <c r="AQ144" s="8"/>
      <c r="AR144" s="4"/>
      <c r="AS144" s="8"/>
      <c r="AT144" s="8"/>
      <c r="AU144" s="8"/>
      <c r="AV144" s="8"/>
      <c r="AW144" s="8"/>
      <c r="AX144" s="8"/>
      <c r="AY144" s="8"/>
      <c r="AZ144" s="596"/>
    </row>
    <row r="145" spans="1:52">
      <c r="A145" s="8"/>
      <c r="B145" s="8"/>
      <c r="C145" s="8"/>
      <c r="D145" s="8"/>
      <c r="E145" s="8"/>
      <c r="F145" s="8"/>
      <c r="G145" s="8"/>
      <c r="H145" s="8"/>
      <c r="I145" s="8"/>
      <c r="J145" s="8"/>
      <c r="K145" s="7"/>
      <c r="L145" s="8"/>
      <c r="M145" s="8"/>
      <c r="N145" s="8"/>
      <c r="O145" s="8"/>
      <c r="P145" s="8"/>
      <c r="Q145" s="8"/>
      <c r="R145" s="8"/>
      <c r="S145" s="7"/>
      <c r="T145" s="8"/>
      <c r="U145" s="8"/>
      <c r="V145" s="8"/>
      <c r="W145" s="8"/>
      <c r="X145" s="8"/>
      <c r="Y145" s="8"/>
      <c r="Z145" s="8"/>
      <c r="AA145" s="8"/>
      <c r="AB145" s="8"/>
      <c r="AC145" s="8"/>
      <c r="AD145" s="8"/>
      <c r="AE145" s="8"/>
      <c r="AF145" s="8"/>
      <c r="AG145" s="8"/>
      <c r="AH145" s="8"/>
      <c r="AI145" s="8"/>
      <c r="AJ145" s="8"/>
      <c r="AK145" s="8"/>
      <c r="AL145" s="8"/>
      <c r="AM145" s="8"/>
      <c r="AN145" s="8"/>
      <c r="AO145" s="8"/>
      <c r="AP145" s="8"/>
      <c r="AQ145" s="8"/>
      <c r="AR145" s="4"/>
      <c r="AS145" s="8"/>
      <c r="AT145" s="8"/>
      <c r="AU145" s="8"/>
      <c r="AV145" s="8"/>
      <c r="AW145" s="8"/>
      <c r="AX145" s="8"/>
      <c r="AY145" s="8"/>
      <c r="AZ145" s="596"/>
    </row>
    <row r="146" spans="1:52">
      <c r="A146" s="8"/>
      <c r="B146" s="8"/>
      <c r="C146" s="8"/>
      <c r="D146" s="8"/>
      <c r="E146" s="8"/>
      <c r="F146" s="8"/>
      <c r="G146" s="8"/>
      <c r="H146" s="8"/>
      <c r="I146" s="8"/>
      <c r="J146" s="8"/>
      <c r="K146" s="7"/>
      <c r="L146" s="8"/>
      <c r="M146" s="8"/>
      <c r="N146" s="8"/>
      <c r="O146" s="8"/>
      <c r="P146" s="8"/>
      <c r="Q146" s="8"/>
      <c r="R146" s="8"/>
      <c r="S146" s="7"/>
      <c r="T146" s="8"/>
      <c r="U146" s="8"/>
      <c r="V146" s="8"/>
      <c r="W146" s="8"/>
      <c r="X146" s="8"/>
      <c r="Y146" s="8"/>
      <c r="Z146" s="8"/>
      <c r="AA146" s="8"/>
      <c r="AB146" s="8"/>
      <c r="AC146" s="8"/>
      <c r="AD146" s="8"/>
      <c r="AE146" s="8"/>
      <c r="AF146" s="8"/>
      <c r="AG146" s="8"/>
      <c r="AH146" s="8"/>
      <c r="AI146" s="8"/>
      <c r="AJ146" s="8"/>
      <c r="AK146" s="8"/>
      <c r="AL146" s="8"/>
      <c r="AM146" s="8"/>
      <c r="AN146" s="8"/>
      <c r="AO146" s="8"/>
      <c r="AP146" s="8"/>
      <c r="AQ146" s="8"/>
      <c r="AR146" s="4"/>
      <c r="AS146" s="8"/>
      <c r="AT146" s="8"/>
      <c r="AU146" s="8"/>
      <c r="AV146" s="8"/>
      <c r="AW146" s="8"/>
      <c r="AX146" s="8"/>
      <c r="AY146" s="8"/>
      <c r="AZ146" s="596"/>
    </row>
    <row r="147" spans="1:52">
      <c r="A147" s="8"/>
      <c r="B147" s="8"/>
      <c r="C147" s="8"/>
      <c r="D147" s="8"/>
      <c r="E147" s="8"/>
      <c r="F147" s="8"/>
      <c r="G147" s="8"/>
      <c r="H147" s="8"/>
      <c r="I147" s="8"/>
      <c r="J147" s="8"/>
      <c r="K147" s="7"/>
      <c r="L147" s="8"/>
      <c r="M147" s="8"/>
      <c r="N147" s="8"/>
      <c r="O147" s="8"/>
      <c r="P147" s="8"/>
      <c r="Q147" s="8"/>
      <c r="R147" s="8"/>
      <c r="S147" s="7"/>
      <c r="T147" s="8"/>
      <c r="U147" s="8"/>
      <c r="V147" s="8"/>
      <c r="W147" s="8"/>
      <c r="X147" s="8"/>
      <c r="Y147" s="8"/>
      <c r="Z147" s="8"/>
      <c r="AA147" s="8"/>
      <c r="AB147" s="8"/>
      <c r="AC147" s="8"/>
      <c r="AD147" s="8"/>
      <c r="AE147" s="8"/>
      <c r="AF147" s="8"/>
      <c r="AG147" s="8"/>
      <c r="AH147" s="8"/>
      <c r="AI147" s="8"/>
      <c r="AJ147" s="8"/>
      <c r="AK147" s="8"/>
      <c r="AL147" s="8"/>
      <c r="AM147" s="8"/>
      <c r="AN147" s="8"/>
      <c r="AO147" s="8"/>
      <c r="AP147" s="8"/>
      <c r="AQ147" s="8"/>
      <c r="AR147" s="4"/>
      <c r="AS147" s="8"/>
      <c r="AT147" s="8"/>
      <c r="AU147" s="8"/>
      <c r="AV147" s="8"/>
      <c r="AW147" s="8"/>
      <c r="AX147" s="8"/>
      <c r="AY147" s="8"/>
      <c r="AZ147" s="596"/>
    </row>
    <row r="148" spans="1:52">
      <c r="A148" s="8"/>
      <c r="B148" s="8"/>
      <c r="C148" s="8"/>
      <c r="D148" s="8"/>
      <c r="E148" s="8"/>
      <c r="F148" s="8"/>
      <c r="G148" s="8"/>
      <c r="H148" s="8"/>
      <c r="I148" s="8"/>
      <c r="J148" s="8"/>
      <c r="K148" s="7"/>
      <c r="L148" s="8"/>
      <c r="M148" s="8"/>
      <c r="N148" s="8"/>
      <c r="O148" s="8"/>
      <c r="P148" s="8"/>
      <c r="Q148" s="8"/>
      <c r="R148" s="8"/>
      <c r="S148" s="7"/>
      <c r="T148" s="8"/>
      <c r="U148" s="8"/>
      <c r="V148" s="8"/>
      <c r="W148" s="8"/>
      <c r="X148" s="8"/>
      <c r="Y148" s="8"/>
      <c r="Z148" s="8"/>
      <c r="AA148" s="8"/>
      <c r="AB148" s="8"/>
      <c r="AC148" s="8"/>
      <c r="AD148" s="8"/>
      <c r="AE148" s="8"/>
      <c r="AF148" s="8"/>
      <c r="AG148" s="8"/>
      <c r="AH148" s="8"/>
      <c r="AI148" s="8"/>
      <c r="AJ148" s="8"/>
      <c r="AK148" s="8"/>
      <c r="AL148" s="8"/>
      <c r="AM148" s="8"/>
      <c r="AN148" s="8"/>
      <c r="AO148" s="8"/>
      <c r="AP148" s="8"/>
      <c r="AQ148" s="8"/>
      <c r="AR148" s="4"/>
      <c r="AS148" s="8"/>
      <c r="AT148" s="8"/>
      <c r="AU148" s="8"/>
      <c r="AV148" s="8"/>
      <c r="AW148" s="8"/>
      <c r="AX148" s="8"/>
      <c r="AY148" s="8"/>
      <c r="AZ148" s="596"/>
    </row>
    <row r="149" spans="1:52">
      <c r="A149" s="8"/>
      <c r="B149" s="8"/>
      <c r="C149" s="8"/>
      <c r="D149" s="8"/>
      <c r="E149" s="8"/>
      <c r="F149" s="8"/>
      <c r="G149" s="8"/>
      <c r="H149" s="8"/>
      <c r="I149" s="8"/>
      <c r="J149" s="8"/>
      <c r="K149" s="7"/>
      <c r="L149" s="8"/>
      <c r="M149" s="8"/>
      <c r="N149" s="8"/>
      <c r="O149" s="8"/>
      <c r="P149" s="8"/>
      <c r="Q149" s="8"/>
      <c r="R149" s="8"/>
      <c r="S149" s="7"/>
      <c r="T149" s="8"/>
      <c r="U149" s="8"/>
      <c r="V149" s="8"/>
      <c r="W149" s="8"/>
      <c r="X149" s="8"/>
      <c r="Y149" s="8"/>
      <c r="Z149" s="8"/>
      <c r="AA149" s="8"/>
      <c r="AB149" s="8"/>
      <c r="AC149" s="8"/>
      <c r="AD149" s="8"/>
      <c r="AE149" s="8"/>
      <c r="AF149" s="8"/>
      <c r="AG149" s="8"/>
      <c r="AH149" s="8"/>
      <c r="AI149" s="8"/>
      <c r="AJ149" s="8"/>
      <c r="AK149" s="8"/>
      <c r="AL149" s="8"/>
      <c r="AM149" s="8"/>
      <c r="AN149" s="8"/>
      <c r="AO149" s="8"/>
      <c r="AP149" s="8"/>
      <c r="AQ149" s="8"/>
      <c r="AR149" s="4"/>
      <c r="AS149" s="8"/>
      <c r="AT149" s="8"/>
      <c r="AU149" s="8"/>
      <c r="AV149" s="8"/>
      <c r="AW149" s="8"/>
      <c r="AX149" s="8"/>
      <c r="AY149" s="8"/>
      <c r="AZ149" s="596"/>
    </row>
    <row r="150" spans="1:52">
      <c r="A150" s="8"/>
      <c r="B150" s="8"/>
      <c r="C150" s="8"/>
      <c r="D150" s="8"/>
      <c r="E150" s="8"/>
      <c r="F150" s="8"/>
      <c r="G150" s="8"/>
      <c r="H150" s="8"/>
      <c r="I150" s="8"/>
      <c r="J150" s="8"/>
      <c r="K150" s="7"/>
      <c r="L150" s="8"/>
      <c r="M150" s="8"/>
      <c r="N150" s="8"/>
      <c r="O150" s="8"/>
      <c r="P150" s="8"/>
      <c r="Q150" s="8"/>
      <c r="R150" s="8"/>
      <c r="S150" s="7"/>
      <c r="T150" s="8"/>
      <c r="U150" s="8"/>
      <c r="V150" s="8"/>
      <c r="W150" s="8"/>
      <c r="X150" s="8"/>
      <c r="Y150" s="8"/>
      <c r="Z150" s="8"/>
      <c r="AA150" s="8"/>
      <c r="AB150" s="8"/>
      <c r="AC150" s="8"/>
      <c r="AD150" s="8"/>
      <c r="AE150" s="8"/>
      <c r="AF150" s="8"/>
      <c r="AG150" s="8"/>
      <c r="AH150" s="8"/>
      <c r="AI150" s="8"/>
      <c r="AJ150" s="8"/>
      <c r="AK150" s="8"/>
      <c r="AL150" s="8"/>
      <c r="AM150" s="8"/>
      <c r="AN150" s="8"/>
      <c r="AO150" s="8"/>
      <c r="AP150" s="8"/>
      <c r="AQ150" s="8"/>
      <c r="AR150" s="4"/>
      <c r="AS150" s="8"/>
      <c r="AT150" s="8"/>
      <c r="AU150" s="8"/>
      <c r="AV150" s="8"/>
      <c r="AW150" s="8"/>
      <c r="AX150" s="8"/>
      <c r="AY150" s="8"/>
      <c r="AZ150" s="596"/>
    </row>
    <row r="151" spans="1:52">
      <c r="A151" s="8"/>
      <c r="B151" s="8"/>
      <c r="C151" s="8"/>
      <c r="D151" s="8"/>
      <c r="E151" s="8"/>
      <c r="F151" s="8"/>
      <c r="G151" s="8"/>
      <c r="H151" s="8"/>
      <c r="I151" s="8"/>
      <c r="J151" s="8"/>
      <c r="K151" s="7"/>
      <c r="L151" s="8"/>
      <c r="M151" s="8"/>
      <c r="N151" s="8"/>
      <c r="O151" s="8"/>
      <c r="P151" s="8"/>
      <c r="Q151" s="8"/>
      <c r="R151" s="8"/>
      <c r="S151" s="7"/>
      <c r="T151" s="8"/>
      <c r="U151" s="8"/>
      <c r="V151" s="8"/>
      <c r="W151" s="8"/>
      <c r="X151" s="8"/>
      <c r="Y151" s="8"/>
      <c r="Z151" s="8"/>
      <c r="AA151" s="8"/>
      <c r="AB151" s="8"/>
      <c r="AC151" s="8"/>
      <c r="AD151" s="8"/>
      <c r="AE151" s="8"/>
      <c r="AF151" s="8"/>
      <c r="AG151" s="8"/>
      <c r="AH151" s="8"/>
      <c r="AI151" s="8"/>
      <c r="AJ151" s="8"/>
      <c r="AK151" s="8"/>
      <c r="AL151" s="8"/>
      <c r="AM151" s="8"/>
      <c r="AN151" s="8"/>
      <c r="AO151" s="8"/>
      <c r="AP151" s="8"/>
      <c r="AQ151" s="8"/>
      <c r="AR151" s="4"/>
      <c r="AS151" s="8"/>
      <c r="AT151" s="8"/>
      <c r="AU151" s="8"/>
      <c r="AV151" s="8"/>
      <c r="AW151" s="8"/>
      <c r="AX151" s="8"/>
      <c r="AY151" s="8"/>
      <c r="AZ151" s="596"/>
    </row>
    <row r="152" spans="1:52">
      <c r="A152" s="8"/>
      <c r="B152" s="8"/>
      <c r="C152" s="8"/>
      <c r="D152" s="8"/>
      <c r="E152" s="8"/>
      <c r="F152" s="8"/>
      <c r="G152" s="8"/>
      <c r="H152" s="8"/>
      <c r="I152" s="8"/>
      <c r="J152" s="8"/>
      <c r="K152" s="7"/>
      <c r="L152" s="8"/>
      <c r="M152" s="8"/>
      <c r="N152" s="8"/>
      <c r="O152" s="8"/>
      <c r="P152" s="8"/>
      <c r="Q152" s="8"/>
      <c r="R152" s="8"/>
      <c r="S152" s="7"/>
      <c r="T152" s="8"/>
      <c r="U152" s="8"/>
      <c r="V152" s="8"/>
      <c r="W152" s="8"/>
      <c r="X152" s="8"/>
      <c r="Y152" s="8"/>
      <c r="Z152" s="8"/>
      <c r="AA152" s="8"/>
      <c r="AB152" s="8"/>
      <c r="AC152" s="8"/>
      <c r="AD152" s="8"/>
      <c r="AE152" s="8"/>
      <c r="AF152" s="8"/>
      <c r="AG152" s="8"/>
      <c r="AH152" s="8"/>
      <c r="AI152" s="8"/>
      <c r="AJ152" s="8"/>
      <c r="AK152" s="8"/>
      <c r="AL152" s="8"/>
      <c r="AM152" s="8"/>
      <c r="AN152" s="8"/>
      <c r="AO152" s="8"/>
      <c r="AP152" s="8"/>
      <c r="AQ152" s="8"/>
      <c r="AR152" s="4"/>
      <c r="AS152" s="8"/>
      <c r="AT152" s="8"/>
      <c r="AU152" s="8"/>
      <c r="AV152" s="8"/>
      <c r="AW152" s="8"/>
      <c r="AX152" s="8"/>
      <c r="AY152" s="8"/>
      <c r="AZ152" s="596"/>
    </row>
    <row r="153" spans="1:52">
      <c r="A153" s="8"/>
      <c r="B153" s="8"/>
      <c r="C153" s="8"/>
      <c r="D153" s="8"/>
      <c r="E153" s="8"/>
      <c r="F153" s="8"/>
      <c r="G153" s="8"/>
      <c r="H153" s="8"/>
      <c r="I153" s="8"/>
      <c r="J153" s="8"/>
      <c r="K153" s="7"/>
      <c r="L153" s="8"/>
      <c r="M153" s="8"/>
      <c r="N153" s="8"/>
      <c r="O153" s="8"/>
      <c r="P153" s="8"/>
      <c r="Q153" s="8"/>
      <c r="R153" s="8"/>
      <c r="S153" s="7"/>
      <c r="T153" s="8"/>
      <c r="U153" s="8"/>
      <c r="V153" s="8"/>
      <c r="W153" s="8"/>
      <c r="X153" s="8"/>
      <c r="Y153" s="8"/>
      <c r="Z153" s="8"/>
      <c r="AA153" s="8"/>
      <c r="AB153" s="8"/>
      <c r="AC153" s="8"/>
      <c r="AD153" s="8"/>
      <c r="AE153" s="8"/>
      <c r="AF153" s="8"/>
      <c r="AG153" s="8"/>
      <c r="AH153" s="8"/>
      <c r="AI153" s="8"/>
      <c r="AJ153" s="8"/>
      <c r="AK153" s="8"/>
      <c r="AL153" s="8"/>
      <c r="AM153" s="8"/>
      <c r="AN153" s="8"/>
      <c r="AO153" s="8"/>
      <c r="AP153" s="8"/>
      <c r="AQ153" s="8"/>
      <c r="AR153" s="4"/>
      <c r="AS153" s="8"/>
      <c r="AT153" s="8"/>
      <c r="AU153" s="8"/>
      <c r="AV153" s="8"/>
      <c r="AW153" s="8"/>
      <c r="AX153" s="8"/>
      <c r="AY153" s="8"/>
      <c r="AZ153" s="596"/>
    </row>
    <row r="154" spans="1:52">
      <c r="A154" s="8"/>
      <c r="B154" s="8"/>
      <c r="C154" s="8"/>
      <c r="D154" s="8"/>
      <c r="E154" s="8"/>
      <c r="F154" s="8"/>
      <c r="G154" s="8"/>
      <c r="H154" s="8"/>
      <c r="I154" s="8"/>
      <c r="J154" s="8"/>
      <c r="K154" s="7"/>
      <c r="L154" s="8"/>
      <c r="M154" s="8"/>
      <c r="N154" s="8"/>
      <c r="O154" s="8"/>
      <c r="P154" s="8"/>
      <c r="Q154" s="8"/>
      <c r="R154" s="8"/>
      <c r="S154" s="7"/>
      <c r="T154" s="8"/>
      <c r="U154" s="8"/>
      <c r="V154" s="8"/>
      <c r="W154" s="8"/>
      <c r="X154" s="8"/>
      <c r="Y154" s="8"/>
      <c r="Z154" s="8"/>
      <c r="AA154" s="8"/>
      <c r="AB154" s="8"/>
      <c r="AC154" s="8"/>
      <c r="AD154" s="8"/>
      <c r="AE154" s="8"/>
      <c r="AF154" s="8"/>
      <c r="AG154" s="8"/>
      <c r="AH154" s="8"/>
      <c r="AI154" s="8"/>
      <c r="AJ154" s="8"/>
      <c r="AK154" s="8"/>
      <c r="AL154" s="8"/>
      <c r="AM154" s="8"/>
      <c r="AN154" s="8"/>
      <c r="AO154" s="8"/>
      <c r="AP154" s="8"/>
      <c r="AQ154" s="8"/>
      <c r="AR154" s="4"/>
      <c r="AS154" s="8"/>
      <c r="AT154" s="8"/>
      <c r="AU154" s="8"/>
      <c r="AV154" s="8"/>
      <c r="AW154" s="8"/>
      <c r="AX154" s="8"/>
      <c r="AY154" s="8"/>
      <c r="AZ154" s="596"/>
    </row>
    <row r="155" spans="1:52">
      <c r="A155" s="8"/>
      <c r="B155" s="8"/>
      <c r="C155" s="8"/>
      <c r="D155" s="8"/>
      <c r="E155" s="8"/>
      <c r="F155" s="8"/>
      <c r="G155" s="8"/>
      <c r="H155" s="8"/>
      <c r="I155" s="8"/>
      <c r="J155" s="8"/>
      <c r="K155" s="7"/>
      <c r="L155" s="8"/>
      <c r="M155" s="8"/>
      <c r="N155" s="8"/>
      <c r="O155" s="8"/>
      <c r="P155" s="8"/>
      <c r="Q155" s="8"/>
      <c r="R155" s="8"/>
      <c r="S155" s="7"/>
      <c r="T155" s="8"/>
      <c r="U155" s="8"/>
      <c r="V155" s="8"/>
      <c r="W155" s="8"/>
      <c r="X155" s="8"/>
      <c r="Y155" s="8"/>
      <c r="Z155" s="8"/>
      <c r="AA155" s="8"/>
      <c r="AB155" s="8"/>
      <c r="AC155" s="8"/>
      <c r="AD155" s="8"/>
      <c r="AE155" s="8"/>
      <c r="AF155" s="8"/>
      <c r="AG155" s="8"/>
      <c r="AH155" s="8"/>
      <c r="AI155" s="8"/>
      <c r="AJ155" s="8"/>
      <c r="AK155" s="8"/>
      <c r="AL155" s="8"/>
      <c r="AM155" s="8"/>
      <c r="AN155" s="8"/>
      <c r="AO155" s="8"/>
      <c r="AP155" s="8"/>
      <c r="AQ155" s="8"/>
      <c r="AR155" s="4"/>
      <c r="AS155" s="8"/>
      <c r="AT155" s="8"/>
      <c r="AU155" s="8"/>
      <c r="AV155" s="8"/>
      <c r="AW155" s="8"/>
      <c r="AX155" s="8"/>
      <c r="AY155" s="8"/>
      <c r="AZ155" s="596"/>
    </row>
    <row r="156" spans="1:52">
      <c r="A156" s="8"/>
      <c r="B156" s="8"/>
      <c r="C156" s="8"/>
      <c r="D156" s="8"/>
      <c r="E156" s="8"/>
      <c r="F156" s="8"/>
      <c r="G156" s="8"/>
      <c r="H156" s="8"/>
      <c r="I156" s="8"/>
      <c r="J156" s="8"/>
      <c r="K156" s="7"/>
      <c r="L156" s="8"/>
      <c r="M156" s="8"/>
      <c r="N156" s="8"/>
      <c r="O156" s="8"/>
      <c r="P156" s="8"/>
      <c r="Q156" s="8"/>
      <c r="R156" s="8"/>
      <c r="S156" s="7"/>
      <c r="T156" s="8"/>
      <c r="U156" s="8"/>
      <c r="V156" s="8"/>
      <c r="W156" s="8"/>
      <c r="X156" s="8"/>
      <c r="Y156" s="8"/>
      <c r="Z156" s="8"/>
      <c r="AA156" s="8"/>
      <c r="AB156" s="8"/>
      <c r="AC156" s="8"/>
      <c r="AD156" s="8"/>
      <c r="AE156" s="8"/>
      <c r="AF156" s="8"/>
      <c r="AG156" s="8"/>
      <c r="AH156" s="8"/>
      <c r="AI156" s="8"/>
      <c r="AJ156" s="8"/>
      <c r="AK156" s="8"/>
      <c r="AL156" s="8"/>
      <c r="AM156" s="8"/>
      <c r="AN156" s="8"/>
      <c r="AO156" s="8"/>
      <c r="AP156" s="8"/>
      <c r="AQ156" s="8"/>
      <c r="AR156" s="4"/>
      <c r="AS156" s="8"/>
      <c r="AT156" s="8"/>
      <c r="AU156" s="8"/>
      <c r="AV156" s="8"/>
      <c r="AW156" s="8"/>
      <c r="AX156" s="8"/>
      <c r="AY156" s="8"/>
      <c r="AZ156" s="596"/>
    </row>
    <row r="157" spans="1:52">
      <c r="A157" s="8"/>
      <c r="B157" s="8"/>
      <c r="C157" s="8"/>
      <c r="D157" s="8"/>
      <c r="E157" s="8"/>
      <c r="F157" s="8"/>
      <c r="G157" s="8"/>
      <c r="H157" s="8"/>
      <c r="I157" s="8"/>
      <c r="J157" s="8"/>
      <c r="K157" s="7"/>
      <c r="L157" s="8"/>
      <c r="M157" s="8"/>
      <c r="N157" s="8"/>
      <c r="O157" s="8"/>
      <c r="P157" s="8"/>
      <c r="Q157" s="8"/>
      <c r="R157" s="8"/>
      <c r="S157" s="7"/>
      <c r="T157" s="8"/>
      <c r="U157" s="8"/>
      <c r="V157" s="8"/>
      <c r="W157" s="8"/>
      <c r="X157" s="8"/>
      <c r="Y157" s="8"/>
      <c r="Z157" s="8"/>
      <c r="AA157" s="8"/>
      <c r="AB157" s="8"/>
      <c r="AC157" s="8"/>
      <c r="AD157" s="8"/>
      <c r="AE157" s="8"/>
      <c r="AF157" s="8"/>
      <c r="AG157" s="8"/>
      <c r="AH157" s="8"/>
      <c r="AI157" s="8"/>
      <c r="AJ157" s="8"/>
      <c r="AK157" s="8"/>
      <c r="AL157" s="8"/>
      <c r="AM157" s="8"/>
      <c r="AN157" s="8"/>
      <c r="AO157" s="8"/>
      <c r="AP157" s="8"/>
      <c r="AQ157" s="8"/>
      <c r="AR157" s="4"/>
      <c r="AS157" s="8"/>
      <c r="AT157" s="8"/>
      <c r="AU157" s="8"/>
      <c r="AV157" s="8"/>
      <c r="AW157" s="8"/>
      <c r="AX157" s="8"/>
      <c r="AY157" s="8"/>
      <c r="AZ157" s="596"/>
    </row>
    <row r="158" spans="1:52">
      <c r="A158" s="8"/>
      <c r="B158" s="8"/>
      <c r="C158" s="8"/>
      <c r="D158" s="8"/>
      <c r="E158" s="8"/>
      <c r="F158" s="8"/>
      <c r="G158" s="8"/>
      <c r="H158" s="8"/>
      <c r="I158" s="8"/>
      <c r="J158" s="8"/>
      <c r="K158" s="7"/>
      <c r="L158" s="8"/>
      <c r="M158" s="8"/>
      <c r="N158" s="8"/>
      <c r="O158" s="8"/>
      <c r="P158" s="8"/>
      <c r="Q158" s="8"/>
      <c r="R158" s="8"/>
      <c r="S158" s="7"/>
      <c r="T158" s="8"/>
      <c r="U158" s="8"/>
      <c r="V158" s="8"/>
      <c r="W158" s="8"/>
      <c r="X158" s="8"/>
      <c r="Y158" s="8"/>
      <c r="Z158" s="8"/>
      <c r="AA158" s="8"/>
      <c r="AB158" s="8"/>
      <c r="AC158" s="8"/>
      <c r="AD158" s="8"/>
      <c r="AE158" s="8"/>
      <c r="AF158" s="8"/>
      <c r="AG158" s="8"/>
      <c r="AH158" s="8"/>
      <c r="AI158" s="8"/>
      <c r="AJ158" s="8"/>
      <c r="AK158" s="8"/>
      <c r="AL158" s="8"/>
      <c r="AM158" s="8"/>
      <c r="AN158" s="8"/>
      <c r="AO158" s="8"/>
      <c r="AP158" s="8"/>
      <c r="AQ158" s="8"/>
      <c r="AR158" s="4"/>
      <c r="AS158" s="8"/>
      <c r="AT158" s="8"/>
      <c r="AU158" s="8"/>
      <c r="AV158" s="8"/>
      <c r="AW158" s="8"/>
      <c r="AX158" s="8"/>
      <c r="AY158" s="8"/>
      <c r="AZ158" s="596"/>
    </row>
    <row r="159" spans="1:52">
      <c r="A159" s="8"/>
      <c r="B159" s="8"/>
      <c r="C159" s="8"/>
      <c r="D159" s="8"/>
      <c r="E159" s="8"/>
      <c r="F159" s="8"/>
      <c r="G159" s="8"/>
      <c r="H159" s="8"/>
      <c r="I159" s="8"/>
      <c r="J159" s="8"/>
      <c r="K159" s="7"/>
      <c r="L159" s="8"/>
      <c r="M159" s="8"/>
      <c r="N159" s="8"/>
      <c r="O159" s="8"/>
      <c r="P159" s="8"/>
      <c r="Q159" s="8"/>
      <c r="R159" s="8"/>
      <c r="S159" s="7"/>
      <c r="T159" s="8"/>
      <c r="U159" s="8"/>
      <c r="V159" s="8"/>
      <c r="W159" s="8"/>
      <c r="X159" s="8"/>
      <c r="Y159" s="8"/>
      <c r="Z159" s="8"/>
      <c r="AA159" s="8"/>
      <c r="AB159" s="8"/>
      <c r="AC159" s="8"/>
      <c r="AD159" s="8"/>
      <c r="AE159" s="8"/>
      <c r="AF159" s="8"/>
      <c r="AG159" s="8"/>
      <c r="AH159" s="8"/>
      <c r="AI159" s="8"/>
      <c r="AJ159" s="8"/>
      <c r="AK159" s="8"/>
      <c r="AL159" s="8"/>
      <c r="AM159" s="8"/>
      <c r="AN159" s="8"/>
      <c r="AO159" s="8"/>
      <c r="AP159" s="8"/>
      <c r="AQ159" s="8"/>
      <c r="AR159" s="4"/>
      <c r="AS159" s="8"/>
      <c r="AT159" s="8"/>
      <c r="AU159" s="8"/>
      <c r="AV159" s="8"/>
      <c r="AW159" s="8"/>
      <c r="AX159" s="8"/>
      <c r="AY159" s="8"/>
      <c r="AZ159" s="596"/>
    </row>
    <row r="160" spans="1:52">
      <c r="A160" s="8"/>
      <c r="B160" s="8"/>
      <c r="C160" s="8"/>
      <c r="D160" s="8"/>
      <c r="E160" s="8"/>
      <c r="F160" s="8"/>
      <c r="G160" s="8"/>
      <c r="H160" s="8"/>
      <c r="I160" s="8"/>
      <c r="J160" s="8"/>
      <c r="K160" s="7"/>
      <c r="L160" s="8"/>
      <c r="M160" s="8"/>
      <c r="N160" s="8"/>
      <c r="O160" s="8"/>
      <c r="P160" s="8"/>
      <c r="Q160" s="8"/>
      <c r="R160" s="8"/>
      <c r="S160" s="7"/>
      <c r="T160" s="8"/>
      <c r="U160" s="8"/>
      <c r="V160" s="8"/>
      <c r="W160" s="8"/>
      <c r="X160" s="8"/>
      <c r="Y160" s="8"/>
      <c r="Z160" s="8"/>
      <c r="AA160" s="8"/>
      <c r="AB160" s="8"/>
      <c r="AC160" s="8"/>
      <c r="AD160" s="8"/>
      <c r="AE160" s="8"/>
      <c r="AF160" s="8"/>
      <c r="AG160" s="8"/>
      <c r="AH160" s="8"/>
      <c r="AI160" s="8"/>
      <c r="AJ160" s="8"/>
      <c r="AK160" s="8"/>
      <c r="AL160" s="8"/>
      <c r="AM160" s="8"/>
      <c r="AN160" s="8"/>
      <c r="AO160" s="8"/>
      <c r="AP160" s="8"/>
      <c r="AQ160" s="8"/>
      <c r="AR160" s="4"/>
      <c r="AS160" s="8"/>
      <c r="AT160" s="8"/>
      <c r="AU160" s="8"/>
      <c r="AV160" s="8"/>
      <c r="AW160" s="8"/>
      <c r="AX160" s="8"/>
      <c r="AY160" s="8"/>
      <c r="AZ160" s="596"/>
    </row>
    <row r="161" spans="1:52">
      <c r="A161" s="8"/>
      <c r="B161" s="8"/>
      <c r="C161" s="8"/>
      <c r="D161" s="8"/>
      <c r="E161" s="8"/>
      <c r="F161" s="8"/>
      <c r="G161" s="8"/>
      <c r="H161" s="8"/>
      <c r="I161" s="8"/>
      <c r="J161" s="8"/>
      <c r="K161" s="7"/>
      <c r="L161" s="8"/>
      <c r="M161" s="8"/>
      <c r="N161" s="8"/>
      <c r="O161" s="8"/>
      <c r="P161" s="8"/>
      <c r="Q161" s="8"/>
      <c r="R161" s="8"/>
      <c r="S161" s="7"/>
      <c r="T161" s="8"/>
      <c r="U161" s="8"/>
      <c r="V161" s="8"/>
      <c r="W161" s="8"/>
      <c r="X161" s="8"/>
      <c r="Y161" s="8"/>
      <c r="Z161" s="8"/>
      <c r="AA161" s="8"/>
      <c r="AB161" s="8"/>
      <c r="AC161" s="8"/>
      <c r="AD161" s="8"/>
      <c r="AE161" s="8"/>
      <c r="AF161" s="8"/>
      <c r="AG161" s="8"/>
      <c r="AH161" s="8"/>
      <c r="AI161" s="8"/>
      <c r="AJ161" s="8"/>
      <c r="AK161" s="8"/>
      <c r="AL161" s="8"/>
      <c r="AM161" s="8"/>
      <c r="AN161" s="8"/>
      <c r="AO161" s="8"/>
      <c r="AP161" s="8"/>
      <c r="AQ161" s="8"/>
      <c r="AR161" s="4"/>
      <c r="AS161" s="8"/>
      <c r="AT161" s="8"/>
      <c r="AU161" s="8"/>
      <c r="AV161" s="8"/>
      <c r="AW161" s="8"/>
      <c r="AX161" s="8"/>
      <c r="AY161" s="8"/>
      <c r="AZ161" s="596"/>
    </row>
    <row r="162" spans="1:52">
      <c r="A162" s="8"/>
      <c r="B162" s="8"/>
      <c r="C162" s="8"/>
      <c r="D162" s="8"/>
      <c r="E162" s="8"/>
      <c r="F162" s="8"/>
      <c r="G162" s="8"/>
      <c r="H162" s="8"/>
      <c r="I162" s="8"/>
      <c r="J162" s="8"/>
      <c r="K162" s="7"/>
      <c r="L162" s="8"/>
      <c r="M162" s="8"/>
      <c r="N162" s="8"/>
      <c r="O162" s="8"/>
      <c r="P162" s="8"/>
      <c r="Q162" s="8"/>
      <c r="R162" s="8"/>
      <c r="S162" s="7"/>
      <c r="T162" s="8"/>
      <c r="U162" s="8"/>
      <c r="V162" s="8"/>
      <c r="W162" s="8"/>
      <c r="X162" s="8"/>
      <c r="Y162" s="8"/>
      <c r="Z162" s="8"/>
      <c r="AA162" s="8"/>
      <c r="AB162" s="8"/>
      <c r="AC162" s="8"/>
      <c r="AD162" s="8"/>
      <c r="AE162" s="8"/>
      <c r="AF162" s="8"/>
      <c r="AG162" s="8"/>
      <c r="AH162" s="8"/>
      <c r="AI162" s="8"/>
      <c r="AJ162" s="8"/>
      <c r="AK162" s="8"/>
      <c r="AL162" s="8"/>
      <c r="AM162" s="8"/>
      <c r="AN162" s="8"/>
      <c r="AO162" s="8"/>
      <c r="AP162" s="8"/>
      <c r="AQ162" s="8"/>
      <c r="AR162" s="4"/>
      <c r="AS162" s="8"/>
      <c r="AT162" s="8"/>
      <c r="AU162" s="8"/>
      <c r="AV162" s="8"/>
      <c r="AW162" s="8"/>
      <c r="AX162" s="8"/>
      <c r="AY162" s="8"/>
      <c r="AZ162" s="596"/>
    </row>
    <row r="163" spans="1:52">
      <c r="A163" s="8"/>
      <c r="B163" s="8"/>
      <c r="C163" s="8"/>
      <c r="D163" s="8"/>
      <c r="E163" s="8"/>
      <c r="F163" s="8"/>
      <c r="G163" s="8"/>
      <c r="H163" s="8"/>
      <c r="I163" s="8"/>
      <c r="J163" s="8"/>
      <c r="K163" s="7"/>
      <c r="L163" s="8"/>
      <c r="M163" s="8"/>
      <c r="N163" s="8"/>
      <c r="O163" s="8"/>
      <c r="P163" s="8"/>
      <c r="Q163" s="8"/>
      <c r="R163" s="8"/>
      <c r="S163" s="7"/>
      <c r="T163" s="8"/>
      <c r="U163" s="8"/>
      <c r="V163" s="8"/>
      <c r="W163" s="8"/>
      <c r="X163" s="8"/>
      <c r="Y163" s="8"/>
      <c r="Z163" s="8"/>
      <c r="AA163" s="8"/>
      <c r="AB163" s="8"/>
      <c r="AC163" s="8"/>
      <c r="AD163" s="8"/>
      <c r="AE163" s="8"/>
      <c r="AF163" s="8"/>
      <c r="AG163" s="8"/>
      <c r="AH163" s="8"/>
      <c r="AI163" s="8"/>
      <c r="AJ163" s="8"/>
      <c r="AK163" s="8"/>
      <c r="AL163" s="8"/>
      <c r="AM163" s="8"/>
      <c r="AN163" s="8"/>
      <c r="AO163" s="8"/>
      <c r="AP163" s="8"/>
      <c r="AQ163" s="8"/>
      <c r="AR163" s="4"/>
      <c r="AS163" s="8"/>
      <c r="AT163" s="8"/>
      <c r="AU163" s="8"/>
      <c r="AV163" s="8"/>
      <c r="AW163" s="8"/>
      <c r="AX163" s="8"/>
      <c r="AY163" s="8"/>
      <c r="AZ163" s="596"/>
    </row>
    <row r="164" spans="1:52">
      <c r="A164" s="8"/>
      <c r="B164" s="8"/>
      <c r="C164" s="8"/>
      <c r="D164" s="8"/>
      <c r="E164" s="8"/>
      <c r="F164" s="8"/>
      <c r="G164" s="8"/>
      <c r="H164" s="8"/>
      <c r="I164" s="8"/>
      <c r="J164" s="8"/>
      <c r="K164" s="7"/>
      <c r="L164" s="8"/>
      <c r="M164" s="8"/>
      <c r="N164" s="8"/>
      <c r="O164" s="8"/>
      <c r="P164" s="8"/>
      <c r="Q164" s="8"/>
      <c r="R164" s="8"/>
      <c r="S164" s="7"/>
      <c r="T164" s="8"/>
      <c r="U164" s="8"/>
      <c r="V164" s="8"/>
      <c r="W164" s="8"/>
      <c r="X164" s="8"/>
      <c r="Y164" s="8"/>
      <c r="Z164" s="8"/>
      <c r="AA164" s="8"/>
      <c r="AB164" s="8"/>
      <c r="AC164" s="8"/>
      <c r="AD164" s="8"/>
      <c r="AE164" s="8"/>
      <c r="AF164" s="8"/>
      <c r="AG164" s="8"/>
      <c r="AH164" s="8"/>
      <c r="AI164" s="8"/>
      <c r="AJ164" s="8"/>
      <c r="AK164" s="8"/>
      <c r="AL164" s="8"/>
      <c r="AM164" s="8"/>
      <c r="AN164" s="8"/>
      <c r="AO164" s="8"/>
      <c r="AP164" s="8"/>
      <c r="AQ164" s="8"/>
      <c r="AR164" s="4"/>
      <c r="AS164" s="8"/>
      <c r="AT164" s="8"/>
      <c r="AU164" s="8"/>
      <c r="AV164" s="8"/>
      <c r="AW164" s="8"/>
      <c r="AX164" s="8"/>
      <c r="AY164" s="8"/>
      <c r="AZ164" s="596"/>
    </row>
    <row r="165" spans="1:52">
      <c r="A165" s="8"/>
      <c r="B165" s="8"/>
      <c r="C165" s="8"/>
      <c r="D165" s="8"/>
      <c r="E165" s="8"/>
      <c r="F165" s="8"/>
      <c r="G165" s="8"/>
      <c r="H165" s="8"/>
      <c r="I165" s="8"/>
      <c r="J165" s="8"/>
      <c r="K165" s="7"/>
      <c r="L165" s="8"/>
      <c r="M165" s="8"/>
      <c r="N165" s="8"/>
      <c r="O165" s="8"/>
      <c r="P165" s="8"/>
      <c r="Q165" s="8"/>
      <c r="R165" s="8"/>
      <c r="S165" s="7"/>
      <c r="T165" s="8"/>
      <c r="U165" s="8"/>
      <c r="V165" s="8"/>
      <c r="W165" s="8"/>
      <c r="X165" s="8"/>
      <c r="Y165" s="8"/>
      <c r="Z165" s="8"/>
      <c r="AA165" s="8"/>
      <c r="AB165" s="8"/>
      <c r="AC165" s="8"/>
      <c r="AD165" s="8"/>
      <c r="AE165" s="8"/>
      <c r="AF165" s="8"/>
      <c r="AG165" s="8"/>
      <c r="AH165" s="8"/>
      <c r="AI165" s="8"/>
      <c r="AJ165" s="8"/>
      <c r="AK165" s="8"/>
      <c r="AL165" s="8"/>
      <c r="AM165" s="8"/>
      <c r="AN165" s="8"/>
      <c r="AO165" s="8"/>
      <c r="AP165" s="8"/>
      <c r="AQ165" s="8"/>
      <c r="AR165" s="4"/>
      <c r="AS165" s="8"/>
      <c r="AT165" s="8"/>
      <c r="AU165" s="8"/>
      <c r="AV165" s="8"/>
      <c r="AW165" s="8"/>
      <c r="AX165" s="8"/>
      <c r="AY165" s="8"/>
      <c r="AZ165" s="596"/>
    </row>
    <row r="166" spans="1:52">
      <c r="A166" s="8"/>
      <c r="B166" s="8"/>
      <c r="C166" s="8"/>
      <c r="D166" s="8"/>
      <c r="E166" s="8"/>
      <c r="F166" s="8"/>
      <c r="G166" s="8"/>
      <c r="H166" s="8"/>
      <c r="I166" s="8"/>
      <c r="J166" s="8"/>
      <c r="K166" s="7"/>
      <c r="L166" s="8"/>
      <c r="M166" s="8"/>
      <c r="N166" s="8"/>
      <c r="O166" s="8"/>
      <c r="P166" s="8"/>
      <c r="Q166" s="8"/>
      <c r="R166" s="8"/>
      <c r="S166" s="7"/>
      <c r="T166" s="8"/>
      <c r="U166" s="8"/>
      <c r="V166" s="8"/>
      <c r="W166" s="8"/>
      <c r="X166" s="8"/>
      <c r="Y166" s="8"/>
      <c r="Z166" s="8"/>
      <c r="AA166" s="8"/>
      <c r="AB166" s="8"/>
      <c r="AC166" s="8"/>
      <c r="AD166" s="8"/>
      <c r="AE166" s="8"/>
      <c r="AF166" s="8"/>
      <c r="AG166" s="8"/>
      <c r="AH166" s="8"/>
      <c r="AI166" s="8"/>
      <c r="AJ166" s="8"/>
      <c r="AK166" s="8"/>
      <c r="AL166" s="8"/>
      <c r="AM166" s="8"/>
      <c r="AN166" s="8"/>
      <c r="AO166" s="8"/>
      <c r="AP166" s="8"/>
      <c r="AQ166" s="8"/>
      <c r="AR166" s="4"/>
      <c r="AS166" s="8"/>
      <c r="AT166" s="8"/>
      <c r="AU166" s="8"/>
      <c r="AV166" s="8"/>
      <c r="AW166" s="8"/>
      <c r="AX166" s="8"/>
      <c r="AY166" s="8"/>
      <c r="AZ166" s="596"/>
    </row>
    <row r="167" spans="1:52">
      <c r="A167" s="8"/>
      <c r="B167" s="8"/>
      <c r="C167" s="8"/>
      <c r="D167" s="8"/>
      <c r="E167" s="8"/>
      <c r="F167" s="8"/>
      <c r="G167" s="8"/>
      <c r="H167" s="8"/>
      <c r="I167" s="8"/>
      <c r="J167" s="8"/>
      <c r="K167" s="7"/>
      <c r="L167" s="8"/>
      <c r="M167" s="8"/>
      <c r="N167" s="8"/>
      <c r="O167" s="8"/>
      <c r="P167" s="8"/>
      <c r="Q167" s="8"/>
      <c r="R167" s="8"/>
      <c r="S167" s="7"/>
      <c r="T167" s="8"/>
      <c r="U167" s="8"/>
      <c r="V167" s="8"/>
      <c r="W167" s="8"/>
      <c r="X167" s="8"/>
      <c r="Y167" s="8"/>
      <c r="Z167" s="8"/>
      <c r="AA167" s="8"/>
      <c r="AB167" s="8"/>
      <c r="AC167" s="8"/>
      <c r="AD167" s="8"/>
      <c r="AE167" s="8"/>
      <c r="AF167" s="8"/>
      <c r="AG167" s="8"/>
      <c r="AH167" s="8"/>
      <c r="AI167" s="8"/>
      <c r="AJ167" s="8"/>
      <c r="AK167" s="8"/>
      <c r="AL167" s="8"/>
      <c r="AM167" s="8"/>
      <c r="AN167" s="8"/>
      <c r="AO167" s="8"/>
      <c r="AP167" s="8"/>
      <c r="AQ167" s="8"/>
      <c r="AR167" s="4"/>
      <c r="AS167" s="8"/>
      <c r="AT167" s="8"/>
      <c r="AU167" s="8"/>
      <c r="AV167" s="8"/>
      <c r="AW167" s="8"/>
      <c r="AX167" s="8"/>
      <c r="AY167" s="8"/>
      <c r="AZ167" s="596"/>
    </row>
    <row r="168" spans="1:52">
      <c r="A168" s="8"/>
      <c r="B168" s="8"/>
      <c r="C168" s="8"/>
      <c r="D168" s="8"/>
      <c r="E168" s="8"/>
      <c r="F168" s="8"/>
      <c r="G168" s="8"/>
      <c r="H168" s="8"/>
      <c r="I168" s="8"/>
      <c r="J168" s="8"/>
      <c r="K168" s="7"/>
      <c r="L168" s="8"/>
      <c r="M168" s="8"/>
      <c r="N168" s="8"/>
      <c r="O168" s="8"/>
      <c r="P168" s="8"/>
      <c r="Q168" s="8"/>
      <c r="R168" s="8"/>
      <c r="S168" s="7"/>
      <c r="T168" s="8"/>
      <c r="U168" s="8"/>
      <c r="V168" s="8"/>
      <c r="W168" s="8"/>
      <c r="X168" s="8"/>
      <c r="Y168" s="8"/>
      <c r="Z168" s="8"/>
      <c r="AA168" s="8"/>
      <c r="AB168" s="8"/>
      <c r="AC168" s="8"/>
      <c r="AD168" s="8"/>
      <c r="AE168" s="8"/>
      <c r="AF168" s="8"/>
      <c r="AG168" s="8"/>
      <c r="AH168" s="8"/>
      <c r="AI168" s="8"/>
      <c r="AJ168" s="8"/>
      <c r="AK168" s="8"/>
      <c r="AL168" s="8"/>
      <c r="AM168" s="8"/>
      <c r="AN168" s="8"/>
      <c r="AO168" s="8"/>
      <c r="AP168" s="8"/>
      <c r="AQ168" s="8"/>
      <c r="AR168" s="4"/>
      <c r="AS168" s="8"/>
      <c r="AT168" s="8"/>
      <c r="AU168" s="8"/>
      <c r="AV168" s="8"/>
      <c r="AW168" s="8"/>
      <c r="AX168" s="8"/>
      <c r="AY168" s="8"/>
      <c r="AZ168" s="596"/>
    </row>
    <row r="169" spans="1:52">
      <c r="A169" s="8"/>
      <c r="B169" s="8"/>
      <c r="C169" s="8"/>
      <c r="D169" s="8"/>
      <c r="E169" s="8"/>
      <c r="F169" s="8"/>
      <c r="G169" s="8"/>
      <c r="H169" s="8"/>
      <c r="I169" s="8"/>
      <c r="J169" s="8"/>
      <c r="K169" s="7"/>
      <c r="L169" s="8"/>
      <c r="M169" s="8"/>
      <c r="N169" s="8"/>
      <c r="O169" s="8"/>
      <c r="P169" s="8"/>
      <c r="Q169" s="8"/>
      <c r="R169" s="8"/>
      <c r="S169" s="7"/>
      <c r="T169" s="8"/>
      <c r="U169" s="8"/>
      <c r="V169" s="8"/>
      <c r="W169" s="8"/>
      <c r="X169" s="8"/>
      <c r="Y169" s="8"/>
      <c r="Z169" s="8"/>
      <c r="AA169" s="8"/>
      <c r="AB169" s="8"/>
      <c r="AC169" s="8"/>
      <c r="AD169" s="8"/>
      <c r="AE169" s="8"/>
      <c r="AF169" s="8"/>
      <c r="AG169" s="8"/>
      <c r="AH169" s="8"/>
      <c r="AI169" s="8"/>
      <c r="AJ169" s="8"/>
      <c r="AK169" s="8"/>
      <c r="AL169" s="8"/>
      <c r="AM169" s="8"/>
      <c r="AN169" s="8"/>
      <c r="AO169" s="8"/>
      <c r="AP169" s="8"/>
      <c r="AQ169" s="8"/>
      <c r="AR169" s="4"/>
      <c r="AS169" s="8"/>
      <c r="AT169" s="8"/>
      <c r="AU169" s="8"/>
      <c r="AV169" s="8"/>
      <c r="AW169" s="8"/>
      <c r="AX169" s="8"/>
      <c r="AY169" s="8"/>
      <c r="AZ169" s="596"/>
    </row>
    <row r="170" spans="1:52">
      <c r="A170" s="8"/>
      <c r="B170" s="8"/>
      <c r="C170" s="8"/>
      <c r="D170" s="8"/>
      <c r="E170" s="8"/>
      <c r="F170" s="8"/>
      <c r="G170" s="8"/>
      <c r="H170" s="8"/>
      <c r="I170" s="8"/>
      <c r="J170" s="8"/>
      <c r="K170" s="7"/>
      <c r="L170" s="8"/>
      <c r="M170" s="8"/>
      <c r="N170" s="8"/>
      <c r="O170" s="8"/>
      <c r="P170" s="8"/>
      <c r="Q170" s="8"/>
      <c r="R170" s="8"/>
      <c r="S170" s="7"/>
      <c r="T170" s="8"/>
      <c r="U170" s="8"/>
      <c r="V170" s="8"/>
      <c r="W170" s="8"/>
      <c r="X170" s="8"/>
      <c r="Y170" s="8"/>
      <c r="Z170" s="8"/>
      <c r="AA170" s="8"/>
      <c r="AB170" s="8"/>
      <c r="AC170" s="8"/>
      <c r="AD170" s="8"/>
      <c r="AE170" s="8"/>
      <c r="AF170" s="8"/>
      <c r="AG170" s="8"/>
      <c r="AH170" s="8"/>
      <c r="AI170" s="8"/>
      <c r="AJ170" s="8"/>
      <c r="AK170" s="8"/>
      <c r="AL170" s="8"/>
      <c r="AM170" s="8"/>
      <c r="AN170" s="8"/>
      <c r="AO170" s="8"/>
      <c r="AP170" s="8"/>
      <c r="AQ170" s="8"/>
      <c r="AR170" s="4"/>
      <c r="AS170" s="8"/>
      <c r="AT170" s="8"/>
      <c r="AU170" s="8"/>
      <c r="AV170" s="8"/>
      <c r="AW170" s="8"/>
      <c r="AX170" s="8"/>
      <c r="AY170" s="8"/>
      <c r="AZ170" s="596"/>
    </row>
    <row r="171" spans="1:52">
      <c r="A171" s="8"/>
      <c r="B171" s="8"/>
      <c r="C171" s="8"/>
      <c r="D171" s="8"/>
      <c r="E171" s="8"/>
      <c r="F171" s="8"/>
      <c r="G171" s="8"/>
      <c r="H171" s="8"/>
      <c r="I171" s="8"/>
      <c r="J171" s="8"/>
      <c r="K171" s="7"/>
      <c r="L171" s="8"/>
      <c r="M171" s="8"/>
      <c r="N171" s="8"/>
      <c r="O171" s="8"/>
      <c r="P171" s="8"/>
      <c r="Q171" s="8"/>
      <c r="R171" s="8"/>
      <c r="S171" s="7"/>
      <c r="T171" s="8"/>
      <c r="U171" s="8"/>
      <c r="V171" s="8"/>
      <c r="W171" s="8"/>
      <c r="X171" s="8"/>
      <c r="Y171" s="8"/>
      <c r="Z171" s="8"/>
      <c r="AA171" s="8"/>
      <c r="AB171" s="8"/>
      <c r="AC171" s="8"/>
      <c r="AD171" s="8"/>
      <c r="AE171" s="8"/>
      <c r="AF171" s="8"/>
      <c r="AG171" s="8"/>
      <c r="AH171" s="8"/>
      <c r="AI171" s="8"/>
      <c r="AJ171" s="8"/>
      <c r="AK171" s="8"/>
      <c r="AL171" s="8"/>
      <c r="AM171" s="8"/>
      <c r="AN171" s="8"/>
      <c r="AO171" s="8"/>
      <c r="AP171" s="8"/>
      <c r="AQ171" s="8"/>
      <c r="AR171" s="4"/>
      <c r="AS171" s="8"/>
      <c r="AT171" s="8"/>
      <c r="AU171" s="8"/>
      <c r="AV171" s="8"/>
      <c r="AW171" s="8"/>
      <c r="AX171" s="8"/>
      <c r="AY171" s="8"/>
      <c r="AZ171" s="596"/>
    </row>
    <row r="172" spans="1:52">
      <c r="A172" s="8"/>
      <c r="B172" s="8"/>
      <c r="C172" s="8"/>
      <c r="D172" s="8"/>
      <c r="E172" s="8"/>
      <c r="F172" s="8"/>
      <c r="G172" s="8"/>
      <c r="H172" s="8"/>
      <c r="I172" s="8"/>
      <c r="J172" s="8"/>
      <c r="K172" s="7"/>
      <c r="L172" s="8"/>
      <c r="M172" s="8"/>
      <c r="N172" s="8"/>
      <c r="O172" s="8"/>
      <c r="P172" s="8"/>
      <c r="Q172" s="8"/>
      <c r="R172" s="8"/>
      <c r="S172" s="8"/>
      <c r="T172" s="8"/>
      <c r="U172" s="8"/>
      <c r="V172" s="8"/>
      <c r="W172" s="8"/>
      <c r="X172" s="8"/>
      <c r="Y172" s="8"/>
      <c r="Z172" s="8"/>
      <c r="AA172" s="8"/>
      <c r="AB172" s="8"/>
      <c r="AC172" s="8"/>
      <c r="AD172" s="8"/>
      <c r="AE172" s="8"/>
      <c r="AF172" s="8"/>
      <c r="AG172" s="8"/>
      <c r="AH172" s="8"/>
      <c r="AI172" s="8"/>
      <c r="AJ172" s="8"/>
      <c r="AK172" s="8"/>
      <c r="AL172" s="8"/>
      <c r="AM172" s="8"/>
      <c r="AN172" s="8"/>
      <c r="AO172" s="8"/>
      <c r="AP172" s="8"/>
      <c r="AQ172" s="8"/>
      <c r="AR172" s="4"/>
      <c r="AS172" s="8"/>
      <c r="AT172" s="8"/>
      <c r="AU172" s="8"/>
      <c r="AV172" s="8"/>
      <c r="AW172" s="8"/>
      <c r="AX172" s="8"/>
      <c r="AY172" s="8"/>
      <c r="AZ172" s="596"/>
    </row>
    <row r="173" spans="1:52">
      <c r="A173" s="8"/>
      <c r="B173" s="8"/>
      <c r="C173" s="8"/>
      <c r="D173" s="8"/>
      <c r="E173" s="8"/>
      <c r="F173" s="8"/>
      <c r="G173" s="8"/>
      <c r="H173" s="8"/>
      <c r="I173" s="8"/>
      <c r="J173" s="8"/>
      <c r="K173" s="7"/>
      <c r="L173" s="8"/>
      <c r="M173" s="8"/>
      <c r="N173" s="8"/>
      <c r="O173" s="8"/>
      <c r="P173" s="8"/>
      <c r="Q173" s="8"/>
      <c r="R173" s="8"/>
      <c r="S173" s="8"/>
      <c r="T173" s="8"/>
      <c r="U173" s="8"/>
      <c r="V173" s="8"/>
      <c r="W173" s="8"/>
      <c r="X173" s="8"/>
      <c r="Y173" s="8"/>
      <c r="Z173" s="8"/>
      <c r="AA173" s="8"/>
      <c r="AB173" s="8"/>
      <c r="AC173" s="8"/>
      <c r="AD173" s="8"/>
      <c r="AE173" s="8"/>
      <c r="AF173" s="8"/>
      <c r="AG173" s="8"/>
      <c r="AH173" s="8"/>
      <c r="AI173" s="8"/>
      <c r="AJ173" s="8"/>
      <c r="AK173" s="8"/>
      <c r="AL173" s="8"/>
      <c r="AM173" s="8"/>
      <c r="AN173" s="8"/>
      <c r="AO173" s="8"/>
      <c r="AP173" s="8"/>
      <c r="AQ173" s="8"/>
      <c r="AR173" s="4"/>
      <c r="AS173" s="8"/>
      <c r="AT173" s="8"/>
      <c r="AU173" s="8"/>
      <c r="AV173" s="8"/>
      <c r="AW173" s="8"/>
      <c r="AX173" s="8"/>
      <c r="AY173" s="8"/>
      <c r="AZ173" s="596"/>
    </row>
    <row r="174" spans="1:52">
      <c r="A174" s="8"/>
      <c r="B174" s="8"/>
      <c r="C174" s="8"/>
      <c r="D174" s="8"/>
      <c r="E174" s="8"/>
      <c r="F174" s="8"/>
      <c r="G174" s="8"/>
      <c r="H174" s="8"/>
      <c r="I174" s="8"/>
      <c r="J174" s="8"/>
      <c r="K174" s="7"/>
      <c r="L174" s="8"/>
      <c r="M174" s="8"/>
      <c r="N174" s="8"/>
      <c r="O174" s="8"/>
      <c r="P174" s="8"/>
      <c r="Q174" s="8"/>
      <c r="R174" s="8"/>
      <c r="S174" s="8"/>
      <c r="T174" s="8"/>
      <c r="U174" s="8"/>
      <c r="V174" s="8"/>
      <c r="W174" s="8"/>
      <c r="X174" s="8"/>
      <c r="Y174" s="8"/>
      <c r="Z174" s="8"/>
      <c r="AA174" s="8"/>
      <c r="AB174" s="8"/>
      <c r="AC174" s="8"/>
      <c r="AD174" s="8"/>
      <c r="AE174" s="8"/>
      <c r="AF174" s="8"/>
      <c r="AG174" s="8"/>
      <c r="AH174" s="8"/>
      <c r="AI174" s="8"/>
      <c r="AJ174" s="8"/>
      <c r="AK174" s="8"/>
      <c r="AL174" s="8"/>
      <c r="AM174" s="8"/>
      <c r="AN174" s="8"/>
      <c r="AO174" s="8"/>
      <c r="AP174" s="8"/>
      <c r="AQ174" s="8"/>
      <c r="AR174" s="4"/>
      <c r="AS174" s="8"/>
      <c r="AT174" s="8"/>
      <c r="AU174" s="8"/>
      <c r="AV174" s="8"/>
      <c r="AW174" s="8"/>
      <c r="AX174" s="8"/>
      <c r="AY174" s="8"/>
      <c r="AZ174" s="596"/>
    </row>
    <row r="175" spans="1:52">
      <c r="A175" s="8"/>
      <c r="B175" s="8"/>
      <c r="C175" s="8"/>
      <c r="D175" s="8"/>
      <c r="E175" s="8"/>
      <c r="F175" s="8"/>
      <c r="G175" s="8"/>
      <c r="H175" s="8"/>
      <c r="I175" s="8"/>
      <c r="J175" s="8"/>
      <c r="K175" s="7"/>
      <c r="L175" s="8"/>
      <c r="M175" s="8"/>
      <c r="N175" s="8"/>
      <c r="O175" s="8"/>
      <c r="P175" s="8"/>
      <c r="Q175" s="8"/>
      <c r="R175" s="8"/>
      <c r="S175" s="8"/>
      <c r="T175" s="8"/>
      <c r="U175" s="8"/>
      <c r="V175" s="8"/>
      <c r="W175" s="8"/>
      <c r="X175" s="8"/>
      <c r="Y175" s="8"/>
      <c r="Z175" s="8"/>
      <c r="AA175" s="8"/>
      <c r="AB175" s="8"/>
      <c r="AC175" s="8"/>
      <c r="AD175" s="8"/>
      <c r="AE175" s="8"/>
      <c r="AF175" s="8"/>
      <c r="AG175" s="8"/>
      <c r="AH175" s="8"/>
      <c r="AI175" s="8"/>
      <c r="AJ175" s="8"/>
      <c r="AK175" s="8"/>
      <c r="AL175" s="8"/>
      <c r="AM175" s="8"/>
      <c r="AN175" s="8"/>
      <c r="AO175" s="8"/>
      <c r="AP175" s="8"/>
      <c r="AQ175" s="8"/>
      <c r="AR175" s="4"/>
      <c r="AS175" s="8"/>
      <c r="AT175" s="8"/>
      <c r="AU175" s="8"/>
      <c r="AV175" s="8"/>
      <c r="AW175" s="8"/>
      <c r="AX175" s="8"/>
      <c r="AY175" s="8"/>
      <c r="AZ175" s="596"/>
    </row>
    <row r="176" spans="1:52">
      <c r="A176" s="8"/>
      <c r="B176" s="8"/>
      <c r="C176" s="8"/>
      <c r="D176" s="8"/>
      <c r="E176" s="8"/>
      <c r="F176" s="8"/>
      <c r="G176" s="8"/>
      <c r="H176" s="8"/>
      <c r="I176" s="8"/>
      <c r="J176" s="8"/>
      <c r="K176" s="7"/>
      <c r="L176" s="8"/>
      <c r="M176" s="8"/>
      <c r="N176" s="8"/>
      <c r="O176" s="8"/>
      <c r="P176" s="8"/>
      <c r="Q176" s="8"/>
      <c r="R176" s="8"/>
      <c r="S176" s="8"/>
      <c r="T176" s="8"/>
      <c r="U176" s="8"/>
      <c r="V176" s="8"/>
      <c r="W176" s="8"/>
      <c r="X176" s="8"/>
      <c r="Y176" s="8"/>
      <c r="Z176" s="8"/>
      <c r="AA176" s="8"/>
      <c r="AB176" s="8"/>
      <c r="AC176" s="8"/>
      <c r="AD176" s="8"/>
      <c r="AE176" s="8"/>
      <c r="AF176" s="8"/>
      <c r="AG176" s="8"/>
      <c r="AH176" s="8"/>
      <c r="AI176" s="8"/>
      <c r="AJ176" s="8"/>
      <c r="AK176" s="8"/>
      <c r="AL176" s="8"/>
      <c r="AM176" s="8"/>
      <c r="AN176" s="8"/>
      <c r="AO176" s="8"/>
      <c r="AP176" s="8"/>
      <c r="AQ176" s="8"/>
      <c r="AR176" s="4"/>
      <c r="AS176" s="8"/>
      <c r="AT176" s="8"/>
      <c r="AU176" s="8"/>
      <c r="AV176" s="8"/>
      <c r="AW176" s="8"/>
      <c r="AX176" s="8"/>
      <c r="AY176" s="8"/>
      <c r="AZ176" s="596"/>
    </row>
    <row r="177" spans="1:52">
      <c r="A177" s="8"/>
      <c r="B177" s="8"/>
      <c r="C177" s="8"/>
      <c r="D177" s="8"/>
      <c r="E177" s="8"/>
      <c r="F177" s="8"/>
      <c r="G177" s="8"/>
      <c r="H177" s="8"/>
      <c r="I177" s="8"/>
      <c r="J177" s="8"/>
      <c r="K177" s="7"/>
      <c r="L177" s="8"/>
      <c r="M177" s="8"/>
      <c r="N177" s="8"/>
      <c r="O177" s="8"/>
      <c r="P177" s="8"/>
      <c r="Q177" s="8"/>
      <c r="R177" s="8"/>
      <c r="S177" s="8"/>
      <c r="T177" s="8"/>
      <c r="U177" s="8"/>
      <c r="V177" s="8"/>
      <c r="W177" s="8"/>
      <c r="X177" s="8"/>
      <c r="Y177" s="8"/>
      <c r="Z177" s="8"/>
      <c r="AA177" s="8"/>
      <c r="AB177" s="8"/>
      <c r="AC177" s="8"/>
      <c r="AD177" s="8"/>
      <c r="AE177" s="8"/>
      <c r="AF177" s="8"/>
      <c r="AG177" s="8"/>
      <c r="AH177" s="8"/>
      <c r="AI177" s="8"/>
      <c r="AJ177" s="8"/>
      <c r="AK177" s="8"/>
      <c r="AL177" s="8"/>
      <c r="AM177" s="8"/>
      <c r="AN177" s="8"/>
      <c r="AO177" s="8"/>
      <c r="AP177" s="8"/>
      <c r="AQ177" s="8"/>
      <c r="AR177" s="4"/>
      <c r="AS177" s="8"/>
      <c r="AT177" s="8"/>
      <c r="AU177" s="8"/>
      <c r="AV177" s="8"/>
      <c r="AW177" s="8"/>
      <c r="AX177" s="8"/>
      <c r="AY177" s="8"/>
      <c r="AZ177" s="596"/>
    </row>
    <row r="178" spans="1:52">
      <c r="A178" s="8"/>
      <c r="B178" s="8"/>
      <c r="C178" s="8"/>
      <c r="D178" s="8"/>
      <c r="E178" s="8"/>
      <c r="F178" s="8"/>
      <c r="G178" s="8"/>
      <c r="H178" s="8"/>
      <c r="I178" s="8"/>
      <c r="J178" s="8"/>
      <c r="K178" s="7"/>
      <c r="L178" s="8"/>
      <c r="M178" s="8"/>
      <c r="N178" s="8"/>
      <c r="O178" s="8"/>
      <c r="P178" s="8"/>
      <c r="Q178" s="8"/>
      <c r="R178" s="8"/>
      <c r="S178" s="8"/>
      <c r="T178" s="8"/>
      <c r="U178" s="8"/>
      <c r="V178" s="8"/>
      <c r="W178" s="8"/>
      <c r="X178" s="8"/>
      <c r="Y178" s="8"/>
      <c r="Z178" s="8"/>
      <c r="AA178" s="8"/>
      <c r="AB178" s="8"/>
      <c r="AC178" s="8"/>
      <c r="AD178" s="8"/>
      <c r="AE178" s="8"/>
      <c r="AF178" s="8"/>
      <c r="AG178" s="8"/>
      <c r="AH178" s="8"/>
      <c r="AI178" s="8"/>
      <c r="AJ178" s="8"/>
      <c r="AK178" s="8"/>
      <c r="AL178" s="8"/>
      <c r="AM178" s="8"/>
      <c r="AN178" s="8"/>
      <c r="AO178" s="8"/>
      <c r="AP178" s="8"/>
      <c r="AQ178" s="8"/>
      <c r="AR178" s="8"/>
      <c r="AS178" s="8"/>
      <c r="AT178" s="8"/>
      <c r="AU178" s="8"/>
      <c r="AV178" s="8"/>
      <c r="AW178" s="8"/>
      <c r="AX178" s="8"/>
      <c r="AY178" s="8"/>
      <c r="AZ178" s="596"/>
    </row>
    <row r="179" spans="1:52">
      <c r="A179" s="8"/>
      <c r="B179" s="8"/>
      <c r="C179" s="8"/>
      <c r="D179" s="8"/>
      <c r="E179" s="8"/>
      <c r="F179" s="8"/>
      <c r="G179" s="8"/>
      <c r="H179" s="8"/>
      <c r="I179" s="8"/>
      <c r="J179" s="8"/>
      <c r="K179" s="7"/>
      <c r="L179" s="8"/>
      <c r="M179" s="8"/>
      <c r="N179" s="8"/>
      <c r="O179" s="8"/>
      <c r="P179" s="8"/>
      <c r="Q179" s="8"/>
      <c r="R179" s="8"/>
      <c r="S179" s="8"/>
      <c r="T179" s="8"/>
      <c r="U179" s="8"/>
      <c r="V179" s="8"/>
      <c r="W179" s="8"/>
      <c r="X179" s="8"/>
      <c r="Y179" s="8"/>
      <c r="Z179" s="8"/>
      <c r="AA179" s="8"/>
      <c r="AB179" s="8"/>
      <c r="AC179" s="8"/>
      <c r="AD179" s="8"/>
      <c r="AE179" s="8"/>
      <c r="AF179" s="8"/>
      <c r="AG179" s="8"/>
      <c r="AH179" s="8"/>
      <c r="AI179" s="8"/>
      <c r="AJ179" s="8"/>
      <c r="AK179" s="8"/>
      <c r="AL179" s="8"/>
      <c r="AM179" s="8"/>
      <c r="AN179" s="8"/>
      <c r="AO179" s="8"/>
      <c r="AP179" s="8"/>
      <c r="AQ179" s="8"/>
      <c r="AR179" s="8"/>
      <c r="AS179" s="8"/>
      <c r="AT179" s="8"/>
      <c r="AU179" s="8"/>
      <c r="AV179" s="8"/>
      <c r="AW179" s="8"/>
      <c r="AX179" s="8"/>
      <c r="AY179" s="8"/>
      <c r="AZ179" s="596"/>
    </row>
    <row r="180" spans="1:52">
      <c r="A180" s="8"/>
      <c r="B180" s="8"/>
      <c r="C180" s="8"/>
      <c r="D180" s="8"/>
      <c r="E180" s="8"/>
      <c r="F180" s="8"/>
      <c r="G180" s="8"/>
      <c r="H180" s="8"/>
      <c r="I180" s="8"/>
      <c r="J180" s="8"/>
      <c r="K180" s="7"/>
      <c r="L180" s="8"/>
      <c r="M180" s="8"/>
      <c r="N180" s="8"/>
      <c r="O180" s="8"/>
      <c r="P180" s="8"/>
      <c r="Q180" s="8"/>
      <c r="R180" s="8"/>
      <c r="S180" s="8"/>
      <c r="T180" s="8"/>
      <c r="U180" s="8"/>
      <c r="V180" s="8"/>
      <c r="W180" s="8"/>
      <c r="X180" s="8"/>
      <c r="Y180" s="8"/>
      <c r="Z180" s="8"/>
      <c r="AA180" s="8"/>
      <c r="AB180" s="8"/>
      <c r="AC180" s="8"/>
      <c r="AD180" s="8"/>
      <c r="AE180" s="8"/>
      <c r="AF180" s="8"/>
      <c r="AG180" s="8"/>
      <c r="AH180" s="8"/>
      <c r="AI180" s="8"/>
      <c r="AJ180" s="8"/>
      <c r="AK180" s="8"/>
      <c r="AL180" s="8"/>
      <c r="AM180" s="8"/>
      <c r="AN180" s="8"/>
      <c r="AO180" s="8"/>
      <c r="AP180" s="8"/>
      <c r="AQ180" s="8"/>
      <c r="AR180" s="8"/>
      <c r="AS180" s="8"/>
      <c r="AT180" s="8"/>
      <c r="AU180" s="8"/>
      <c r="AV180" s="8"/>
      <c r="AW180" s="8"/>
      <c r="AX180" s="8"/>
      <c r="AY180" s="8"/>
      <c r="AZ180" s="596"/>
    </row>
    <row r="181" spans="1:52">
      <c r="A181" s="8"/>
      <c r="B181" s="8"/>
      <c r="C181" s="8"/>
      <c r="D181" s="8"/>
      <c r="E181" s="8"/>
      <c r="F181" s="8"/>
      <c r="G181" s="8"/>
      <c r="H181" s="8"/>
      <c r="I181" s="8"/>
      <c r="J181" s="8"/>
      <c r="K181" s="7"/>
      <c r="L181" s="8"/>
      <c r="M181" s="8"/>
      <c r="N181" s="8"/>
      <c r="O181" s="8"/>
      <c r="P181" s="8"/>
      <c r="Q181" s="8"/>
      <c r="R181" s="8"/>
      <c r="S181" s="8"/>
      <c r="T181" s="8"/>
      <c r="U181" s="8"/>
      <c r="V181" s="8"/>
      <c r="W181" s="8"/>
      <c r="X181" s="8"/>
      <c r="Y181" s="8"/>
      <c r="Z181" s="8"/>
      <c r="AA181" s="8"/>
      <c r="AB181" s="8"/>
      <c r="AC181" s="8"/>
      <c r="AD181" s="8"/>
      <c r="AE181" s="8"/>
      <c r="AF181" s="8"/>
      <c r="AG181" s="8"/>
      <c r="AH181" s="8"/>
      <c r="AI181" s="8"/>
      <c r="AJ181" s="8"/>
      <c r="AK181" s="8"/>
      <c r="AL181" s="8"/>
      <c r="AM181" s="8"/>
      <c r="AN181" s="8"/>
      <c r="AO181" s="8"/>
      <c r="AP181" s="8"/>
      <c r="AQ181" s="8"/>
      <c r="AR181" s="8"/>
      <c r="AS181" s="8"/>
      <c r="AT181" s="8"/>
      <c r="AU181" s="8"/>
      <c r="AV181" s="8"/>
      <c r="AW181" s="8"/>
      <c r="AX181" s="8"/>
      <c r="AY181" s="8"/>
      <c r="AZ181" s="596"/>
    </row>
    <row r="182" spans="1:52">
      <c r="A182" s="8"/>
      <c r="B182" s="8"/>
      <c r="C182" s="8"/>
      <c r="D182" s="8"/>
      <c r="E182" s="8"/>
      <c r="F182" s="8"/>
      <c r="G182" s="8"/>
      <c r="H182" s="8"/>
      <c r="I182" s="8"/>
      <c r="J182" s="8"/>
      <c r="K182" s="7"/>
      <c r="L182" s="8"/>
      <c r="M182" s="8"/>
      <c r="N182" s="8"/>
      <c r="O182" s="8"/>
      <c r="P182" s="8"/>
      <c r="Q182" s="8"/>
      <c r="R182" s="8"/>
      <c r="S182" s="8"/>
      <c r="T182" s="8"/>
      <c r="U182" s="8"/>
      <c r="V182" s="8"/>
      <c r="W182" s="8"/>
      <c r="X182" s="8"/>
      <c r="Y182" s="8"/>
      <c r="Z182" s="8"/>
      <c r="AA182" s="8"/>
      <c r="AB182" s="8"/>
      <c r="AC182" s="8"/>
      <c r="AD182" s="8"/>
      <c r="AE182" s="8"/>
      <c r="AF182" s="8"/>
      <c r="AG182" s="8"/>
      <c r="AH182" s="8"/>
      <c r="AI182" s="8"/>
      <c r="AJ182" s="8"/>
      <c r="AK182" s="8"/>
      <c r="AL182" s="8"/>
      <c r="AM182" s="8"/>
      <c r="AN182" s="8"/>
      <c r="AO182" s="8"/>
      <c r="AP182" s="8"/>
      <c r="AQ182" s="8"/>
      <c r="AR182" s="8"/>
      <c r="AS182" s="8"/>
      <c r="AT182" s="8"/>
      <c r="AU182" s="8"/>
      <c r="AV182" s="8"/>
      <c r="AW182" s="8"/>
      <c r="AX182" s="8"/>
      <c r="AY182" s="8"/>
      <c r="AZ182" s="596"/>
    </row>
    <row r="183" spans="1:52">
      <c r="A183" s="8"/>
      <c r="B183" s="8"/>
      <c r="C183" s="8"/>
      <c r="D183" s="8"/>
      <c r="E183" s="8"/>
      <c r="F183" s="8"/>
      <c r="G183" s="8"/>
      <c r="H183" s="8"/>
      <c r="I183" s="8"/>
      <c r="J183" s="8"/>
      <c r="K183" s="7"/>
      <c r="L183" s="8"/>
      <c r="M183" s="8"/>
      <c r="N183" s="8"/>
      <c r="O183" s="8"/>
      <c r="P183" s="8"/>
      <c r="Q183" s="8"/>
      <c r="R183" s="8"/>
      <c r="S183" s="8"/>
      <c r="T183" s="8"/>
      <c r="U183" s="8"/>
      <c r="V183" s="8"/>
      <c r="W183" s="8"/>
      <c r="X183" s="8"/>
      <c r="Y183" s="8"/>
      <c r="Z183" s="8"/>
      <c r="AA183" s="8"/>
      <c r="AB183" s="8"/>
      <c r="AC183" s="8"/>
      <c r="AD183" s="8"/>
      <c r="AE183" s="8"/>
      <c r="AF183" s="8"/>
      <c r="AG183" s="8"/>
      <c r="AH183" s="8"/>
      <c r="AI183" s="8"/>
      <c r="AJ183" s="8"/>
      <c r="AK183" s="8"/>
      <c r="AL183" s="8"/>
      <c r="AM183" s="8"/>
      <c r="AN183" s="8"/>
      <c r="AO183" s="8"/>
      <c r="AP183" s="8"/>
      <c r="AQ183" s="8"/>
      <c r="AR183" s="8"/>
      <c r="AS183" s="8"/>
      <c r="AT183" s="8"/>
      <c r="AU183" s="8"/>
      <c r="AV183" s="8"/>
      <c r="AW183" s="8"/>
      <c r="AX183" s="8"/>
      <c r="AY183" s="8"/>
      <c r="AZ183" s="596"/>
    </row>
    <row r="184" spans="1:52">
      <c r="A184" s="8"/>
      <c r="B184" s="8"/>
      <c r="C184" s="8"/>
      <c r="D184" s="8"/>
      <c r="E184" s="8"/>
      <c r="F184" s="8"/>
      <c r="G184" s="8"/>
      <c r="H184" s="8"/>
      <c r="I184" s="8"/>
      <c r="J184" s="8"/>
      <c r="K184" s="7"/>
      <c r="L184" s="8"/>
      <c r="M184" s="8"/>
      <c r="N184" s="8"/>
      <c r="O184" s="8"/>
      <c r="P184" s="8"/>
      <c r="Q184" s="8"/>
      <c r="R184" s="8"/>
      <c r="S184" s="8"/>
      <c r="T184" s="8"/>
      <c r="U184" s="8"/>
      <c r="V184" s="8"/>
      <c r="W184" s="8"/>
      <c r="X184" s="8"/>
      <c r="Y184" s="8"/>
      <c r="Z184" s="8"/>
      <c r="AA184" s="8"/>
      <c r="AB184" s="8"/>
      <c r="AC184" s="8"/>
      <c r="AD184" s="8"/>
      <c r="AE184" s="8"/>
      <c r="AF184" s="8"/>
      <c r="AG184" s="8"/>
      <c r="AH184" s="8"/>
      <c r="AI184" s="8"/>
      <c r="AJ184" s="8"/>
      <c r="AK184" s="8"/>
      <c r="AL184" s="8"/>
      <c r="AM184" s="8"/>
      <c r="AN184" s="8"/>
      <c r="AO184" s="8"/>
      <c r="AP184" s="8"/>
      <c r="AQ184" s="8"/>
      <c r="AR184" s="8"/>
      <c r="AS184" s="8"/>
      <c r="AT184" s="8"/>
      <c r="AU184" s="8"/>
      <c r="AV184" s="8"/>
      <c r="AW184" s="8"/>
      <c r="AX184" s="8"/>
      <c r="AY184" s="8"/>
      <c r="AZ184" s="596"/>
    </row>
    <row r="185" spans="1:52">
      <c r="A185" s="8"/>
      <c r="B185" s="8"/>
      <c r="C185" s="8"/>
      <c r="D185" s="8"/>
      <c r="E185" s="8"/>
      <c r="F185" s="8"/>
      <c r="G185" s="8"/>
      <c r="H185" s="8"/>
      <c r="I185" s="8"/>
      <c r="J185" s="8"/>
      <c r="K185" s="7"/>
      <c r="L185" s="8"/>
      <c r="M185" s="8"/>
      <c r="N185" s="8"/>
      <c r="O185" s="8"/>
      <c r="P185" s="8"/>
      <c r="Q185" s="8"/>
      <c r="R185" s="8"/>
      <c r="S185" s="8"/>
      <c r="T185" s="8"/>
      <c r="U185" s="8"/>
      <c r="V185" s="8"/>
      <c r="W185" s="8"/>
      <c r="X185" s="8"/>
      <c r="Y185" s="8"/>
      <c r="Z185" s="8"/>
      <c r="AA185" s="8"/>
      <c r="AB185" s="8"/>
      <c r="AC185" s="8"/>
      <c r="AD185" s="8"/>
      <c r="AE185" s="8"/>
      <c r="AF185" s="8"/>
      <c r="AG185" s="8"/>
      <c r="AH185" s="8"/>
      <c r="AI185" s="8"/>
      <c r="AJ185" s="8"/>
      <c r="AK185" s="8"/>
      <c r="AL185" s="8"/>
      <c r="AM185" s="8"/>
      <c r="AN185" s="8"/>
      <c r="AO185" s="8"/>
      <c r="AP185" s="8"/>
      <c r="AQ185" s="8"/>
      <c r="AR185" s="8"/>
      <c r="AS185" s="8"/>
      <c r="AT185" s="8"/>
      <c r="AU185" s="8"/>
      <c r="AV185" s="8"/>
      <c r="AW185" s="8"/>
      <c r="AX185" s="8"/>
      <c r="AY185" s="8"/>
      <c r="AZ185" s="596"/>
    </row>
    <row r="186" spans="1:52">
      <c r="A186" s="8"/>
      <c r="B186" s="8"/>
      <c r="C186" s="8"/>
      <c r="D186" s="8"/>
      <c r="E186" s="8"/>
      <c r="F186" s="8"/>
      <c r="G186" s="8"/>
      <c r="H186" s="8"/>
      <c r="I186" s="8"/>
      <c r="J186" s="8"/>
      <c r="K186" s="7"/>
      <c r="L186" s="8"/>
      <c r="M186" s="8"/>
      <c r="N186" s="8"/>
      <c r="O186" s="8"/>
      <c r="P186" s="8"/>
      <c r="Q186" s="8"/>
      <c r="R186" s="8"/>
      <c r="S186" s="8"/>
      <c r="T186" s="8"/>
      <c r="U186" s="8"/>
      <c r="V186" s="8"/>
      <c r="W186" s="8"/>
      <c r="X186" s="8"/>
      <c r="Y186" s="8"/>
      <c r="Z186" s="8"/>
      <c r="AA186" s="8"/>
      <c r="AB186" s="8"/>
      <c r="AC186" s="8"/>
      <c r="AD186" s="8"/>
      <c r="AE186" s="8"/>
      <c r="AF186" s="8"/>
      <c r="AG186" s="8"/>
      <c r="AH186" s="8"/>
      <c r="AI186" s="8"/>
      <c r="AJ186" s="8"/>
      <c r="AK186" s="8"/>
      <c r="AL186" s="8"/>
      <c r="AM186" s="8"/>
      <c r="AN186" s="8"/>
      <c r="AO186" s="8"/>
      <c r="AP186" s="8"/>
      <c r="AQ186" s="8"/>
      <c r="AR186" s="8"/>
      <c r="AS186" s="8"/>
      <c r="AT186" s="8"/>
      <c r="AU186" s="8"/>
      <c r="AV186" s="8"/>
      <c r="AW186" s="8"/>
      <c r="AX186" s="8"/>
      <c r="AY186" s="8"/>
      <c r="AZ186" s="596"/>
    </row>
    <row r="187" spans="1:52">
      <c r="A187" s="8"/>
      <c r="B187" s="8"/>
      <c r="C187" s="8"/>
      <c r="D187" s="8"/>
      <c r="E187" s="8"/>
      <c r="F187" s="8"/>
      <c r="G187" s="8"/>
      <c r="H187" s="8"/>
      <c r="I187" s="8"/>
      <c r="J187" s="8"/>
      <c r="K187" s="7"/>
      <c r="L187" s="8"/>
      <c r="M187" s="8"/>
      <c r="N187" s="8"/>
      <c r="O187" s="8"/>
      <c r="P187" s="8"/>
      <c r="Q187" s="8"/>
      <c r="R187" s="8"/>
      <c r="S187" s="8"/>
      <c r="T187" s="8"/>
      <c r="U187" s="8"/>
      <c r="V187" s="8"/>
      <c r="W187" s="8"/>
      <c r="X187" s="8"/>
      <c r="Y187" s="8"/>
      <c r="Z187" s="8"/>
      <c r="AA187" s="8"/>
      <c r="AB187" s="8"/>
      <c r="AC187" s="8"/>
      <c r="AD187" s="8"/>
      <c r="AE187" s="8"/>
      <c r="AF187" s="8"/>
      <c r="AG187" s="8"/>
      <c r="AH187" s="8"/>
      <c r="AI187" s="8"/>
      <c r="AJ187" s="8"/>
      <c r="AK187" s="8"/>
      <c r="AL187" s="8"/>
      <c r="AM187" s="8"/>
      <c r="AN187" s="8"/>
      <c r="AO187" s="8"/>
      <c r="AP187" s="8"/>
      <c r="AQ187" s="8"/>
      <c r="AR187" s="8"/>
      <c r="AS187" s="8"/>
      <c r="AT187" s="8"/>
      <c r="AU187" s="8"/>
      <c r="AV187" s="8"/>
      <c r="AW187" s="8"/>
      <c r="AX187" s="8"/>
      <c r="AY187" s="8"/>
      <c r="AZ187" s="596"/>
    </row>
    <row r="188" spans="1:52">
      <c r="A188" s="8"/>
      <c r="B188" s="8"/>
      <c r="C188" s="8"/>
      <c r="D188" s="8"/>
      <c r="E188" s="8"/>
      <c r="F188" s="8"/>
      <c r="G188" s="8"/>
      <c r="H188" s="8"/>
      <c r="I188" s="8"/>
      <c r="J188" s="8"/>
      <c r="K188" s="7"/>
      <c r="L188" s="8"/>
      <c r="M188" s="8"/>
      <c r="N188" s="8"/>
      <c r="O188" s="8"/>
      <c r="P188" s="8"/>
      <c r="Q188" s="8"/>
      <c r="R188" s="8"/>
      <c r="S188" s="8"/>
      <c r="T188" s="8"/>
      <c r="U188" s="8"/>
      <c r="V188" s="8"/>
      <c r="W188" s="8"/>
      <c r="X188" s="8"/>
      <c r="Y188" s="8"/>
      <c r="Z188" s="8"/>
      <c r="AA188" s="8"/>
      <c r="AB188" s="8"/>
      <c r="AC188" s="8"/>
      <c r="AD188" s="8"/>
      <c r="AE188" s="8"/>
      <c r="AF188" s="8"/>
      <c r="AG188" s="8"/>
      <c r="AH188" s="8"/>
      <c r="AI188" s="8"/>
      <c r="AJ188" s="8"/>
      <c r="AK188" s="8"/>
      <c r="AL188" s="8"/>
      <c r="AM188" s="8"/>
      <c r="AN188" s="8"/>
      <c r="AO188" s="8"/>
      <c r="AP188" s="8"/>
      <c r="AQ188" s="8"/>
      <c r="AR188" s="8"/>
      <c r="AS188" s="8"/>
      <c r="AT188" s="8"/>
      <c r="AU188" s="8"/>
      <c r="AV188" s="8"/>
      <c r="AW188" s="8"/>
      <c r="AX188" s="8"/>
      <c r="AY188" s="8"/>
      <c r="AZ188" s="596"/>
    </row>
    <row r="189" spans="1:52">
      <c r="A189" s="8"/>
      <c r="B189" s="8"/>
      <c r="C189" s="8"/>
      <c r="D189" s="8"/>
      <c r="E189" s="8"/>
      <c r="F189" s="8"/>
      <c r="G189" s="8"/>
      <c r="H189" s="8"/>
      <c r="I189" s="8"/>
      <c r="J189" s="8"/>
      <c r="K189" s="7"/>
      <c r="L189" s="8"/>
      <c r="M189" s="8"/>
      <c r="N189" s="8"/>
      <c r="O189" s="8"/>
      <c r="P189" s="8"/>
      <c r="Q189" s="8"/>
      <c r="R189" s="8"/>
      <c r="S189" s="8"/>
      <c r="T189" s="8"/>
      <c r="U189" s="8"/>
      <c r="V189" s="8"/>
      <c r="W189" s="8"/>
      <c r="X189" s="8"/>
      <c r="Y189" s="8"/>
      <c r="Z189" s="8"/>
      <c r="AA189" s="8"/>
      <c r="AB189" s="8"/>
      <c r="AC189" s="8"/>
      <c r="AD189" s="8"/>
      <c r="AE189" s="8"/>
      <c r="AF189" s="8"/>
      <c r="AG189" s="8"/>
      <c r="AH189" s="8"/>
      <c r="AI189" s="8"/>
      <c r="AJ189" s="8"/>
      <c r="AK189" s="8"/>
      <c r="AL189" s="8"/>
      <c r="AM189" s="8"/>
      <c r="AN189" s="8"/>
      <c r="AO189" s="8"/>
      <c r="AP189" s="8"/>
      <c r="AQ189" s="8"/>
      <c r="AR189" s="8"/>
      <c r="AS189" s="8"/>
      <c r="AT189" s="8"/>
      <c r="AU189" s="8"/>
      <c r="AV189" s="8"/>
      <c r="AW189" s="8"/>
      <c r="AX189" s="8"/>
      <c r="AY189" s="8"/>
      <c r="AZ189" s="596"/>
    </row>
    <row r="190" spans="1:52">
      <c r="A190" s="8"/>
      <c r="B190" s="8"/>
      <c r="C190" s="8"/>
      <c r="D190" s="8"/>
      <c r="E190" s="8"/>
      <c r="F190" s="8"/>
      <c r="G190" s="8"/>
      <c r="H190" s="8"/>
      <c r="I190" s="8"/>
      <c r="J190" s="8"/>
      <c r="K190" s="7"/>
      <c r="L190" s="8"/>
      <c r="M190" s="8"/>
      <c r="N190" s="8"/>
      <c r="O190" s="8"/>
      <c r="P190" s="8"/>
      <c r="Q190" s="8"/>
      <c r="R190" s="8"/>
      <c r="S190" s="8"/>
      <c r="T190" s="8"/>
      <c r="U190" s="8"/>
      <c r="V190" s="8"/>
      <c r="W190" s="8"/>
      <c r="X190" s="8"/>
      <c r="Y190" s="8"/>
      <c r="Z190" s="8"/>
      <c r="AA190" s="8"/>
      <c r="AB190" s="8"/>
      <c r="AC190" s="8"/>
      <c r="AD190" s="8"/>
      <c r="AE190" s="8"/>
      <c r="AF190" s="8"/>
      <c r="AG190" s="8"/>
      <c r="AH190" s="8"/>
      <c r="AI190" s="8"/>
      <c r="AJ190" s="8"/>
      <c r="AK190" s="8"/>
      <c r="AL190" s="8"/>
      <c r="AM190" s="8"/>
      <c r="AN190" s="8"/>
      <c r="AO190" s="8"/>
      <c r="AP190" s="8"/>
      <c r="AQ190" s="8"/>
      <c r="AR190" s="8"/>
      <c r="AS190" s="8"/>
      <c r="AT190" s="8"/>
      <c r="AU190" s="8"/>
      <c r="AV190" s="8"/>
      <c r="AW190" s="8"/>
      <c r="AX190" s="8"/>
      <c r="AY190" s="8"/>
      <c r="AZ190" s="596"/>
    </row>
    <row r="191" spans="1:52">
      <c r="A191" s="8"/>
      <c r="B191" s="8"/>
      <c r="C191" s="8"/>
      <c r="D191" s="8"/>
      <c r="E191" s="8"/>
      <c r="F191" s="8"/>
      <c r="G191" s="8"/>
      <c r="H191" s="8"/>
      <c r="I191" s="8"/>
      <c r="J191" s="8"/>
      <c r="K191" s="7"/>
      <c r="L191" s="8"/>
      <c r="M191" s="8"/>
      <c r="N191" s="8"/>
      <c r="O191" s="8"/>
      <c r="P191" s="8"/>
      <c r="Q191" s="8"/>
      <c r="R191" s="8"/>
      <c r="S191" s="8"/>
      <c r="T191" s="8"/>
      <c r="U191" s="8"/>
      <c r="V191" s="8"/>
      <c r="W191" s="8"/>
      <c r="X191" s="8"/>
      <c r="Y191" s="8"/>
      <c r="Z191" s="8"/>
      <c r="AA191" s="8"/>
      <c r="AB191" s="8"/>
      <c r="AC191" s="8"/>
      <c r="AD191" s="8"/>
      <c r="AE191" s="8"/>
      <c r="AF191" s="8"/>
      <c r="AG191" s="8"/>
      <c r="AH191" s="8"/>
      <c r="AI191" s="8"/>
      <c r="AJ191" s="8"/>
      <c r="AK191" s="8"/>
      <c r="AL191" s="8"/>
      <c r="AM191" s="8"/>
      <c r="AN191" s="8"/>
      <c r="AO191" s="8"/>
      <c r="AP191" s="8"/>
      <c r="AQ191" s="8"/>
      <c r="AR191" s="8"/>
      <c r="AS191" s="8"/>
      <c r="AT191" s="8"/>
      <c r="AU191" s="8"/>
      <c r="AV191" s="8"/>
      <c r="AW191" s="8"/>
      <c r="AX191" s="8"/>
      <c r="AY191" s="8"/>
      <c r="AZ191" s="596"/>
    </row>
    <row r="192" spans="1:52">
      <c r="A192" s="8"/>
      <c r="B192" s="8"/>
      <c r="C192" s="8"/>
      <c r="D192" s="8"/>
      <c r="E192" s="8"/>
      <c r="F192" s="8"/>
      <c r="G192" s="8"/>
      <c r="H192" s="8"/>
      <c r="I192" s="8"/>
      <c r="J192" s="8"/>
      <c r="K192" s="7"/>
      <c r="L192" s="8"/>
      <c r="M192" s="8"/>
      <c r="N192" s="8"/>
      <c r="O192" s="8"/>
      <c r="P192" s="8"/>
      <c r="Q192" s="8"/>
      <c r="R192" s="8"/>
      <c r="S192" s="8"/>
      <c r="T192" s="8"/>
      <c r="U192" s="8"/>
      <c r="V192" s="8"/>
      <c r="W192" s="8"/>
      <c r="X192" s="8"/>
      <c r="Y192" s="8"/>
      <c r="Z192" s="8"/>
      <c r="AA192" s="8"/>
      <c r="AB192" s="8"/>
      <c r="AC192" s="8"/>
      <c r="AD192" s="8"/>
      <c r="AE192" s="8"/>
      <c r="AF192" s="8"/>
      <c r="AG192" s="8"/>
      <c r="AH192" s="8"/>
      <c r="AI192" s="8"/>
      <c r="AJ192" s="8"/>
      <c r="AK192" s="8"/>
      <c r="AL192" s="8"/>
      <c r="AM192" s="8"/>
      <c r="AN192" s="8"/>
      <c r="AO192" s="8"/>
      <c r="AP192" s="8"/>
      <c r="AQ192" s="8"/>
      <c r="AR192" s="8"/>
      <c r="AS192" s="8"/>
      <c r="AT192" s="8"/>
      <c r="AU192" s="8"/>
      <c r="AV192" s="8"/>
      <c r="AW192" s="8"/>
      <c r="AX192" s="8"/>
      <c r="AY192" s="8"/>
      <c r="AZ192" s="596"/>
    </row>
    <row r="193" spans="1:52">
      <c r="A193" s="8"/>
      <c r="B193" s="8"/>
      <c r="C193" s="8"/>
      <c r="D193" s="8"/>
      <c r="E193" s="8"/>
      <c r="F193" s="8"/>
      <c r="G193" s="8"/>
      <c r="H193" s="8"/>
      <c r="I193" s="8"/>
      <c r="J193" s="8"/>
      <c r="K193" s="7"/>
      <c r="L193" s="8"/>
      <c r="M193" s="8"/>
      <c r="N193" s="8"/>
      <c r="O193" s="8"/>
      <c r="P193" s="8"/>
      <c r="Q193" s="8"/>
      <c r="R193" s="8"/>
      <c r="S193" s="8"/>
      <c r="T193" s="8"/>
      <c r="U193" s="8"/>
      <c r="V193" s="8"/>
      <c r="W193" s="8"/>
      <c r="X193" s="8"/>
      <c r="Y193" s="8"/>
      <c r="Z193" s="8"/>
      <c r="AA193" s="8"/>
      <c r="AB193" s="8"/>
      <c r="AC193" s="8"/>
      <c r="AD193" s="8"/>
      <c r="AE193" s="8"/>
      <c r="AF193" s="8"/>
      <c r="AG193" s="8"/>
      <c r="AH193" s="8"/>
      <c r="AI193" s="8"/>
      <c r="AJ193" s="8"/>
      <c r="AK193" s="8"/>
      <c r="AL193" s="8"/>
      <c r="AM193" s="8"/>
      <c r="AN193" s="8"/>
      <c r="AO193" s="8"/>
      <c r="AP193" s="8"/>
      <c r="AQ193" s="8"/>
      <c r="AR193" s="8"/>
      <c r="AS193" s="8"/>
      <c r="AT193" s="8"/>
      <c r="AU193" s="8"/>
      <c r="AV193" s="8"/>
      <c r="AW193" s="8"/>
      <c r="AX193" s="8"/>
      <c r="AY193" s="8"/>
      <c r="AZ193" s="596"/>
    </row>
    <row r="194" spans="1:52">
      <c r="A194" s="8"/>
      <c r="B194" s="8"/>
      <c r="C194" s="8"/>
      <c r="D194" s="8"/>
      <c r="E194" s="8"/>
      <c r="F194" s="8"/>
      <c r="G194" s="8"/>
      <c r="H194" s="8"/>
      <c r="I194" s="8"/>
      <c r="J194" s="8"/>
      <c r="K194" s="7"/>
      <c r="L194" s="8"/>
      <c r="M194" s="8"/>
      <c r="N194" s="8"/>
      <c r="O194" s="8"/>
      <c r="P194" s="8"/>
      <c r="Q194" s="8"/>
      <c r="R194" s="8"/>
      <c r="S194" s="8"/>
      <c r="T194" s="8"/>
      <c r="U194" s="8"/>
      <c r="V194" s="8"/>
      <c r="W194" s="8"/>
      <c r="X194" s="8"/>
      <c r="Y194" s="8"/>
      <c r="Z194" s="8"/>
      <c r="AA194" s="8"/>
      <c r="AB194" s="8"/>
      <c r="AC194" s="8"/>
      <c r="AD194" s="8"/>
      <c r="AE194" s="8"/>
      <c r="AF194" s="8"/>
      <c r="AG194" s="8"/>
      <c r="AH194" s="8"/>
      <c r="AI194" s="8"/>
      <c r="AJ194" s="8"/>
      <c r="AK194" s="8"/>
      <c r="AL194" s="8"/>
      <c r="AM194" s="8"/>
      <c r="AN194" s="8"/>
      <c r="AO194" s="8"/>
      <c r="AP194" s="8"/>
      <c r="AQ194" s="8"/>
      <c r="AR194" s="8"/>
      <c r="AS194" s="8"/>
      <c r="AT194" s="8"/>
      <c r="AU194" s="8"/>
      <c r="AV194" s="8"/>
      <c r="AW194" s="8"/>
      <c r="AX194" s="8"/>
      <c r="AY194" s="8"/>
      <c r="AZ194" s="596"/>
    </row>
    <row r="195" spans="1:52">
      <c r="A195" s="8"/>
      <c r="B195" s="8"/>
      <c r="C195" s="8"/>
      <c r="D195" s="8"/>
      <c r="E195" s="8"/>
      <c r="F195" s="8"/>
      <c r="G195" s="8"/>
      <c r="H195" s="8"/>
      <c r="I195" s="8"/>
      <c r="J195" s="8"/>
      <c r="K195" s="7"/>
      <c r="L195" s="8"/>
      <c r="M195" s="8"/>
      <c r="N195" s="8"/>
      <c r="O195" s="8"/>
      <c r="P195" s="8"/>
      <c r="Q195" s="8"/>
      <c r="R195" s="8"/>
      <c r="S195" s="8"/>
      <c r="T195" s="8"/>
      <c r="U195" s="8"/>
      <c r="V195" s="8"/>
      <c r="W195" s="8"/>
      <c r="X195" s="8"/>
      <c r="Y195" s="8"/>
      <c r="Z195" s="8"/>
      <c r="AA195" s="8"/>
      <c r="AB195" s="8"/>
      <c r="AC195" s="8"/>
      <c r="AD195" s="8"/>
      <c r="AE195" s="8"/>
      <c r="AF195" s="8"/>
      <c r="AG195" s="8"/>
      <c r="AH195" s="8"/>
      <c r="AI195" s="8"/>
      <c r="AJ195" s="8"/>
      <c r="AK195" s="8"/>
      <c r="AL195" s="8"/>
      <c r="AM195" s="8"/>
      <c r="AN195" s="8"/>
      <c r="AO195" s="8"/>
      <c r="AP195" s="8"/>
      <c r="AQ195" s="8"/>
      <c r="AR195" s="8"/>
      <c r="AS195" s="8"/>
      <c r="AT195" s="8"/>
      <c r="AU195" s="8"/>
      <c r="AV195" s="8"/>
      <c r="AW195" s="8"/>
      <c r="AX195" s="8"/>
      <c r="AY195" s="8"/>
      <c r="AZ195" s="596"/>
    </row>
    <row r="196" spans="1:52">
      <c r="A196" s="8"/>
      <c r="B196" s="8"/>
      <c r="C196" s="8"/>
      <c r="D196" s="8"/>
      <c r="E196" s="8"/>
      <c r="F196" s="8"/>
      <c r="G196" s="8"/>
      <c r="H196" s="8"/>
      <c r="I196" s="8"/>
      <c r="J196" s="8"/>
      <c r="K196" s="7"/>
      <c r="L196" s="8"/>
      <c r="M196" s="8"/>
      <c r="N196" s="8"/>
      <c r="O196" s="8"/>
      <c r="P196" s="8"/>
      <c r="Q196" s="8"/>
      <c r="R196" s="8"/>
      <c r="S196" s="8"/>
      <c r="T196" s="8"/>
      <c r="U196" s="8"/>
      <c r="V196" s="8"/>
      <c r="W196" s="8"/>
      <c r="X196" s="8"/>
      <c r="Y196" s="8"/>
      <c r="Z196" s="8"/>
      <c r="AA196" s="8"/>
      <c r="AB196" s="8"/>
      <c r="AC196" s="8"/>
      <c r="AD196" s="8"/>
      <c r="AE196" s="8"/>
      <c r="AF196" s="8"/>
      <c r="AG196" s="8"/>
      <c r="AH196" s="8"/>
      <c r="AI196" s="8"/>
      <c r="AJ196" s="8"/>
      <c r="AK196" s="8"/>
      <c r="AL196" s="8"/>
      <c r="AM196" s="8"/>
      <c r="AN196" s="8"/>
      <c r="AO196" s="8"/>
      <c r="AP196" s="8"/>
      <c r="AQ196" s="8"/>
      <c r="AR196" s="8"/>
      <c r="AS196" s="8"/>
      <c r="AT196" s="8"/>
      <c r="AU196" s="8"/>
      <c r="AV196" s="8"/>
      <c r="AW196" s="8"/>
      <c r="AX196" s="8"/>
      <c r="AY196" s="8"/>
      <c r="AZ196" s="596"/>
    </row>
    <row r="197" spans="1:52">
      <c r="A197" s="8"/>
      <c r="B197" s="8"/>
      <c r="C197" s="8"/>
      <c r="D197" s="8"/>
      <c r="E197" s="8"/>
      <c r="F197" s="8"/>
      <c r="G197" s="8"/>
      <c r="H197" s="8"/>
      <c r="I197" s="8"/>
      <c r="J197" s="8"/>
      <c r="K197" s="7"/>
      <c r="L197" s="8"/>
      <c r="M197" s="8"/>
      <c r="N197" s="8"/>
      <c r="O197" s="8"/>
      <c r="P197" s="8"/>
      <c r="Q197" s="8"/>
      <c r="R197" s="8"/>
      <c r="S197" s="8"/>
      <c r="T197" s="8"/>
      <c r="U197" s="8"/>
      <c r="V197" s="8"/>
      <c r="W197" s="8"/>
      <c r="X197" s="8"/>
      <c r="Y197" s="8"/>
      <c r="Z197" s="8"/>
      <c r="AA197" s="8"/>
      <c r="AB197" s="8"/>
      <c r="AC197" s="8"/>
      <c r="AD197" s="8"/>
      <c r="AE197" s="8"/>
      <c r="AF197" s="8"/>
      <c r="AG197" s="8"/>
      <c r="AH197" s="8"/>
      <c r="AI197" s="8"/>
      <c r="AJ197" s="8"/>
      <c r="AK197" s="8"/>
      <c r="AL197" s="8"/>
      <c r="AM197" s="8"/>
      <c r="AN197" s="8"/>
      <c r="AO197" s="8"/>
      <c r="AP197" s="8"/>
      <c r="AQ197" s="8"/>
      <c r="AR197" s="8"/>
      <c r="AS197" s="8"/>
      <c r="AT197" s="8"/>
      <c r="AU197" s="8"/>
      <c r="AV197" s="8"/>
      <c r="AW197" s="8"/>
      <c r="AX197" s="8"/>
      <c r="AY197" s="8"/>
      <c r="AZ197" s="596"/>
    </row>
    <row r="198" spans="1:52">
      <c r="A198" s="8"/>
      <c r="B198" s="8"/>
      <c r="C198" s="8"/>
      <c r="D198" s="8"/>
      <c r="E198" s="8"/>
      <c r="F198" s="8"/>
      <c r="G198" s="8"/>
      <c r="H198" s="8"/>
      <c r="I198" s="8"/>
      <c r="J198" s="8"/>
      <c r="K198" s="7"/>
      <c r="L198" s="8"/>
      <c r="M198" s="8"/>
      <c r="N198" s="8"/>
      <c r="O198" s="8"/>
      <c r="P198" s="8"/>
      <c r="Q198" s="8"/>
      <c r="R198" s="8"/>
      <c r="S198" s="8"/>
      <c r="T198" s="8"/>
      <c r="U198" s="8"/>
      <c r="V198" s="8"/>
      <c r="W198" s="8"/>
      <c r="X198" s="8"/>
      <c r="Y198" s="8"/>
      <c r="Z198" s="8"/>
      <c r="AA198" s="8"/>
      <c r="AB198" s="8"/>
      <c r="AC198" s="8"/>
      <c r="AD198" s="8"/>
      <c r="AE198" s="8"/>
      <c r="AF198" s="8"/>
      <c r="AG198" s="8"/>
      <c r="AH198" s="8"/>
      <c r="AI198" s="8"/>
      <c r="AJ198" s="8"/>
      <c r="AK198" s="8"/>
      <c r="AL198" s="8"/>
      <c r="AM198" s="8"/>
      <c r="AN198" s="8"/>
      <c r="AO198" s="8"/>
      <c r="AP198" s="8"/>
      <c r="AQ198" s="8"/>
      <c r="AR198" s="8"/>
      <c r="AS198" s="8"/>
      <c r="AT198" s="8"/>
      <c r="AU198" s="8"/>
      <c r="AV198" s="8"/>
      <c r="AW198" s="8"/>
      <c r="AX198" s="8"/>
      <c r="AY198" s="8"/>
      <c r="AZ198" s="596"/>
    </row>
    <row r="199" spans="1:52">
      <c r="A199" s="8"/>
      <c r="B199" s="8"/>
      <c r="C199" s="8"/>
      <c r="D199" s="8"/>
      <c r="E199" s="8"/>
      <c r="F199" s="8"/>
      <c r="G199" s="8"/>
      <c r="H199" s="8"/>
      <c r="I199" s="8"/>
      <c r="J199" s="8"/>
      <c r="K199" s="7"/>
      <c r="L199" s="8"/>
      <c r="M199" s="8"/>
      <c r="N199" s="8"/>
      <c r="O199" s="8"/>
      <c r="P199" s="8"/>
      <c r="Q199" s="8"/>
      <c r="R199" s="8"/>
      <c r="S199" s="8"/>
      <c r="T199" s="8"/>
      <c r="U199" s="8"/>
      <c r="V199" s="8"/>
      <c r="W199" s="8"/>
      <c r="X199" s="8"/>
      <c r="Y199" s="8"/>
      <c r="Z199" s="8"/>
      <c r="AA199" s="8"/>
      <c r="AB199" s="8"/>
      <c r="AC199" s="8"/>
      <c r="AD199" s="8"/>
      <c r="AE199" s="8"/>
      <c r="AF199" s="8"/>
      <c r="AG199" s="8"/>
      <c r="AH199" s="8"/>
      <c r="AI199" s="8"/>
      <c r="AJ199" s="8"/>
      <c r="AK199" s="8"/>
      <c r="AL199" s="8"/>
      <c r="AM199" s="8"/>
      <c r="AN199" s="8"/>
      <c r="AO199" s="8"/>
      <c r="AP199" s="8"/>
      <c r="AQ199" s="8"/>
      <c r="AR199" s="8"/>
      <c r="AS199" s="8"/>
      <c r="AT199" s="8"/>
      <c r="AU199" s="8"/>
      <c r="AV199" s="8"/>
      <c r="AW199" s="8"/>
      <c r="AX199" s="8"/>
      <c r="AY199" s="8"/>
      <c r="AZ199" s="596"/>
    </row>
    <row r="200" spans="1:52">
      <c r="A200" s="8"/>
      <c r="B200" s="8"/>
      <c r="C200" s="8"/>
      <c r="D200" s="8"/>
      <c r="E200" s="8"/>
      <c r="F200" s="8"/>
      <c r="G200" s="8"/>
      <c r="H200" s="8"/>
      <c r="I200" s="8"/>
      <c r="J200" s="8"/>
      <c r="K200" s="7"/>
      <c r="L200" s="8"/>
      <c r="M200" s="8"/>
      <c r="N200" s="8"/>
      <c r="O200" s="8"/>
      <c r="P200" s="8"/>
      <c r="Q200" s="8"/>
      <c r="R200" s="8"/>
      <c r="S200" s="8"/>
      <c r="T200" s="8"/>
      <c r="U200" s="8"/>
      <c r="V200" s="8"/>
      <c r="W200" s="8"/>
      <c r="X200" s="8"/>
      <c r="Y200" s="8"/>
      <c r="Z200" s="8"/>
      <c r="AA200" s="8"/>
      <c r="AB200" s="8"/>
      <c r="AC200" s="8"/>
      <c r="AD200" s="8"/>
      <c r="AE200" s="8"/>
      <c r="AF200" s="8"/>
      <c r="AG200" s="8"/>
      <c r="AH200" s="8"/>
      <c r="AI200" s="8"/>
      <c r="AJ200" s="8"/>
      <c r="AK200" s="8"/>
      <c r="AL200" s="8"/>
      <c r="AM200" s="8"/>
      <c r="AN200" s="8"/>
      <c r="AO200" s="8"/>
      <c r="AP200" s="8"/>
      <c r="AQ200" s="8"/>
      <c r="AR200" s="8"/>
      <c r="AS200" s="8"/>
      <c r="AT200" s="8"/>
      <c r="AU200" s="8"/>
      <c r="AV200" s="8"/>
      <c r="AW200" s="8"/>
      <c r="AX200" s="8"/>
      <c r="AY200" s="8"/>
      <c r="AZ200" s="596"/>
    </row>
    <row r="201" spans="1:52">
      <c r="A201" s="1"/>
      <c r="B201" s="1"/>
      <c r="C201" s="1"/>
      <c r="D201" s="1"/>
      <c r="E201" s="1"/>
      <c r="F201" s="1"/>
      <c r="G201" s="1"/>
      <c r="H201" s="1"/>
      <c r="I201" s="1"/>
      <c r="J201" s="1"/>
      <c r="K201" s="7"/>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605"/>
    </row>
    <row r="202" spans="1:52">
      <c r="A202" s="1"/>
      <c r="B202" s="1"/>
      <c r="C202" s="1"/>
      <c r="D202" s="1"/>
      <c r="E202" s="1"/>
      <c r="F202" s="1"/>
      <c r="G202" s="1"/>
      <c r="H202" s="1"/>
      <c r="I202" s="1"/>
      <c r="J202" s="1"/>
      <c r="K202" s="7"/>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605"/>
    </row>
    <row r="203" spans="1:52">
      <c r="A203" s="1"/>
      <c r="B203" s="1"/>
      <c r="C203" s="1"/>
      <c r="D203" s="1"/>
      <c r="E203" s="1"/>
      <c r="F203" s="1"/>
      <c r="G203" s="1"/>
      <c r="H203" s="1"/>
      <c r="I203" s="1"/>
      <c r="J203" s="1"/>
      <c r="K203" s="7"/>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605"/>
    </row>
    <row r="204" spans="1:52">
      <c r="A204" s="1"/>
      <c r="B204" s="1"/>
      <c r="C204" s="1"/>
      <c r="D204" s="1"/>
      <c r="E204" s="1"/>
      <c r="F204" s="1"/>
      <c r="G204" s="1"/>
      <c r="H204" s="1"/>
      <c r="I204" s="1"/>
      <c r="J204" s="1"/>
      <c r="K204" s="7"/>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605"/>
    </row>
    <row r="205" spans="1:52">
      <c r="A205" s="1"/>
      <c r="B205" s="1"/>
      <c r="C205" s="1"/>
      <c r="D205" s="1"/>
      <c r="E205" s="1"/>
      <c r="F205" s="1"/>
      <c r="G205" s="1"/>
      <c r="H205" s="1"/>
      <c r="I205" s="1"/>
      <c r="J205" s="1"/>
      <c r="K205" s="7"/>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605"/>
    </row>
    <row r="206" spans="1:52">
      <c r="A206" s="1"/>
      <c r="B206" s="1"/>
      <c r="C206" s="1"/>
      <c r="D206" s="1"/>
      <c r="E206" s="1"/>
      <c r="F206" s="1"/>
      <c r="G206" s="1"/>
      <c r="H206" s="1"/>
      <c r="I206" s="1"/>
      <c r="J206" s="1"/>
      <c r="K206" s="7"/>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605"/>
    </row>
    <row r="207" spans="1:52">
      <c r="A207" s="1"/>
      <c r="B207" s="1"/>
      <c r="C207" s="1"/>
      <c r="D207" s="1"/>
      <c r="E207" s="1"/>
      <c r="F207" s="1"/>
      <c r="G207" s="1"/>
      <c r="H207" s="1"/>
      <c r="I207" s="1"/>
      <c r="J207" s="1"/>
      <c r="K207" s="7"/>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605"/>
    </row>
    <row r="208" spans="1:52">
      <c r="K208" s="7"/>
      <c r="AZ208" s="605"/>
    </row>
    <row r="209" spans="11:52">
      <c r="K209" s="7"/>
      <c r="AZ209" s="605"/>
    </row>
    <row r="210" spans="11:52">
      <c r="K210" s="7"/>
      <c r="AZ210" s="605"/>
    </row>
    <row r="211" spans="11:52">
      <c r="K211" s="7"/>
      <c r="AZ211" s="605"/>
    </row>
    <row r="212" spans="11:52">
      <c r="K212" s="7"/>
      <c r="AZ212" s="605"/>
    </row>
    <row r="213" spans="11:52">
      <c r="AZ213" s="605"/>
    </row>
    <row r="214" spans="11:52">
      <c r="AZ214" s="605"/>
    </row>
    <row r="215" spans="11:52">
      <c r="AZ215" s="605"/>
    </row>
    <row r="216" spans="11:52">
      <c r="AZ216" s="605"/>
    </row>
    <row r="217" spans="11:52">
      <c r="AZ217" s="605"/>
    </row>
    <row r="218" spans="11:52">
      <c r="AZ218" s="605"/>
    </row>
    <row r="219" spans="11:52">
      <c r="AZ219" s="605"/>
    </row>
    <row r="220" spans="11:52">
      <c r="AZ220" s="605"/>
    </row>
    <row r="221" spans="11:52">
      <c r="AZ221" s="605"/>
    </row>
    <row r="222" spans="11:52">
      <c r="AZ222" s="605"/>
    </row>
    <row r="223" spans="11:52">
      <c r="AZ223" s="605"/>
    </row>
    <row r="224" spans="11:52">
      <c r="AZ224" s="605"/>
    </row>
    <row r="225" spans="52:52">
      <c r="AZ225" s="605"/>
    </row>
    <row r="226" spans="52:52">
      <c r="AZ226" s="605"/>
    </row>
    <row r="227" spans="52:52">
      <c r="AZ227" s="605"/>
    </row>
    <row r="228" spans="52:52">
      <c r="AZ228" s="605"/>
    </row>
    <row r="229" spans="52:52">
      <c r="AZ229" s="605"/>
    </row>
    <row r="230" spans="52:52">
      <c r="AZ230" s="605"/>
    </row>
    <row r="231" spans="52:52">
      <c r="AZ231" s="605"/>
    </row>
    <row r="232" spans="52:52">
      <c r="AZ232" s="605"/>
    </row>
    <row r="233" spans="52:52">
      <c r="AZ233" s="605"/>
    </row>
    <row r="234" spans="52:52">
      <c r="AZ234" s="605"/>
    </row>
    <row r="235" spans="52:52">
      <c r="AZ235" s="605"/>
    </row>
    <row r="236" spans="52:52">
      <c r="AZ236" s="605"/>
    </row>
    <row r="237" spans="52:52">
      <c r="AZ237" s="605"/>
    </row>
    <row r="238" spans="52:52">
      <c r="AZ238" s="605"/>
    </row>
    <row r="239" spans="52:52">
      <c r="AZ239" s="605"/>
    </row>
    <row r="240" spans="52:52">
      <c r="AZ240" s="605"/>
    </row>
    <row r="241" spans="52:52">
      <c r="AZ241" s="605"/>
    </row>
    <row r="242" spans="52:52">
      <c r="AZ242" s="605"/>
    </row>
    <row r="243" spans="52:52">
      <c r="AZ243" s="605"/>
    </row>
    <row r="244" spans="52:52">
      <c r="AZ244" s="605"/>
    </row>
    <row r="245" spans="52:52">
      <c r="AZ245" s="605"/>
    </row>
    <row r="246" spans="52:52">
      <c r="AZ246" s="605"/>
    </row>
    <row r="247" spans="52:52">
      <c r="AZ247" s="605"/>
    </row>
    <row r="248" spans="52:52">
      <c r="AZ248" s="605"/>
    </row>
    <row r="249" spans="52:52">
      <c r="AZ249" s="605"/>
    </row>
    <row r="250" spans="52:52">
      <c r="AZ250" s="605"/>
    </row>
    <row r="251" spans="52:52">
      <c r="AZ251" s="605"/>
    </row>
    <row r="252" spans="52:52">
      <c r="AZ252" s="605"/>
    </row>
    <row r="253" spans="52:52">
      <c r="AZ253" s="605"/>
    </row>
    <row r="254" spans="52:52">
      <c r="AZ254" s="605"/>
    </row>
    <row r="255" spans="52:52">
      <c r="AZ255" s="605"/>
    </row>
    <row r="256" spans="52:52">
      <c r="AZ256" s="605"/>
    </row>
    <row r="257" spans="52:52">
      <c r="AZ257" s="605"/>
    </row>
    <row r="258" spans="52:52">
      <c r="AZ258" s="605"/>
    </row>
    <row r="259" spans="52:52">
      <c r="AZ259" s="605"/>
    </row>
    <row r="260" spans="52:52">
      <c r="AZ260" s="605"/>
    </row>
    <row r="261" spans="52:52">
      <c r="AZ261" s="605"/>
    </row>
    <row r="262" spans="52:52">
      <c r="AZ262" s="605"/>
    </row>
    <row r="263" spans="52:52">
      <c r="AZ263" s="605"/>
    </row>
    <row r="264" spans="52:52">
      <c r="AZ264" s="605"/>
    </row>
    <row r="265" spans="52:52">
      <c r="AZ265" s="605"/>
    </row>
    <row r="266" spans="52:52">
      <c r="AZ266" s="605"/>
    </row>
    <row r="267" spans="52:52">
      <c r="AZ267" s="605"/>
    </row>
    <row r="268" spans="52:52">
      <c r="AZ268" s="605"/>
    </row>
    <row r="269" spans="52:52">
      <c r="AZ269" s="605"/>
    </row>
    <row r="270" spans="52:52">
      <c r="AZ270" s="605"/>
    </row>
    <row r="271" spans="52:52">
      <c r="AZ271" s="605"/>
    </row>
    <row r="272" spans="52:52">
      <c r="AZ272" s="605"/>
    </row>
    <row r="273" spans="52:52">
      <c r="AZ273" s="605"/>
    </row>
    <row r="274" spans="52:52">
      <c r="AZ274" s="605"/>
    </row>
    <row r="275" spans="52:52">
      <c r="AZ275" s="605"/>
    </row>
    <row r="276" spans="52:52">
      <c r="AZ276" s="605"/>
    </row>
    <row r="277" spans="52:52">
      <c r="AZ277" s="605"/>
    </row>
    <row r="278" spans="52:52">
      <c r="AZ278" s="605"/>
    </row>
    <row r="279" spans="52:52">
      <c r="AZ279" s="605"/>
    </row>
    <row r="280" spans="52:52">
      <c r="AZ280" s="605"/>
    </row>
    <row r="281" spans="52:52">
      <c r="AZ281" s="605"/>
    </row>
    <row r="282" spans="52:52">
      <c r="AZ282" s="605"/>
    </row>
    <row r="283" spans="52:52">
      <c r="AZ283" s="605"/>
    </row>
    <row r="284" spans="52:52">
      <c r="AZ284" s="605"/>
    </row>
    <row r="285" spans="52:52">
      <c r="AZ285" s="605"/>
    </row>
    <row r="286" spans="52:52">
      <c r="AZ286" s="605"/>
    </row>
    <row r="287" spans="52:52">
      <c r="AZ287" s="605"/>
    </row>
    <row r="288" spans="52:52">
      <c r="AZ288" s="605"/>
    </row>
    <row r="289" spans="52:52">
      <c r="AZ289" s="605"/>
    </row>
    <row r="290" spans="52:52">
      <c r="AZ290" s="605"/>
    </row>
    <row r="291" spans="52:52">
      <c r="AZ291" s="605"/>
    </row>
    <row r="292" spans="52:52">
      <c r="AZ292" s="605"/>
    </row>
    <row r="293" spans="52:52">
      <c r="AZ293" s="605"/>
    </row>
    <row r="294" spans="52:52">
      <c r="AZ294" s="605"/>
    </row>
    <row r="295" spans="52:52">
      <c r="AZ295" s="605"/>
    </row>
    <row r="296" spans="52:52">
      <c r="AZ296" s="605"/>
    </row>
    <row r="297" spans="52:52">
      <c r="AZ297" s="605"/>
    </row>
    <row r="298" spans="52:52">
      <c r="AZ298" s="605"/>
    </row>
    <row r="299" spans="52:52">
      <c r="AZ299" s="605"/>
    </row>
    <row r="300" spans="52:52">
      <c r="AZ300" s="605"/>
    </row>
    <row r="301" spans="52:52">
      <c r="AZ301" s="605"/>
    </row>
    <row r="302" spans="52:52">
      <c r="AZ302" s="605"/>
    </row>
    <row r="303" spans="52:52">
      <c r="AZ303" s="605"/>
    </row>
    <row r="304" spans="52:52">
      <c r="AZ304" s="605"/>
    </row>
    <row r="305" spans="52:52">
      <c r="AZ305" s="605"/>
    </row>
    <row r="306" spans="52:52">
      <c r="AZ306" s="605"/>
    </row>
    <row r="307" spans="52:52">
      <c r="AZ307" s="605"/>
    </row>
  </sheetData>
  <mergeCells count="17">
    <mergeCell ref="A51:AB51"/>
    <mergeCell ref="A5:U5"/>
    <mergeCell ref="A45:M45"/>
    <mergeCell ref="A76:E76"/>
    <mergeCell ref="A81:T81"/>
    <mergeCell ref="A86:L86"/>
    <mergeCell ref="A71:T71"/>
    <mergeCell ref="A30:T30"/>
    <mergeCell ref="A10:AA10"/>
    <mergeCell ref="A15:U15"/>
    <mergeCell ref="A35:E35"/>
    <mergeCell ref="A20:U20"/>
    <mergeCell ref="A25:AB25"/>
    <mergeCell ref="A40:AB40"/>
    <mergeCell ref="A61:V61"/>
    <mergeCell ref="A66:AA66"/>
    <mergeCell ref="A56:V56"/>
  </mergeCells>
  <dataValidations count="8">
    <dataValidation type="list" allowBlank="1" showInputMessage="1" showErrorMessage="1" sqref="V17 BA2:BC2 R73:S73 AB12 V7 F37 V22 W58 AC27 AC53 F78 AB68 W63 R32:S32 Y42:Z42 S96:T96 S92:T92" xr:uid="{00000000-0002-0000-0300-000000000000}">
      <formula1>"Yes, No"</formula1>
    </dataValidation>
    <dataValidation type="textLength" operator="lessThan" allowBlank="1" showInputMessage="1" showErrorMessage="1" sqref="B2 B7 B12 B17 B47 B22 B37 B27 B53 B58 B88 B63 B78 B68" xr:uid="{00000000-0002-0000-0300-000001000000}">
      <formula1>20</formula1>
    </dataValidation>
    <dataValidation type="textLength" operator="lessThan" allowBlank="1" showInputMessage="1" showErrorMessage="1" sqref="C2 C22 C47 C7 C12 C17 C37 C27 C63 C88 C53 C58 C78 C68" xr:uid="{00000000-0002-0000-0300-000002000000}">
      <formula1>40</formula1>
    </dataValidation>
    <dataValidation type="textLength" operator="lessThan" allowBlank="1" showInputMessage="1" showErrorMessage="1" sqref="F2 D7 D12 D17 B42 D22 D27 D53 D58 B83 D63 D68" xr:uid="{00000000-0002-0000-0300-000003000000}">
      <formula1>12</formula1>
    </dataValidation>
    <dataValidation type="list" allowBlank="1" showInputMessage="1" showErrorMessage="1" sqref="M2:R2 J12:O12 J7:O7 J17:O17 F47:K47 J22:O22 J68:O68 J27:O27 J53:O53 J58:O58 F88:K88 J63:O63 E83:J83 F42:K42" xr:uid="{00000000-0002-0000-0300-000004000000}">
      <formula1>"Locked, Unlocked"</formula1>
    </dataValidation>
    <dataValidation type="list" allowBlank="1" showInputMessage="1" showErrorMessage="1" sqref="AE2 J32 J73 V42 K96 K92" xr:uid="{00000000-0002-0000-0300-000005000000}">
      <formula1>"EN, FR, Both"</formula1>
    </dataValidation>
    <dataValidation type="list" allowBlank="1" showInputMessage="1" showErrorMessage="1" sqref="E28 E69" xr:uid="{00000000-0002-0000-0300-000006000000}">
      <formula1>"1000, 1030, 1110, 1175, 1180, 1185, 1195, 1501, 1515, 1520, 1525, 1535, 1540, 1545, 1550, 1565, 1570, 1580, 1595, 1600, 1705, 1706, 1707, 1708, 1715, 1716, 1740, 1741, 1750, 1760, 1765, 1790, 2020, 2030, 2210, 2230"</formula1>
    </dataValidation>
    <dataValidation type="list" allowBlank="1" showInputMessage="1" showErrorMessage="1" sqref="T73 T32 AA42:AB42 U96 U92" xr:uid="{00000000-0002-0000-0300-000007000000}">
      <formula1>"✓, No"</formula1>
    </dataValidation>
  </dataValidations>
  <hyperlinks>
    <hyperlink ref="M47" location="'CC Blocking Checklist'!A1" display="'CC Blocking Checklist'!A1" xr:uid="{00000000-0004-0000-0300-000000000000}"/>
  </hyperlink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8000000}">
          <x14:formula1>
            <xm:f>'Company Code'!$O$2:$O$32</xm:f>
          </x14:formula1>
          <xm:sqref>G2 F12 F7 F17 C42 F22 F27 F53 F58 C83 F63 F68</xm:sqref>
        </x14:dataValidation>
        <x14:dataValidation type="list" allowBlank="1" showInputMessage="1" showErrorMessage="1" xr:uid="{00000000-0002-0000-0300-000009000000}">
          <x14:formula1>
            <xm:f>'Company Code'!$P$2:$P$11</xm:f>
          </x14:formula1>
          <xm:sqref>K2 I12 I7 I17 I22 I27 I53 I58 I63 I68 H35 D42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103"/>
  <sheetViews>
    <sheetView workbookViewId="0">
      <selection activeCell="B11" sqref="B11"/>
    </sheetView>
  </sheetViews>
  <sheetFormatPr defaultRowHeight="14.45"/>
  <cols>
    <col min="1" max="1" width="13.42578125" bestFit="1" customWidth="1"/>
    <col min="2" max="2" width="56.5703125" bestFit="1" customWidth="1"/>
    <col min="3" max="3" width="15.42578125" bestFit="1" customWidth="1"/>
    <col min="9" max="9" width="9.42578125" bestFit="1" customWidth="1"/>
    <col min="10" max="10" width="11.42578125" bestFit="1" customWidth="1"/>
    <col min="11" max="11" width="9.5703125" bestFit="1" customWidth="1"/>
    <col min="12" max="12" width="15.42578125" bestFit="1" customWidth="1"/>
    <col min="13" max="13" width="11.5703125" bestFit="1" customWidth="1"/>
    <col min="15" max="15" width="20.5703125" bestFit="1" customWidth="1"/>
    <col min="16" max="16" width="32.140625" bestFit="1" customWidth="1"/>
  </cols>
  <sheetData>
    <row r="1" spans="1:19" ht="15" thickBot="1">
      <c r="A1" s="13" t="s">
        <v>146</v>
      </c>
      <c r="B1" s="12" t="s">
        <v>147</v>
      </c>
      <c r="C1" s="12" t="s">
        <v>148</v>
      </c>
      <c r="I1" s="12" t="s">
        <v>149</v>
      </c>
      <c r="J1" s="12" t="s">
        <v>150</v>
      </c>
      <c r="K1" s="59" t="s">
        <v>151</v>
      </c>
      <c r="L1" s="12" t="s">
        <v>152</v>
      </c>
      <c r="M1" s="12" t="s">
        <v>153</v>
      </c>
      <c r="N1" s="12"/>
      <c r="O1" s="12" t="s">
        <v>154</v>
      </c>
      <c r="P1" s="12" t="s">
        <v>145</v>
      </c>
      <c r="Q1" s="12"/>
      <c r="R1" s="12"/>
      <c r="S1" s="12"/>
    </row>
    <row r="2" spans="1:19" ht="15" thickBot="1">
      <c r="A2" s="10">
        <v>1000</v>
      </c>
      <c r="B2" s="22" t="s">
        <v>155</v>
      </c>
      <c r="C2" s="12" t="s">
        <v>156</v>
      </c>
      <c r="I2" s="14">
        <v>1000</v>
      </c>
      <c r="J2" s="14">
        <v>1020</v>
      </c>
      <c r="K2" s="14">
        <v>1050</v>
      </c>
      <c r="L2" s="14">
        <v>1250</v>
      </c>
      <c r="M2" s="99">
        <v>1610</v>
      </c>
      <c r="N2" s="14"/>
      <c r="O2" s="68" t="s">
        <v>157</v>
      </c>
      <c r="P2" s="68" t="s">
        <v>158</v>
      </c>
      <c r="Q2" s="14"/>
      <c r="R2" s="55"/>
      <c r="S2" s="14"/>
    </row>
    <row r="3" spans="1:19" ht="15" thickBot="1">
      <c r="A3" s="10">
        <v>1030</v>
      </c>
      <c r="B3" s="23" t="s">
        <v>159</v>
      </c>
      <c r="C3" s="12" t="s">
        <v>156</v>
      </c>
      <c r="I3" s="14">
        <v>1030</v>
      </c>
      <c r="J3" s="14">
        <v>1060</v>
      </c>
      <c r="K3" s="14">
        <v>1160</v>
      </c>
      <c r="L3" s="14">
        <v>8000</v>
      </c>
      <c r="M3" s="99">
        <v>1615</v>
      </c>
      <c r="N3" s="14"/>
      <c r="O3" s="68" t="s">
        <v>160</v>
      </c>
      <c r="P3" s="68" t="s">
        <v>161</v>
      </c>
      <c r="Q3" s="14"/>
      <c r="R3" s="14"/>
      <c r="S3" s="14"/>
    </row>
    <row r="4" spans="1:19" ht="15" thickBot="1">
      <c r="A4" s="11">
        <v>1110</v>
      </c>
      <c r="B4" s="23" t="s">
        <v>162</v>
      </c>
      <c r="C4" s="12" t="s">
        <v>156</v>
      </c>
      <c r="I4" s="14">
        <v>1110</v>
      </c>
      <c r="J4" s="14">
        <v>1070</v>
      </c>
      <c r="K4" s="14">
        <v>1200</v>
      </c>
      <c r="L4" s="14">
        <v>8015</v>
      </c>
      <c r="M4" s="99">
        <v>1620</v>
      </c>
      <c r="N4" s="14"/>
      <c r="O4" s="68" t="s">
        <v>163</v>
      </c>
      <c r="P4" s="68" t="s">
        <v>164</v>
      </c>
      <c r="Q4" s="14"/>
      <c r="R4" s="14"/>
      <c r="S4" s="14"/>
    </row>
    <row r="5" spans="1:19" ht="15" thickBot="1">
      <c r="A5" s="10">
        <v>1175</v>
      </c>
      <c r="B5" s="12" t="s">
        <v>165</v>
      </c>
      <c r="C5" s="12" t="s">
        <v>156</v>
      </c>
      <c r="I5" s="14">
        <v>1175</v>
      </c>
      <c r="J5" s="14">
        <v>1080</v>
      </c>
      <c r="K5" s="97">
        <v>2010</v>
      </c>
      <c r="L5" s="14">
        <v>8020</v>
      </c>
      <c r="M5" s="97">
        <v>2000</v>
      </c>
      <c r="N5" s="14"/>
      <c r="O5" s="68" t="s">
        <v>166</v>
      </c>
      <c r="P5" s="68" t="s">
        <v>167</v>
      </c>
      <c r="Q5" s="14"/>
      <c r="R5" s="14"/>
      <c r="S5" s="14"/>
    </row>
    <row r="6" spans="1:19" ht="15" thickBot="1">
      <c r="A6" s="10">
        <v>1180</v>
      </c>
      <c r="B6" s="12" t="s">
        <v>168</v>
      </c>
      <c r="C6" s="12" t="s">
        <v>156</v>
      </c>
      <c r="I6" s="14">
        <v>1180</v>
      </c>
      <c r="J6" s="14">
        <v>1100</v>
      </c>
      <c r="K6" s="97">
        <v>2100</v>
      </c>
      <c r="L6" s="14">
        <v>8035</v>
      </c>
      <c r="M6" s="97">
        <v>2050</v>
      </c>
      <c r="N6" s="14"/>
      <c r="O6" s="68" t="s">
        <v>169</v>
      </c>
      <c r="P6" s="68" t="s">
        <v>170</v>
      </c>
      <c r="Q6" s="14"/>
      <c r="R6" s="14"/>
      <c r="S6" s="14"/>
    </row>
    <row r="7" spans="1:19" ht="15" thickBot="1">
      <c r="A7" s="10">
        <v>1185</v>
      </c>
      <c r="B7" s="12" t="s">
        <v>171</v>
      </c>
      <c r="C7" s="12" t="s">
        <v>156</v>
      </c>
      <c r="I7" s="14">
        <v>1185</v>
      </c>
      <c r="J7" s="14">
        <v>1150</v>
      </c>
      <c r="K7" s="97">
        <v>2240</v>
      </c>
      <c r="L7" s="14"/>
      <c r="M7" s="97">
        <v>2200</v>
      </c>
      <c r="N7" s="14"/>
      <c r="O7" s="68" t="s">
        <v>172</v>
      </c>
      <c r="P7" s="68" t="s">
        <v>173</v>
      </c>
      <c r="Q7" s="14"/>
      <c r="R7" s="14"/>
      <c r="S7" s="14"/>
    </row>
    <row r="8" spans="1:19" ht="15" thickBot="1">
      <c r="A8" s="10">
        <v>1195</v>
      </c>
      <c r="B8" s="12" t="s">
        <v>174</v>
      </c>
      <c r="C8" s="12" t="s">
        <v>156</v>
      </c>
      <c r="I8" s="14">
        <v>1195</v>
      </c>
      <c r="J8" s="14">
        <v>1190</v>
      </c>
      <c r="K8" s="14">
        <v>3010</v>
      </c>
      <c r="L8" s="14"/>
      <c r="M8" s="97">
        <v>2205</v>
      </c>
      <c r="N8" s="14"/>
      <c r="O8" s="68" t="s">
        <v>175</v>
      </c>
      <c r="P8" s="68" t="s">
        <v>176</v>
      </c>
      <c r="Q8" s="14"/>
      <c r="R8" s="14"/>
      <c r="S8" s="14"/>
    </row>
    <row r="9" spans="1:19" ht="15" thickBot="1">
      <c r="A9" s="10">
        <v>1501</v>
      </c>
      <c r="B9" s="12" t="s">
        <v>177</v>
      </c>
      <c r="C9" s="12" t="s">
        <v>156</v>
      </c>
      <c r="I9" s="14">
        <v>1501</v>
      </c>
      <c r="J9" s="56">
        <v>1255</v>
      </c>
      <c r="K9" s="14">
        <v>9000</v>
      </c>
      <c r="L9" s="14"/>
      <c r="M9" s="98">
        <v>2215</v>
      </c>
      <c r="N9" s="14"/>
      <c r="O9" s="68" t="s">
        <v>178</v>
      </c>
      <c r="P9" s="68" t="s">
        <v>179</v>
      </c>
      <c r="Q9" s="14"/>
      <c r="R9" s="14"/>
      <c r="S9" s="14"/>
    </row>
    <row r="10" spans="1:19" ht="15" thickBot="1">
      <c r="A10" s="10">
        <v>1501</v>
      </c>
      <c r="B10" s="12" t="s">
        <v>180</v>
      </c>
      <c r="C10" s="12" t="s">
        <v>156</v>
      </c>
      <c r="I10" s="14">
        <v>1501</v>
      </c>
      <c r="J10" s="14">
        <v>1510</v>
      </c>
      <c r="K10" s="14"/>
      <c r="L10" s="14"/>
      <c r="M10" s="97">
        <v>2250</v>
      </c>
      <c r="N10" s="14"/>
      <c r="O10" s="68" t="s">
        <v>181</v>
      </c>
      <c r="P10" s="68" t="s">
        <v>182</v>
      </c>
      <c r="Q10" s="14"/>
      <c r="R10" s="14"/>
      <c r="S10" s="14"/>
    </row>
    <row r="11" spans="1:19" ht="15" thickBot="1">
      <c r="A11" s="10">
        <v>1515</v>
      </c>
      <c r="B11" s="12" t="s">
        <v>183</v>
      </c>
      <c r="C11" s="12" t="s">
        <v>156</v>
      </c>
      <c r="I11" s="14">
        <v>1515</v>
      </c>
      <c r="J11" s="14">
        <v>1555</v>
      </c>
      <c r="K11" s="14"/>
      <c r="L11" s="14"/>
      <c r="M11" s="99">
        <v>3200</v>
      </c>
      <c r="N11" s="14"/>
      <c r="O11" s="68" t="s">
        <v>184</v>
      </c>
      <c r="P11" s="68" t="s">
        <v>185</v>
      </c>
      <c r="Q11" s="14"/>
      <c r="R11" s="14"/>
      <c r="S11" s="14"/>
    </row>
    <row r="12" spans="1:19" ht="15" thickBot="1">
      <c r="A12" s="10">
        <v>1520</v>
      </c>
      <c r="B12" s="12" t="s">
        <v>186</v>
      </c>
      <c r="C12" s="12" t="s">
        <v>156</v>
      </c>
      <c r="I12" s="14">
        <v>1520</v>
      </c>
      <c r="J12" s="14">
        <v>1625</v>
      </c>
      <c r="K12" s="14"/>
      <c r="L12" s="14"/>
      <c r="M12" s="99">
        <v>3210</v>
      </c>
      <c r="N12" s="14"/>
      <c r="O12" s="68" t="s">
        <v>187</v>
      </c>
      <c r="P12" s="14"/>
      <c r="Q12" s="14"/>
      <c r="R12" s="14"/>
      <c r="S12" s="14"/>
    </row>
    <row r="13" spans="1:19" ht="15" thickBot="1">
      <c r="A13" s="10">
        <v>1525</v>
      </c>
      <c r="B13" s="12" t="s">
        <v>188</v>
      </c>
      <c r="C13" s="12" t="s">
        <v>156</v>
      </c>
      <c r="I13" s="14">
        <v>1525</v>
      </c>
      <c r="J13" s="56">
        <v>1630</v>
      </c>
      <c r="K13" s="14"/>
      <c r="L13" s="14"/>
      <c r="M13" s="99">
        <v>3215</v>
      </c>
      <c r="N13" s="14"/>
      <c r="O13" s="68" t="s">
        <v>189</v>
      </c>
      <c r="P13" s="14"/>
      <c r="Q13" s="14"/>
      <c r="R13" s="14"/>
      <c r="S13" s="14"/>
    </row>
    <row r="14" spans="1:19" ht="15" thickBot="1">
      <c r="A14" s="10">
        <v>1535</v>
      </c>
      <c r="B14" s="12" t="s">
        <v>190</v>
      </c>
      <c r="C14" s="12" t="s">
        <v>156</v>
      </c>
      <c r="I14" s="14">
        <v>1535</v>
      </c>
      <c r="J14" s="14">
        <v>1635</v>
      </c>
      <c r="K14" s="14"/>
      <c r="L14" s="14"/>
      <c r="M14" s="100">
        <v>3270</v>
      </c>
      <c r="N14" s="14"/>
      <c r="O14" s="68" t="s">
        <v>191</v>
      </c>
      <c r="P14" s="14"/>
      <c r="Q14" s="14"/>
      <c r="R14" s="14"/>
      <c r="S14" s="14"/>
    </row>
    <row r="15" spans="1:19" ht="15" thickBot="1">
      <c r="A15" s="10">
        <v>1540</v>
      </c>
      <c r="B15" s="12" t="s">
        <v>192</v>
      </c>
      <c r="C15" s="12" t="s">
        <v>156</v>
      </c>
      <c r="I15" s="14">
        <v>1540</v>
      </c>
      <c r="J15" s="56">
        <v>1640</v>
      </c>
      <c r="K15" s="14"/>
      <c r="L15" s="14"/>
      <c r="M15" s="99">
        <v>3355</v>
      </c>
      <c r="N15" s="14"/>
      <c r="O15" s="68" t="s">
        <v>193</v>
      </c>
      <c r="P15" s="14"/>
      <c r="Q15" s="14"/>
      <c r="R15" s="14"/>
      <c r="S15" s="14"/>
    </row>
    <row r="16" spans="1:19" ht="15" thickBot="1">
      <c r="A16" s="10">
        <v>1545</v>
      </c>
      <c r="B16" s="12" t="s">
        <v>194</v>
      </c>
      <c r="C16" s="12" t="s">
        <v>156</v>
      </c>
      <c r="I16" s="14">
        <v>1545</v>
      </c>
      <c r="J16" s="14">
        <v>1655</v>
      </c>
      <c r="K16" s="14"/>
      <c r="L16" s="14"/>
      <c r="M16" s="99">
        <v>3470</v>
      </c>
      <c r="N16" s="14"/>
      <c r="O16" s="68" t="s">
        <v>195</v>
      </c>
      <c r="P16" s="14"/>
      <c r="Q16" s="14"/>
      <c r="R16" s="14"/>
      <c r="S16" s="14"/>
    </row>
    <row r="17" spans="1:19" ht="15" thickBot="1">
      <c r="A17" s="10">
        <v>1550</v>
      </c>
      <c r="B17" s="12" t="s">
        <v>196</v>
      </c>
      <c r="C17" s="12" t="s">
        <v>156</v>
      </c>
      <c r="I17" s="14">
        <v>1550</v>
      </c>
      <c r="J17" s="14">
        <v>1665</v>
      </c>
      <c r="K17" s="14"/>
      <c r="L17" s="14"/>
      <c r="M17" s="100">
        <v>3475</v>
      </c>
      <c r="N17" s="14"/>
      <c r="O17" s="68" t="s">
        <v>197</v>
      </c>
      <c r="P17" s="14"/>
      <c r="Q17" s="14"/>
      <c r="R17" s="14"/>
      <c r="S17" s="14"/>
    </row>
    <row r="18" spans="1:19" ht="15" thickBot="1">
      <c r="A18" s="10">
        <v>1565</v>
      </c>
      <c r="B18" s="12" t="s">
        <v>198</v>
      </c>
      <c r="C18" s="12" t="s">
        <v>156</v>
      </c>
      <c r="I18" s="14">
        <v>1565</v>
      </c>
      <c r="J18" s="14">
        <v>1680</v>
      </c>
      <c r="K18" s="14"/>
      <c r="L18" s="14"/>
      <c r="M18" s="99">
        <v>3480</v>
      </c>
      <c r="N18" s="14"/>
      <c r="O18" s="68" t="s">
        <v>199</v>
      </c>
      <c r="P18" s="14"/>
      <c r="Q18" s="14"/>
      <c r="R18" s="14"/>
      <c r="S18" s="14"/>
    </row>
    <row r="19" spans="1:19" ht="15" thickBot="1">
      <c r="A19" s="10">
        <v>1570</v>
      </c>
      <c r="B19" s="12" t="s">
        <v>200</v>
      </c>
      <c r="C19" s="12" t="s">
        <v>156</v>
      </c>
      <c r="I19" s="14">
        <v>1570</v>
      </c>
      <c r="J19" s="14">
        <v>1685</v>
      </c>
      <c r="K19" s="14"/>
      <c r="L19" s="14"/>
      <c r="M19" s="99">
        <v>3225</v>
      </c>
      <c r="N19" s="14"/>
      <c r="O19" s="68" t="s">
        <v>201</v>
      </c>
      <c r="P19" s="14"/>
      <c r="Q19" s="14"/>
      <c r="R19" s="14"/>
      <c r="S19" s="14"/>
    </row>
    <row r="20" spans="1:19" ht="15" thickBot="1">
      <c r="A20" s="20">
        <v>1580</v>
      </c>
      <c r="B20" s="12" t="s">
        <v>202</v>
      </c>
      <c r="C20" s="12" t="s">
        <v>156</v>
      </c>
      <c r="I20" s="14">
        <v>1580</v>
      </c>
      <c r="J20" s="14">
        <v>2250</v>
      </c>
      <c r="K20" s="14"/>
      <c r="L20" s="14"/>
      <c r="M20" s="18">
        <v>3230</v>
      </c>
      <c r="N20" s="14"/>
      <c r="O20" s="68" t="s">
        <v>203</v>
      </c>
      <c r="P20" s="14"/>
      <c r="Q20" s="14"/>
      <c r="R20" s="14"/>
      <c r="S20" s="14"/>
    </row>
    <row r="21" spans="1:19" ht="15" thickBot="1">
      <c r="A21" s="10">
        <v>1595</v>
      </c>
      <c r="B21" s="12" t="s">
        <v>204</v>
      </c>
      <c r="C21" s="12" t="s">
        <v>156</v>
      </c>
      <c r="I21" s="14">
        <v>1595</v>
      </c>
      <c r="J21" s="14"/>
      <c r="K21" s="14"/>
      <c r="L21" s="14"/>
      <c r="M21" s="99">
        <v>3235</v>
      </c>
      <c r="N21" s="14"/>
      <c r="O21" s="68" t="s">
        <v>205</v>
      </c>
      <c r="P21" s="14"/>
      <c r="Q21" s="14"/>
      <c r="R21" s="14"/>
      <c r="S21" s="14"/>
    </row>
    <row r="22" spans="1:19" ht="15" thickBot="1">
      <c r="A22" s="10">
        <v>1600</v>
      </c>
      <c r="B22" s="12" t="s">
        <v>206</v>
      </c>
      <c r="C22" s="12" t="s">
        <v>156</v>
      </c>
      <c r="I22" s="14">
        <v>1600</v>
      </c>
      <c r="J22" s="14"/>
      <c r="K22" s="14"/>
      <c r="L22" s="14"/>
      <c r="M22" s="99">
        <v>3245</v>
      </c>
      <c r="N22" s="14"/>
      <c r="O22" s="68" t="s">
        <v>207</v>
      </c>
      <c r="P22" s="14"/>
      <c r="Q22" s="14"/>
      <c r="R22" s="14"/>
      <c r="S22" s="14"/>
    </row>
    <row r="23" spans="1:19" ht="15" thickBot="1">
      <c r="A23" s="10">
        <v>1705</v>
      </c>
      <c r="B23" s="12" t="s">
        <v>208</v>
      </c>
      <c r="C23" s="12" t="s">
        <v>156</v>
      </c>
      <c r="I23" s="14">
        <v>1705</v>
      </c>
      <c r="J23" s="14"/>
      <c r="K23" s="14"/>
      <c r="L23" s="14"/>
      <c r="M23" s="18">
        <v>3250</v>
      </c>
      <c r="N23" s="14"/>
      <c r="O23" s="68" t="s">
        <v>209</v>
      </c>
      <c r="P23" s="14"/>
      <c r="Q23" s="14"/>
      <c r="R23" s="14"/>
      <c r="S23" s="14"/>
    </row>
    <row r="24" spans="1:19" ht="15" thickBot="1">
      <c r="A24" s="10">
        <v>1706</v>
      </c>
      <c r="B24" s="12" t="s">
        <v>210</v>
      </c>
      <c r="C24" s="12" t="s">
        <v>156</v>
      </c>
      <c r="I24" s="14">
        <v>1706</v>
      </c>
      <c r="J24" s="14"/>
      <c r="K24" s="14"/>
      <c r="L24" s="14"/>
      <c r="M24" s="99">
        <v>3340</v>
      </c>
      <c r="N24" s="14"/>
      <c r="O24" s="68" t="s">
        <v>211</v>
      </c>
      <c r="P24" s="14"/>
      <c r="Q24" s="14"/>
      <c r="R24" s="14"/>
      <c r="S24" s="14"/>
    </row>
    <row r="25" spans="1:19" ht="15" thickBot="1">
      <c r="A25" s="10">
        <v>1707</v>
      </c>
      <c r="B25" s="12" t="s">
        <v>212</v>
      </c>
      <c r="C25" s="12" t="s">
        <v>156</v>
      </c>
      <c r="I25" s="14">
        <v>1707</v>
      </c>
      <c r="J25" s="14"/>
      <c r="K25" s="14"/>
      <c r="L25" s="14"/>
      <c r="M25" s="99">
        <v>3280</v>
      </c>
      <c r="N25" s="14"/>
      <c r="O25" s="68" t="s">
        <v>213</v>
      </c>
      <c r="P25" s="14"/>
      <c r="Q25" s="14"/>
      <c r="R25" s="14"/>
      <c r="S25" s="14"/>
    </row>
    <row r="26" spans="1:19" ht="15" thickBot="1">
      <c r="A26" s="10">
        <v>1708</v>
      </c>
      <c r="B26" s="12" t="s">
        <v>214</v>
      </c>
      <c r="C26" s="12" t="s">
        <v>156</v>
      </c>
      <c r="I26" s="56">
        <v>1708</v>
      </c>
      <c r="J26" s="14"/>
      <c r="K26" s="14"/>
      <c r="L26" s="14"/>
      <c r="M26" s="99">
        <v>3445</v>
      </c>
      <c r="N26" s="14"/>
      <c r="O26" s="68" t="s">
        <v>215</v>
      </c>
      <c r="P26" s="14"/>
      <c r="Q26" s="14"/>
      <c r="R26" s="14"/>
      <c r="S26" s="14"/>
    </row>
    <row r="27" spans="1:19" ht="15" thickBot="1">
      <c r="A27" s="10">
        <v>1715</v>
      </c>
      <c r="B27" s="12" t="s">
        <v>216</v>
      </c>
      <c r="C27" s="12" t="s">
        <v>156</v>
      </c>
      <c r="I27" s="14">
        <v>1715</v>
      </c>
      <c r="J27" s="14"/>
      <c r="K27" s="14"/>
      <c r="L27" s="14"/>
      <c r="M27" s="99">
        <v>3330</v>
      </c>
      <c r="N27" s="14"/>
      <c r="O27" s="68" t="s">
        <v>217</v>
      </c>
      <c r="P27" s="14"/>
      <c r="Q27" s="14"/>
      <c r="R27" s="14"/>
      <c r="S27" s="14"/>
    </row>
    <row r="28" spans="1:19" ht="15" thickBot="1">
      <c r="A28" s="10">
        <v>1716</v>
      </c>
      <c r="B28" s="12" t="s">
        <v>218</v>
      </c>
      <c r="C28" s="12" t="s">
        <v>156</v>
      </c>
      <c r="I28" s="14">
        <v>1716</v>
      </c>
      <c r="J28" s="14"/>
      <c r="K28" s="14"/>
      <c r="L28" s="14"/>
      <c r="M28" s="99">
        <v>3495</v>
      </c>
      <c r="N28" s="14"/>
      <c r="O28" s="68" t="s">
        <v>219</v>
      </c>
      <c r="P28" s="14"/>
      <c r="Q28" s="14"/>
      <c r="R28" s="14"/>
      <c r="S28" s="14"/>
    </row>
    <row r="29" spans="1:19" ht="15" thickBot="1">
      <c r="A29" s="10">
        <v>1740</v>
      </c>
      <c r="B29" s="12" t="s">
        <v>220</v>
      </c>
      <c r="C29" s="12" t="s">
        <v>156</v>
      </c>
      <c r="I29" s="14">
        <v>1740</v>
      </c>
      <c r="J29" s="14"/>
      <c r="K29" s="14"/>
      <c r="L29" s="14"/>
      <c r="M29" s="99">
        <v>3395</v>
      </c>
      <c r="N29" s="14"/>
      <c r="O29" s="68" t="s">
        <v>221</v>
      </c>
      <c r="P29" s="14"/>
      <c r="Q29" s="14"/>
      <c r="R29" s="14"/>
      <c r="S29" s="14"/>
    </row>
    <row r="30" spans="1:19" ht="15" thickBot="1">
      <c r="A30" s="10">
        <v>1741</v>
      </c>
      <c r="B30" s="12" t="s">
        <v>222</v>
      </c>
      <c r="C30" s="12" t="s">
        <v>156</v>
      </c>
      <c r="I30" s="14">
        <v>1741</v>
      </c>
      <c r="J30" s="14"/>
      <c r="K30" s="14"/>
      <c r="L30" s="14"/>
      <c r="M30" s="99">
        <v>3400</v>
      </c>
      <c r="N30" s="14"/>
      <c r="O30" s="68" t="s">
        <v>223</v>
      </c>
      <c r="P30" s="14"/>
      <c r="Q30" s="14"/>
      <c r="R30" s="14"/>
      <c r="S30" s="14"/>
    </row>
    <row r="31" spans="1:19" ht="15" thickBot="1">
      <c r="A31" s="10">
        <v>1750</v>
      </c>
      <c r="B31" s="12" t="s">
        <v>224</v>
      </c>
      <c r="C31" s="12" t="s">
        <v>156</v>
      </c>
      <c r="I31" s="14">
        <v>1750</v>
      </c>
      <c r="J31" s="14"/>
      <c r="K31" s="14"/>
      <c r="L31" s="14"/>
      <c r="M31" s="101">
        <v>3345</v>
      </c>
      <c r="N31" s="14"/>
      <c r="O31" s="68" t="s">
        <v>225</v>
      </c>
      <c r="P31" s="14"/>
      <c r="Q31" s="14"/>
      <c r="R31" s="14"/>
      <c r="S31" s="14"/>
    </row>
    <row r="32" spans="1:19" ht="15" thickBot="1">
      <c r="A32" s="10">
        <v>1760</v>
      </c>
      <c r="B32" s="12" t="s">
        <v>226</v>
      </c>
      <c r="C32" s="12" t="s">
        <v>156</v>
      </c>
      <c r="I32" s="14">
        <v>1760</v>
      </c>
      <c r="J32" s="14"/>
      <c r="K32" s="14"/>
      <c r="L32" s="14"/>
      <c r="M32" s="99">
        <v>3350</v>
      </c>
      <c r="N32" s="14"/>
      <c r="O32" s="68" t="s">
        <v>227</v>
      </c>
      <c r="P32" s="14"/>
      <c r="Q32" s="14"/>
      <c r="R32" s="14"/>
      <c r="S32" s="14"/>
    </row>
    <row r="33" spans="1:19" ht="15" thickBot="1">
      <c r="A33" s="10">
        <v>1765</v>
      </c>
      <c r="B33" s="12" t="s">
        <v>228</v>
      </c>
      <c r="C33" s="12" t="s">
        <v>156</v>
      </c>
      <c r="I33" s="14">
        <v>1765</v>
      </c>
      <c r="J33" s="14"/>
      <c r="K33" s="14"/>
      <c r="L33" s="14"/>
      <c r="M33" s="99">
        <v>3490</v>
      </c>
      <c r="N33" s="14"/>
      <c r="O33" s="14"/>
      <c r="P33" s="14"/>
      <c r="Q33" s="14"/>
      <c r="R33" s="14"/>
      <c r="S33" s="14"/>
    </row>
    <row r="34" spans="1:19" ht="15" thickBot="1">
      <c r="A34" s="10">
        <v>1790</v>
      </c>
      <c r="B34" s="12" t="s">
        <v>229</v>
      </c>
      <c r="C34" s="12" t="s">
        <v>156</v>
      </c>
      <c r="I34" s="14">
        <v>1790</v>
      </c>
      <c r="J34" s="14"/>
      <c r="K34" s="14"/>
      <c r="L34" s="14"/>
      <c r="M34" s="99">
        <v>3500</v>
      </c>
      <c r="N34" s="14"/>
      <c r="O34" s="14"/>
      <c r="P34" s="14"/>
      <c r="Q34" s="14"/>
      <c r="R34" s="14"/>
      <c r="S34" s="14"/>
    </row>
    <row r="35" spans="1:19" ht="15" thickBot="1">
      <c r="A35" s="10">
        <v>2020</v>
      </c>
      <c r="B35" s="12" t="s">
        <v>230</v>
      </c>
      <c r="C35" s="12" t="s">
        <v>156</v>
      </c>
      <c r="I35" s="97">
        <v>2020</v>
      </c>
      <c r="J35" s="14"/>
      <c r="K35" s="14"/>
      <c r="L35" s="14"/>
      <c r="M35" s="14"/>
      <c r="N35" s="14"/>
      <c r="O35" s="14"/>
      <c r="P35" s="14"/>
      <c r="Q35" s="14"/>
      <c r="R35" s="14"/>
      <c r="S35" s="14"/>
    </row>
    <row r="36" spans="1:19" ht="15" thickBot="1">
      <c r="A36" s="10">
        <v>2030</v>
      </c>
      <c r="B36" s="12" t="s">
        <v>231</v>
      </c>
      <c r="C36" s="12" t="s">
        <v>156</v>
      </c>
      <c r="I36" s="97">
        <v>2030</v>
      </c>
      <c r="J36" s="14"/>
      <c r="K36" s="14"/>
      <c r="L36" s="14"/>
      <c r="M36" s="14"/>
      <c r="N36" s="14"/>
      <c r="O36" s="14"/>
      <c r="P36" s="14"/>
      <c r="Q36" s="14"/>
      <c r="R36" s="14"/>
      <c r="S36" s="14"/>
    </row>
    <row r="37" spans="1:19" ht="15" thickBot="1">
      <c r="A37" s="10">
        <v>2210</v>
      </c>
      <c r="B37" s="12" t="s">
        <v>232</v>
      </c>
      <c r="C37" s="12" t="s">
        <v>156</v>
      </c>
      <c r="I37" s="97">
        <v>2210</v>
      </c>
      <c r="J37" s="14"/>
      <c r="K37" s="14"/>
      <c r="L37" s="14"/>
      <c r="M37" s="14"/>
      <c r="N37" s="14"/>
      <c r="O37" s="14"/>
      <c r="P37" s="14"/>
      <c r="Q37" s="14"/>
      <c r="R37" s="14"/>
      <c r="S37" s="14"/>
    </row>
    <row r="38" spans="1:19" ht="15" thickBot="1">
      <c r="A38" s="10">
        <v>2230</v>
      </c>
      <c r="B38" s="12" t="s">
        <v>233</v>
      </c>
      <c r="C38" s="12" t="s">
        <v>156</v>
      </c>
      <c r="I38" s="97">
        <v>2230</v>
      </c>
      <c r="J38" s="14"/>
      <c r="K38" s="14"/>
      <c r="L38" s="14"/>
      <c r="M38" s="14"/>
      <c r="N38" s="14"/>
      <c r="O38" s="14"/>
      <c r="P38" s="14"/>
      <c r="Q38" s="14"/>
      <c r="R38" s="14"/>
      <c r="S38" s="14"/>
    </row>
    <row r="39" spans="1:19" ht="15" thickBot="1">
      <c r="A39" s="10">
        <v>3225</v>
      </c>
      <c r="B39" s="12" t="s">
        <v>234</v>
      </c>
      <c r="C39" s="12" t="s">
        <v>235</v>
      </c>
      <c r="H39" s="13" t="s">
        <v>236</v>
      </c>
      <c r="I39" s="54"/>
      <c r="J39" s="54"/>
      <c r="K39" s="54"/>
      <c r="L39" s="54"/>
      <c r="M39" s="54"/>
    </row>
    <row r="40" spans="1:19" ht="15" thickBot="1">
      <c r="A40" s="10">
        <v>3230</v>
      </c>
      <c r="B40" s="12" t="s">
        <v>237</v>
      </c>
      <c r="C40" s="12" t="s">
        <v>235</v>
      </c>
    </row>
    <row r="41" spans="1:19" ht="15" thickBot="1">
      <c r="A41" s="20">
        <v>3235</v>
      </c>
      <c r="B41" s="12" t="s">
        <v>238</v>
      </c>
      <c r="C41" s="12" t="s">
        <v>235</v>
      </c>
    </row>
    <row r="42" spans="1:19" ht="15" thickBot="1">
      <c r="A42" s="10">
        <v>3245</v>
      </c>
      <c r="B42" s="12" t="s">
        <v>239</v>
      </c>
      <c r="C42" s="12" t="s">
        <v>235</v>
      </c>
    </row>
    <row r="43" spans="1:19" ht="15" thickBot="1">
      <c r="A43" s="10">
        <v>3340</v>
      </c>
      <c r="B43" s="12" t="s">
        <v>240</v>
      </c>
      <c r="C43" s="12" t="s">
        <v>235</v>
      </c>
    </row>
    <row r="44" spans="1:19" ht="15" thickBot="1">
      <c r="A44" s="10">
        <v>3330</v>
      </c>
      <c r="B44" s="12" t="s">
        <v>241</v>
      </c>
      <c r="C44" s="12" t="s">
        <v>242</v>
      </c>
    </row>
    <row r="45" spans="1:19" ht="15" thickBot="1">
      <c r="A45" s="10">
        <v>3495</v>
      </c>
      <c r="B45" s="21" t="s">
        <v>243</v>
      </c>
      <c r="C45" s="12" t="s">
        <v>242</v>
      </c>
    </row>
    <row r="46" spans="1:19" ht="15" thickBot="1">
      <c r="A46" s="10">
        <v>3280</v>
      </c>
      <c r="B46" s="12" t="s">
        <v>244</v>
      </c>
      <c r="C46" s="12" t="s">
        <v>245</v>
      </c>
    </row>
    <row r="47" spans="1:19" ht="15" thickBot="1">
      <c r="A47" s="10">
        <v>3445</v>
      </c>
      <c r="B47" s="12" t="s">
        <v>246</v>
      </c>
      <c r="C47" s="12" t="s">
        <v>245</v>
      </c>
    </row>
    <row r="48" spans="1:19" ht="15" thickBot="1">
      <c r="A48" s="10">
        <v>3490</v>
      </c>
      <c r="B48" s="12" t="s">
        <v>247</v>
      </c>
      <c r="C48" s="12" t="s">
        <v>248</v>
      </c>
    </row>
    <row r="49" spans="1:3" ht="15" thickBot="1">
      <c r="A49" s="20">
        <v>3500</v>
      </c>
      <c r="B49" s="12" t="s">
        <v>249</v>
      </c>
      <c r="C49" s="12" t="s">
        <v>248</v>
      </c>
    </row>
    <row r="50" spans="1:3" ht="15" thickBot="1">
      <c r="A50" s="10">
        <v>3470</v>
      </c>
      <c r="B50" s="12" t="s">
        <v>250</v>
      </c>
      <c r="C50" s="12" t="s">
        <v>251</v>
      </c>
    </row>
    <row r="51" spans="1:3" ht="15" thickBot="1">
      <c r="A51" s="10">
        <v>3480</v>
      </c>
      <c r="B51" s="12" t="s">
        <v>252</v>
      </c>
      <c r="C51" s="12" t="s">
        <v>251</v>
      </c>
    </row>
    <row r="52" spans="1:3" ht="15" thickBot="1">
      <c r="A52" s="10">
        <v>1610</v>
      </c>
      <c r="B52" s="12" t="s">
        <v>253</v>
      </c>
      <c r="C52" s="12" t="s">
        <v>153</v>
      </c>
    </row>
    <row r="53" spans="1:3" ht="15" thickBot="1">
      <c r="A53" s="10">
        <v>1615</v>
      </c>
      <c r="B53" s="12" t="s">
        <v>254</v>
      </c>
      <c r="C53" s="12" t="s">
        <v>153</v>
      </c>
    </row>
    <row r="54" spans="1:3" ht="15" thickBot="1">
      <c r="A54" s="10">
        <v>1620</v>
      </c>
      <c r="B54" s="21" t="s">
        <v>255</v>
      </c>
      <c r="C54" s="12" t="s">
        <v>153</v>
      </c>
    </row>
    <row r="55" spans="1:3" ht="15" thickBot="1">
      <c r="A55" s="10">
        <v>3200</v>
      </c>
      <c r="B55" s="12" t="s">
        <v>256</v>
      </c>
      <c r="C55" s="12" t="s">
        <v>153</v>
      </c>
    </row>
    <row r="56" spans="1:3" ht="15" thickBot="1">
      <c r="A56" s="10">
        <v>3210</v>
      </c>
      <c r="B56" s="12" t="s">
        <v>257</v>
      </c>
      <c r="C56" s="12" t="s">
        <v>153</v>
      </c>
    </row>
    <row r="57" spans="1:3" ht="15" thickBot="1">
      <c r="A57" s="10">
        <v>3215</v>
      </c>
      <c r="B57" s="12" t="s">
        <v>258</v>
      </c>
      <c r="C57" s="12" t="s">
        <v>153</v>
      </c>
    </row>
    <row r="58" spans="1:3" ht="15" thickBot="1">
      <c r="A58" s="10">
        <v>3270</v>
      </c>
      <c r="B58" s="21" t="s">
        <v>259</v>
      </c>
      <c r="C58" s="12" t="s">
        <v>153</v>
      </c>
    </row>
    <row r="59" spans="1:3" ht="15" thickBot="1">
      <c r="A59" s="10">
        <v>3355</v>
      </c>
      <c r="B59" s="12" t="s">
        <v>260</v>
      </c>
      <c r="C59" s="12" t="s">
        <v>153</v>
      </c>
    </row>
    <row r="60" spans="1:3" ht="15" thickBot="1">
      <c r="A60" s="10">
        <v>3475</v>
      </c>
      <c r="B60" s="21" t="s">
        <v>261</v>
      </c>
      <c r="C60" s="12" t="s">
        <v>153</v>
      </c>
    </row>
    <row r="61" spans="1:3" ht="15" thickBot="1">
      <c r="A61" s="10">
        <v>2000</v>
      </c>
      <c r="B61" s="12" t="s">
        <v>262</v>
      </c>
      <c r="C61" s="12" t="s">
        <v>153</v>
      </c>
    </row>
    <row r="62" spans="1:3" ht="15" thickBot="1">
      <c r="A62" s="10">
        <v>2050</v>
      </c>
      <c r="B62" s="12" t="s">
        <v>263</v>
      </c>
      <c r="C62" s="12" t="s">
        <v>153</v>
      </c>
    </row>
    <row r="63" spans="1:3" ht="15" thickBot="1">
      <c r="A63" s="20">
        <v>2200</v>
      </c>
      <c r="B63" s="12" t="s">
        <v>264</v>
      </c>
      <c r="C63" s="12" t="s">
        <v>153</v>
      </c>
    </row>
    <row r="64" spans="1:3" ht="15" thickBot="1">
      <c r="A64" s="10">
        <v>2205</v>
      </c>
      <c r="B64" s="21" t="s">
        <v>265</v>
      </c>
      <c r="C64" s="12" t="s">
        <v>153</v>
      </c>
    </row>
    <row r="65" spans="1:3" ht="15" thickBot="1">
      <c r="A65" s="20">
        <v>2215</v>
      </c>
      <c r="B65" s="12" t="s">
        <v>266</v>
      </c>
      <c r="C65" s="21" t="s">
        <v>153</v>
      </c>
    </row>
    <row r="66" spans="1:3" ht="15" thickBot="1">
      <c r="A66" s="10">
        <v>2250</v>
      </c>
      <c r="B66" s="12" t="s">
        <v>267</v>
      </c>
      <c r="C66" s="12" t="s">
        <v>153</v>
      </c>
    </row>
    <row r="67" spans="1:3" ht="15" thickBot="1">
      <c r="A67" s="10">
        <v>3250</v>
      </c>
      <c r="B67" s="21" t="s">
        <v>268</v>
      </c>
      <c r="C67" s="12" t="s">
        <v>153</v>
      </c>
    </row>
    <row r="68" spans="1:3" ht="15" thickBot="1">
      <c r="A68" s="10">
        <v>1020</v>
      </c>
      <c r="B68" s="12" t="s">
        <v>269</v>
      </c>
      <c r="C68" s="12" t="s">
        <v>150</v>
      </c>
    </row>
    <row r="69" spans="1:3" ht="15" thickBot="1">
      <c r="A69" s="10">
        <v>1060</v>
      </c>
      <c r="B69" s="12" t="s">
        <v>270</v>
      </c>
      <c r="C69" s="12" t="s">
        <v>150</v>
      </c>
    </row>
    <row r="70" spans="1:3" ht="15" thickBot="1">
      <c r="A70" s="10">
        <v>1070</v>
      </c>
      <c r="B70" s="21" t="s">
        <v>271</v>
      </c>
      <c r="C70" s="12" t="s">
        <v>150</v>
      </c>
    </row>
    <row r="71" spans="1:3" ht="15" thickBot="1">
      <c r="A71" s="10">
        <v>1080</v>
      </c>
      <c r="B71" s="12" t="s">
        <v>272</v>
      </c>
      <c r="C71" s="12" t="s">
        <v>150</v>
      </c>
    </row>
    <row r="72" spans="1:3" ht="15" thickBot="1">
      <c r="A72" s="10">
        <v>1100</v>
      </c>
      <c r="B72" s="12" t="s">
        <v>273</v>
      </c>
      <c r="C72" s="12" t="s">
        <v>150</v>
      </c>
    </row>
    <row r="73" spans="1:3" ht="15" thickBot="1">
      <c r="A73" s="10">
        <v>1150</v>
      </c>
      <c r="B73" s="12" t="s">
        <v>274</v>
      </c>
      <c r="C73" s="12" t="s">
        <v>150</v>
      </c>
    </row>
    <row r="74" spans="1:3" ht="15" thickBot="1">
      <c r="A74" s="20">
        <v>1190</v>
      </c>
      <c r="B74" s="21" t="s">
        <v>275</v>
      </c>
      <c r="C74" s="12" t="s">
        <v>150</v>
      </c>
    </row>
    <row r="75" spans="1:3" ht="15" thickBot="1">
      <c r="A75" s="10">
        <v>1255</v>
      </c>
      <c r="B75" s="12" t="s">
        <v>276</v>
      </c>
      <c r="C75" s="12" t="s">
        <v>150</v>
      </c>
    </row>
    <row r="76" spans="1:3" ht="15" thickBot="1">
      <c r="A76" s="10">
        <v>1510</v>
      </c>
      <c r="B76" s="12" t="s">
        <v>277</v>
      </c>
      <c r="C76" s="12" t="s">
        <v>150</v>
      </c>
    </row>
    <row r="77" spans="1:3" ht="15" thickBot="1">
      <c r="A77" s="10">
        <v>1555</v>
      </c>
      <c r="B77" s="12" t="s">
        <v>278</v>
      </c>
      <c r="C77" s="12" t="s">
        <v>150</v>
      </c>
    </row>
    <row r="78" spans="1:3" ht="15" thickBot="1">
      <c r="A78" s="11">
        <v>1635</v>
      </c>
      <c r="B78" s="12" t="s">
        <v>279</v>
      </c>
      <c r="C78" s="53" t="s">
        <v>150</v>
      </c>
    </row>
    <row r="79" spans="1:3" ht="15" thickBot="1">
      <c r="A79" s="10">
        <v>1640</v>
      </c>
      <c r="B79" s="12" t="s">
        <v>280</v>
      </c>
      <c r="C79" s="12" t="s">
        <v>150</v>
      </c>
    </row>
    <row r="80" spans="1:3" ht="15" thickBot="1">
      <c r="A80" s="10">
        <v>1655</v>
      </c>
      <c r="B80" s="12" t="s">
        <v>281</v>
      </c>
      <c r="C80" s="12" t="s">
        <v>150</v>
      </c>
    </row>
    <row r="81" spans="1:3" ht="15" thickBot="1">
      <c r="A81" s="10">
        <v>1665</v>
      </c>
      <c r="B81" s="12" t="s">
        <v>282</v>
      </c>
      <c r="C81" s="12" t="s">
        <v>150</v>
      </c>
    </row>
    <row r="82" spans="1:3" ht="15" thickBot="1">
      <c r="A82" s="10">
        <v>1680</v>
      </c>
      <c r="B82" s="12" t="s">
        <v>283</v>
      </c>
      <c r="C82" s="12" t="s">
        <v>150</v>
      </c>
    </row>
    <row r="83" spans="1:3" ht="15" thickBot="1">
      <c r="A83" s="10">
        <v>1685</v>
      </c>
      <c r="B83" s="12" t="s">
        <v>284</v>
      </c>
      <c r="C83" s="12" t="s">
        <v>150</v>
      </c>
    </row>
    <row r="84" spans="1:3" ht="15" thickBot="1">
      <c r="A84" s="10">
        <v>2250</v>
      </c>
      <c r="B84" s="12" t="s">
        <v>285</v>
      </c>
      <c r="C84" s="12" t="s">
        <v>150</v>
      </c>
    </row>
    <row r="85" spans="1:3" ht="15" thickBot="1">
      <c r="A85" s="20">
        <v>1625</v>
      </c>
      <c r="B85" s="12" t="s">
        <v>286</v>
      </c>
      <c r="C85" s="12" t="s">
        <v>150</v>
      </c>
    </row>
    <row r="86" spans="1:3" ht="15" thickBot="1">
      <c r="A86" s="10">
        <v>1630</v>
      </c>
      <c r="B86" s="12" t="s">
        <v>287</v>
      </c>
      <c r="C86" s="12" t="s">
        <v>150</v>
      </c>
    </row>
    <row r="87" spans="1:3" ht="15" thickBot="1">
      <c r="A87" s="10">
        <v>1250</v>
      </c>
      <c r="B87" s="12" t="s">
        <v>288</v>
      </c>
      <c r="C87" s="12" t="s">
        <v>152</v>
      </c>
    </row>
    <row r="88" spans="1:3" ht="15" thickBot="1">
      <c r="A88" s="10">
        <v>8000</v>
      </c>
      <c r="B88" s="12" t="s">
        <v>289</v>
      </c>
      <c r="C88" s="12" t="s">
        <v>152</v>
      </c>
    </row>
    <row r="89" spans="1:3" ht="15" thickBot="1">
      <c r="A89" s="10">
        <v>8015</v>
      </c>
      <c r="B89" s="21" t="s">
        <v>290</v>
      </c>
      <c r="C89" s="12" t="s">
        <v>152</v>
      </c>
    </row>
    <row r="90" spans="1:3" ht="15" thickBot="1">
      <c r="A90" s="10">
        <v>8020</v>
      </c>
      <c r="B90" s="12" t="s">
        <v>291</v>
      </c>
      <c r="C90" s="12" t="s">
        <v>152</v>
      </c>
    </row>
    <row r="91" spans="1:3" ht="15" thickBot="1">
      <c r="A91" s="10">
        <v>8035</v>
      </c>
      <c r="B91" s="12" t="s">
        <v>292</v>
      </c>
      <c r="C91" s="12" t="s">
        <v>152</v>
      </c>
    </row>
    <row r="92" spans="1:3" ht="15" thickBot="1">
      <c r="A92" s="10">
        <v>1050</v>
      </c>
      <c r="B92" s="12" t="s">
        <v>293</v>
      </c>
      <c r="C92" s="12" t="s">
        <v>294</v>
      </c>
    </row>
    <row r="93" spans="1:3" ht="15" thickBot="1">
      <c r="A93" s="20">
        <v>1160</v>
      </c>
      <c r="B93" s="12" t="s">
        <v>295</v>
      </c>
      <c r="C93" s="12" t="s">
        <v>294</v>
      </c>
    </row>
    <row r="94" spans="1:3" ht="15" thickBot="1">
      <c r="A94" s="10">
        <v>1200</v>
      </c>
      <c r="B94" s="12" t="s">
        <v>296</v>
      </c>
      <c r="C94" s="12" t="s">
        <v>294</v>
      </c>
    </row>
    <row r="95" spans="1:3" ht="15" thickBot="1">
      <c r="A95" s="10">
        <v>2010</v>
      </c>
      <c r="B95" s="12" t="s">
        <v>297</v>
      </c>
      <c r="C95" s="12" t="s">
        <v>294</v>
      </c>
    </row>
    <row r="96" spans="1:3" ht="15" thickBot="1">
      <c r="A96" s="10">
        <v>2100</v>
      </c>
      <c r="B96" s="12" t="s">
        <v>298</v>
      </c>
      <c r="C96" s="12" t="s">
        <v>294</v>
      </c>
    </row>
    <row r="97" spans="1:3" ht="15" thickBot="1">
      <c r="A97" s="10">
        <v>2240</v>
      </c>
      <c r="B97" s="12" t="s">
        <v>299</v>
      </c>
      <c r="C97" s="12" t="s">
        <v>294</v>
      </c>
    </row>
    <row r="98" spans="1:3" ht="15" thickBot="1">
      <c r="A98" s="10">
        <v>3010</v>
      </c>
      <c r="B98" s="12" t="s">
        <v>300</v>
      </c>
      <c r="C98" s="12" t="s">
        <v>294</v>
      </c>
    </row>
    <row r="99" spans="1:3" ht="15" thickBot="1">
      <c r="A99" s="10">
        <v>9000</v>
      </c>
      <c r="B99" s="12" t="s">
        <v>301</v>
      </c>
      <c r="C99" s="12" t="s">
        <v>294</v>
      </c>
    </row>
    <row r="100" spans="1:3" ht="15" thickBot="1">
      <c r="A100" s="10">
        <v>3395</v>
      </c>
      <c r="B100" s="12" t="s">
        <v>302</v>
      </c>
      <c r="C100" s="12" t="s">
        <v>303</v>
      </c>
    </row>
    <row r="101" spans="1:3" ht="15" thickBot="1">
      <c r="A101" s="10">
        <v>3345</v>
      </c>
      <c r="B101" s="12" t="s">
        <v>304</v>
      </c>
      <c r="C101" s="12" t="s">
        <v>305</v>
      </c>
    </row>
    <row r="102" spans="1:3" ht="15" thickBot="1">
      <c r="A102" s="10">
        <v>3350</v>
      </c>
      <c r="B102" s="12" t="s">
        <v>306</v>
      </c>
      <c r="C102" s="12" t="s">
        <v>305</v>
      </c>
    </row>
    <row r="103" spans="1:3" ht="15" thickBot="1">
      <c r="A103" s="10">
        <v>3400</v>
      </c>
      <c r="B103" s="12" t="s">
        <v>307</v>
      </c>
      <c r="C103" s="12" t="s">
        <v>305</v>
      </c>
    </row>
  </sheetData>
  <autoFilter ref="A1:C1" xr:uid="{00000000-0009-0000-0000-000004000000}">
    <sortState xmlns:xlrd2="http://schemas.microsoft.com/office/spreadsheetml/2017/richdata2" ref="A2:C103">
      <sortCondition descending="1" ref="C1"/>
    </sortState>
  </autoFilter>
  <dataValidations count="5">
    <dataValidation type="list" allowBlank="1" showInputMessage="1" showErrorMessage="1" sqref="I39" xr:uid="{00000000-0002-0000-0400-000000000000}">
      <formula1>"1000, 1030, 1110, 1175, 1180, 1185, 1195, 1501, 1515, 1520, 1525, 1535, 1540, 1545, 1550, 1565, 1570, 1580, 1595, 1600, 1705, 1706, 1707, 1708, 1715, 1716, 1740, 1741, 1750, 1760, 1765, 1790, 2020, 2030, 2210, 2230"</formula1>
    </dataValidation>
    <dataValidation type="list" allowBlank="1" showInputMessage="1" showErrorMessage="1" sqref="J39" xr:uid="{00000000-0002-0000-0400-000001000000}">
      <formula1>"1020, 1060, 1070, 1080, 1100, 1150, 1190 ,1510, 1555, 1635, 1640, 1655, 1680, 1685"</formula1>
    </dataValidation>
    <dataValidation type="list" allowBlank="1" showInputMessage="1" showErrorMessage="1" sqref="K39" xr:uid="{00000000-0002-0000-0400-000002000000}">
      <formula1>"1050, 1160, 1200, 2010, 2100, 2240, 3010, 9000"</formula1>
    </dataValidation>
    <dataValidation type="list" allowBlank="1" showInputMessage="1" showErrorMessage="1" sqref="L39" xr:uid="{00000000-0002-0000-0400-000003000000}">
      <formula1>"1250, 8000, 8015, 8020, 8035"</formula1>
    </dataValidation>
    <dataValidation type="list" allowBlank="1" showInputMessage="1" showErrorMessage="1" sqref="M39" xr:uid="{00000000-0002-0000-0400-000004000000}">
      <formula1>"1610, 1615, 1620, 3200, 3210, 3215, 3270, 3355, 3470, 3475, 3480, 3225, 3230, 3235, 3245, 3340, 3280, 3445, 3330, 3495, 3395, 3400, 3345, 3350, 3490, 3500"</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00FFFF"/>
  </sheetPr>
  <dimension ref="A1:AL13"/>
  <sheetViews>
    <sheetView zoomScale="80" zoomScaleNormal="80" workbookViewId="0">
      <selection activeCell="F3" sqref="F3"/>
    </sheetView>
  </sheetViews>
  <sheetFormatPr defaultRowHeight="14.45"/>
  <cols>
    <col min="1" max="1" width="15" customWidth="1"/>
    <col min="2" max="2" width="14.42578125" customWidth="1"/>
    <col min="3" max="3" width="21.5703125" customWidth="1"/>
    <col min="4" max="4" width="24" bestFit="1" customWidth="1"/>
    <col min="5" max="5" width="23.5703125" customWidth="1"/>
    <col min="6" max="6" width="24.42578125" customWidth="1"/>
    <col min="7" max="7" width="28.42578125" customWidth="1"/>
    <col min="8" max="8" width="22.5703125" customWidth="1"/>
    <col min="9" max="9" width="20.140625" customWidth="1"/>
    <col min="10" max="10" width="20.42578125" customWidth="1"/>
    <col min="11" max="11" width="19.140625" customWidth="1"/>
    <col min="12" max="12" width="16.5703125" customWidth="1"/>
    <col min="17" max="17" width="13.140625" customWidth="1"/>
    <col min="18" max="18" width="15.5703125" customWidth="1"/>
    <col min="19" max="19" width="11.42578125" customWidth="1"/>
    <col min="20" max="20" width="10" customWidth="1"/>
    <col min="21" max="21" width="17.42578125" customWidth="1"/>
    <col min="22" max="22" width="17.5703125" customWidth="1"/>
    <col min="23" max="23" width="19.85546875" customWidth="1"/>
    <col min="24" max="24" width="12.42578125" customWidth="1"/>
    <col min="25" max="25" width="12.5703125" customWidth="1"/>
    <col min="26" max="26" width="15" customWidth="1"/>
    <col min="27" max="27" width="12.85546875" customWidth="1"/>
    <col min="28" max="28" width="17.140625" customWidth="1"/>
    <col min="29" max="29" width="11.42578125" customWidth="1"/>
  </cols>
  <sheetData>
    <row r="1" spans="1:38" ht="72.599999999999994" customHeight="1">
      <c r="A1" s="699" t="s">
        <v>308</v>
      </c>
      <c r="B1" s="699"/>
      <c r="C1" s="699"/>
      <c r="D1" s="699"/>
      <c r="E1" s="699"/>
      <c r="F1" s="699"/>
      <c r="G1" s="699"/>
      <c r="H1" s="699"/>
      <c r="I1" s="699"/>
      <c r="J1" s="93"/>
      <c r="K1" s="93"/>
      <c r="L1" s="93"/>
      <c r="M1" s="363">
        <f ca="1">TODAY()</f>
        <v>46008</v>
      </c>
      <c r="N1" s="93"/>
      <c r="O1" s="93"/>
      <c r="P1" s="93"/>
      <c r="Q1" s="93"/>
      <c r="R1" s="93"/>
      <c r="S1" s="93"/>
      <c r="T1" s="93"/>
      <c r="U1" s="93"/>
      <c r="V1" s="93"/>
      <c r="W1" s="93"/>
      <c r="X1" s="93"/>
      <c r="Y1" s="93"/>
      <c r="Z1" s="93"/>
      <c r="AA1" s="93"/>
      <c r="AB1" s="93"/>
      <c r="AC1" s="93"/>
      <c r="AD1" s="93"/>
      <c r="AE1" s="93"/>
      <c r="AF1" s="93"/>
      <c r="AG1" s="93"/>
      <c r="AH1" s="93"/>
      <c r="AI1" s="93"/>
      <c r="AJ1" s="93"/>
      <c r="AK1" s="93"/>
      <c r="AL1" s="93"/>
    </row>
    <row r="2" spans="1:38" ht="23.45" customHeight="1" thickBot="1">
      <c r="A2" s="314">
        <v>6</v>
      </c>
      <c r="B2" s="318"/>
      <c r="C2" s="315" t="s">
        <v>10</v>
      </c>
      <c r="D2" s="316" t="s">
        <v>11</v>
      </c>
      <c r="E2" s="317" t="s">
        <v>12</v>
      </c>
      <c r="F2" s="317" t="s">
        <v>3</v>
      </c>
      <c r="G2" s="700" t="s">
        <v>13</v>
      </c>
      <c r="H2" s="701"/>
      <c r="I2" s="289" t="s">
        <v>309</v>
      </c>
      <c r="J2" s="93"/>
      <c r="K2" s="93"/>
      <c r="L2" s="93"/>
      <c r="M2" s="93"/>
      <c r="N2" s="93"/>
      <c r="O2" s="93"/>
      <c r="P2" s="93"/>
      <c r="Q2" s="93"/>
      <c r="R2" s="93"/>
      <c r="S2" s="93"/>
      <c r="T2" s="93"/>
      <c r="U2" s="93"/>
      <c r="V2" s="93"/>
      <c r="W2" s="93"/>
      <c r="X2" s="93"/>
      <c r="Y2" s="93"/>
      <c r="Z2" s="93"/>
      <c r="AA2" s="93"/>
      <c r="AB2" s="93"/>
      <c r="AC2" s="93"/>
      <c r="AD2" s="93"/>
      <c r="AE2" s="93"/>
      <c r="AF2" s="93"/>
      <c r="AG2" s="93"/>
      <c r="AH2" s="93"/>
      <c r="AI2" s="93"/>
      <c r="AJ2" s="93"/>
      <c r="AK2" s="93"/>
      <c r="AL2" s="93"/>
    </row>
    <row r="3" spans="1:38" ht="23.45" customHeight="1" thickBot="1">
      <c r="A3" s="93"/>
      <c r="B3" s="93"/>
      <c r="C3" s="313"/>
      <c r="D3" s="362">
        <f ca="1">TODAY()</f>
        <v>46008</v>
      </c>
      <c r="E3" s="313"/>
      <c r="F3" s="60"/>
      <c r="G3" s="702"/>
      <c r="H3" s="703"/>
      <c r="I3" s="93"/>
      <c r="J3" s="93"/>
      <c r="K3" s="93"/>
      <c r="L3" s="93"/>
      <c r="M3" s="93"/>
      <c r="N3" s="93"/>
      <c r="O3" s="93"/>
      <c r="P3" s="93"/>
      <c r="Q3" s="93"/>
      <c r="R3" s="93"/>
      <c r="S3" s="93"/>
      <c r="T3" s="93"/>
      <c r="U3" s="93"/>
      <c r="V3" s="93"/>
      <c r="W3" s="93"/>
      <c r="X3" s="93"/>
      <c r="Y3" s="93"/>
      <c r="Z3" s="93"/>
      <c r="AA3" s="93"/>
      <c r="AB3" s="93"/>
      <c r="AC3" s="93"/>
      <c r="AD3" s="93"/>
      <c r="AE3" s="93"/>
      <c r="AF3" s="93"/>
      <c r="AG3" s="93"/>
      <c r="AH3" s="93"/>
      <c r="AI3" s="93"/>
      <c r="AJ3" s="93"/>
      <c r="AK3" s="93"/>
      <c r="AL3" s="93"/>
    </row>
    <row r="4" spans="1:38" ht="15" hidden="1" thickBot="1">
      <c r="A4" s="93"/>
      <c r="B4" s="93"/>
      <c r="C4" s="103"/>
      <c r="D4" s="93"/>
      <c r="E4" s="93"/>
      <c r="F4" s="93"/>
      <c r="G4" s="93"/>
      <c r="H4" s="93"/>
      <c r="I4" s="93"/>
      <c r="J4" s="93"/>
      <c r="K4" s="93"/>
      <c r="L4" s="93"/>
      <c r="M4" s="93"/>
      <c r="N4" s="93"/>
      <c r="O4" s="93"/>
      <c r="P4" s="93"/>
      <c r="Q4" s="93"/>
      <c r="R4" s="93"/>
      <c r="S4" s="93"/>
      <c r="T4" s="93"/>
      <c r="U4" s="93"/>
      <c r="V4" s="93"/>
      <c r="W4" s="93"/>
      <c r="X4" s="93"/>
      <c r="Y4" s="93"/>
      <c r="Z4" s="93"/>
      <c r="AA4" s="93"/>
      <c r="AB4" s="93"/>
      <c r="AC4" s="93"/>
      <c r="AD4" s="93"/>
      <c r="AE4" s="93"/>
      <c r="AF4" s="93"/>
      <c r="AG4" s="93"/>
      <c r="AH4" s="93"/>
      <c r="AI4" s="93"/>
      <c r="AJ4" s="93"/>
      <c r="AK4" s="93"/>
      <c r="AL4" s="93"/>
    </row>
    <row r="5" spans="1:38" ht="14.45" hidden="1" customHeight="1" thickBot="1">
      <c r="A5" s="93"/>
      <c r="B5" s="83"/>
      <c r="C5" s="107" t="s">
        <v>3</v>
      </c>
      <c r="D5" s="105" t="s">
        <v>310</v>
      </c>
      <c r="E5" s="104" t="s">
        <v>14</v>
      </c>
      <c r="F5" s="693" t="s">
        <v>15</v>
      </c>
      <c r="G5" s="694"/>
      <c r="H5" s="695"/>
      <c r="I5" s="93"/>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row>
    <row r="6" spans="1:38" ht="23.45" hidden="1" customHeight="1" thickBot="1">
      <c r="A6" s="93"/>
      <c r="B6" s="93"/>
      <c r="C6" s="60">
        <f>F3</f>
        <v>0</v>
      </c>
      <c r="D6" s="106"/>
      <c r="E6" s="52">
        <v>1000</v>
      </c>
      <c r="F6" s="696" t="str">
        <f>VLOOKUP(E6,'Company Code'!A2:C103,2,FALSE)</f>
        <v>Suncor Energy Oil Sands Limited Partnership</v>
      </c>
      <c r="G6" s="697"/>
      <c r="H6" s="698"/>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row>
    <row r="7" spans="1:38" hidden="1">
      <c r="A7" s="93"/>
      <c r="B7" s="93"/>
      <c r="C7" s="93"/>
      <c r="D7" s="93"/>
      <c r="E7" s="93"/>
      <c r="F7" s="93"/>
      <c r="G7" s="93"/>
      <c r="H7" s="93"/>
      <c r="I7" s="93"/>
      <c r="J7" s="93"/>
      <c r="K7" s="93"/>
      <c r="L7" s="93"/>
      <c r="M7" s="93"/>
      <c r="N7" s="93"/>
      <c r="O7" s="93"/>
      <c r="P7" s="93"/>
      <c r="Q7" s="93"/>
      <c r="R7" s="93"/>
      <c r="S7" s="93"/>
      <c r="T7" s="93"/>
      <c r="U7" s="93"/>
      <c r="V7" s="93"/>
      <c r="W7" s="93"/>
      <c r="X7" s="93"/>
      <c r="Y7" s="93"/>
      <c r="Z7" s="93"/>
      <c r="AA7" s="93"/>
      <c r="AB7" s="93"/>
      <c r="AC7" s="93"/>
      <c r="AD7" s="93"/>
      <c r="AE7" s="93"/>
      <c r="AF7" s="93"/>
      <c r="AG7" s="93"/>
      <c r="AH7" s="93"/>
      <c r="AI7" s="93"/>
      <c r="AJ7" s="93"/>
      <c r="AK7" s="93"/>
      <c r="AL7" s="93"/>
    </row>
    <row r="8" spans="1:38" hidden="1">
      <c r="A8" s="93"/>
      <c r="B8" s="93"/>
      <c r="C8" s="93"/>
      <c r="D8" s="93"/>
      <c r="E8" s="93"/>
      <c r="F8" s="93"/>
      <c r="G8" s="93"/>
      <c r="H8" s="93"/>
      <c r="I8" s="93"/>
      <c r="J8" s="93"/>
      <c r="K8" s="93"/>
      <c r="L8" s="93"/>
      <c r="M8" s="93"/>
      <c r="N8" s="93"/>
      <c r="O8" s="93"/>
      <c r="P8" s="93"/>
      <c r="Q8" s="93"/>
      <c r="R8" s="93"/>
      <c r="S8" s="93"/>
      <c r="T8" s="93"/>
      <c r="U8" s="93"/>
      <c r="V8" s="93"/>
      <c r="W8" s="93"/>
      <c r="X8" s="93"/>
      <c r="Y8" s="93"/>
      <c r="Z8" s="93"/>
      <c r="AA8" s="93"/>
      <c r="AB8" s="93"/>
      <c r="AC8" s="93"/>
      <c r="AD8" s="93"/>
      <c r="AE8" s="93"/>
      <c r="AF8" s="93"/>
      <c r="AG8" s="93"/>
      <c r="AH8" s="93"/>
      <c r="AI8" s="93"/>
      <c r="AJ8" s="93"/>
      <c r="AK8" s="93"/>
      <c r="AL8" s="93"/>
    </row>
    <row r="9" spans="1:38" hidden="1">
      <c r="A9" s="93"/>
      <c r="B9" s="93"/>
      <c r="C9" s="93"/>
      <c r="D9" s="93"/>
      <c r="E9" s="93"/>
      <c r="F9" s="93"/>
      <c r="G9" s="93"/>
      <c r="H9" s="93"/>
      <c r="I9" s="93"/>
      <c r="J9" s="93"/>
      <c r="K9" s="93"/>
      <c r="L9" s="93"/>
      <c r="M9" s="93"/>
      <c r="N9" s="93"/>
      <c r="O9" s="93"/>
      <c r="P9" s="93"/>
      <c r="Q9" s="93"/>
      <c r="R9" s="93"/>
      <c r="S9" s="93"/>
      <c r="T9" s="93"/>
      <c r="U9" s="93"/>
      <c r="V9" s="93"/>
      <c r="W9" s="93"/>
      <c r="X9" s="93"/>
      <c r="Y9" s="93"/>
      <c r="Z9" s="93"/>
      <c r="AA9" s="93"/>
      <c r="AB9" s="93"/>
      <c r="AC9" s="93"/>
      <c r="AD9" s="93"/>
      <c r="AE9" s="93"/>
      <c r="AF9" s="93"/>
      <c r="AG9" s="93"/>
      <c r="AH9" s="93"/>
      <c r="AI9" s="93"/>
      <c r="AJ9" s="93"/>
      <c r="AK9" s="93"/>
      <c r="AL9" s="93"/>
    </row>
    <row r="10" spans="1:38" hidden="1">
      <c r="A10" s="314">
        <f>LEN(A15)</f>
        <v>0</v>
      </c>
      <c r="B10" s="93"/>
      <c r="C10" s="93"/>
      <c r="D10" s="93"/>
      <c r="E10" s="93"/>
      <c r="F10" s="93"/>
      <c r="G10" s="93"/>
      <c r="H10" s="93"/>
      <c r="I10" s="93"/>
      <c r="J10" s="93"/>
      <c r="K10" s="93"/>
      <c r="L10" s="93"/>
      <c r="M10" s="93"/>
      <c r="N10" s="93"/>
      <c r="O10" s="93"/>
      <c r="P10" s="93"/>
      <c r="Q10" s="93"/>
      <c r="R10" s="93"/>
      <c r="S10" s="93"/>
      <c r="T10" s="93"/>
      <c r="U10" s="93"/>
      <c r="V10" s="93"/>
      <c r="W10" s="93"/>
      <c r="X10" s="93"/>
      <c r="Y10" s="93"/>
      <c r="Z10" s="93"/>
      <c r="AA10" s="93"/>
      <c r="AB10" s="93"/>
      <c r="AC10" s="93"/>
      <c r="AD10" s="93"/>
      <c r="AE10" s="93"/>
      <c r="AF10" s="93"/>
      <c r="AG10" s="93"/>
      <c r="AH10" s="93"/>
      <c r="AI10" s="93"/>
      <c r="AJ10" s="93"/>
      <c r="AK10" s="93"/>
      <c r="AL10" s="93"/>
    </row>
    <row r="11" spans="1:38" hidden="1">
      <c r="A11" s="93"/>
      <c r="B11" s="93"/>
      <c r="C11" s="93"/>
      <c r="D11" s="93"/>
      <c r="E11" s="93"/>
      <c r="F11" s="93"/>
      <c r="G11" s="93"/>
      <c r="H11" s="93"/>
      <c r="I11" s="93"/>
      <c r="J11" s="93"/>
      <c r="K11" s="93"/>
      <c r="L11" s="93"/>
      <c r="M11" s="93"/>
      <c r="N11" s="93"/>
      <c r="O11" s="93"/>
      <c r="P11" s="93"/>
      <c r="Q11" s="93"/>
      <c r="R11" s="93"/>
      <c r="S11" s="93"/>
      <c r="T11" s="93"/>
      <c r="U11" s="93"/>
      <c r="V11" s="93"/>
      <c r="W11" s="93"/>
      <c r="X11" s="93"/>
      <c r="Y11" s="93"/>
      <c r="Z11" s="93"/>
      <c r="AA11" s="93"/>
      <c r="AB11" s="93"/>
      <c r="AC11" s="93"/>
      <c r="AD11" s="93"/>
      <c r="AE11" s="93"/>
      <c r="AF11" s="93"/>
      <c r="AG11" s="93"/>
      <c r="AH11" s="93"/>
      <c r="AI11" s="93"/>
      <c r="AJ11" s="93"/>
      <c r="AK11" s="93"/>
      <c r="AL11" s="93"/>
    </row>
    <row r="12" spans="1:38" hidden="1">
      <c r="A12" s="93"/>
      <c r="B12" s="93"/>
      <c r="C12" s="93"/>
      <c r="D12" s="93"/>
      <c r="E12" s="93"/>
      <c r="F12" s="93"/>
      <c r="G12" s="93"/>
      <c r="H12" s="93"/>
      <c r="I12" s="93"/>
      <c r="J12" s="93"/>
      <c r="K12" s="93"/>
      <c r="L12" s="93"/>
      <c r="M12" s="93"/>
      <c r="N12" s="93"/>
      <c r="O12" s="93"/>
      <c r="P12" s="93"/>
      <c r="Q12" s="93"/>
      <c r="R12" s="93"/>
      <c r="S12" s="93"/>
      <c r="T12" s="93"/>
      <c r="U12" s="93"/>
      <c r="V12" s="93"/>
      <c r="W12" s="93"/>
      <c r="X12" s="93"/>
      <c r="Y12" s="93"/>
      <c r="Z12" s="93"/>
      <c r="AA12" s="93"/>
      <c r="AB12" s="93"/>
      <c r="AC12" s="93"/>
      <c r="AD12" s="93"/>
      <c r="AE12" s="93"/>
      <c r="AF12" s="93"/>
      <c r="AG12" s="93"/>
      <c r="AH12" s="93"/>
      <c r="AI12" s="93"/>
      <c r="AJ12" s="93"/>
      <c r="AK12" s="93"/>
      <c r="AL12" s="93"/>
    </row>
    <row r="13" spans="1:38" hidden="1">
      <c r="A13" s="93"/>
      <c r="B13" s="93"/>
      <c r="C13" s="103"/>
      <c r="D13" s="93"/>
      <c r="E13" s="93"/>
      <c r="F13" s="93"/>
      <c r="G13" s="93"/>
      <c r="H13" s="93"/>
      <c r="I13" s="93"/>
      <c r="J13" s="93"/>
      <c r="K13" s="93"/>
      <c r="L13" s="93"/>
      <c r="M13" s="93"/>
      <c r="N13" s="93"/>
      <c r="O13" s="93"/>
      <c r="P13" s="93"/>
      <c r="Q13" s="93"/>
      <c r="R13" s="93"/>
      <c r="S13" s="93"/>
      <c r="T13" s="93"/>
      <c r="U13" s="93"/>
      <c r="V13" s="93"/>
      <c r="W13" s="93"/>
      <c r="X13" s="93"/>
      <c r="Y13" s="93"/>
      <c r="Z13" s="93"/>
      <c r="AA13" s="93"/>
      <c r="AB13" s="93"/>
      <c r="AC13" s="93"/>
      <c r="AD13" s="93"/>
      <c r="AE13" s="93"/>
      <c r="AF13" s="93"/>
      <c r="AG13" s="93"/>
      <c r="AH13" s="93"/>
      <c r="AI13" s="93"/>
      <c r="AJ13" s="93"/>
      <c r="AK13" s="93"/>
      <c r="AL13" s="93"/>
    </row>
  </sheetData>
  <mergeCells count="5">
    <mergeCell ref="F5:H5"/>
    <mergeCell ref="F6:H6"/>
    <mergeCell ref="A1:I1"/>
    <mergeCell ref="G2:H2"/>
    <mergeCell ref="G3:H3"/>
  </mergeCells>
  <dataValidations count="3">
    <dataValidation type="list" allowBlank="1" showInputMessage="1" showErrorMessage="1" sqref="F3" xr:uid="{00000000-0002-0000-0500-000000000000}">
      <formula1>"Add, Update, Block/Unblock"</formula1>
    </dataValidation>
    <dataValidation type="list" allowBlank="1" showInputMessage="1" showErrorMessage="1" sqref="E3" xr:uid="{00000000-0002-0000-0500-000001000000}">
      <formula1>"Upstream, Downstream, International, Corporate, Corporate-Wind"</formula1>
    </dataValidation>
    <dataValidation type="list" allowBlank="1" showInputMessage="1" showErrorMessage="1" sqref="D6" xr:uid="{00000000-0002-0000-0500-000002000000}">
      <formula1>"Summary, Consolidated"</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5" r:id="rId3" name="Button 3">
              <controlPr defaultSize="0" print="0" autoFill="0" autoPict="0" macro="[0]!ClearMDCRFormProfitCenters">
                <anchor moveWithCells="1" sizeWithCells="1">
                  <from>
                    <xdr:col>2</xdr:col>
                    <xdr:colOff>6350</xdr:colOff>
                    <xdr:row>0</xdr:row>
                    <xdr:rowOff>254000</xdr:rowOff>
                  </from>
                  <to>
                    <xdr:col>3</xdr:col>
                    <xdr:colOff>273050</xdr:colOff>
                    <xdr:row>0</xdr:row>
                    <xdr:rowOff>787400</xdr:rowOff>
                  </to>
                </anchor>
              </controlPr>
            </control>
          </mc:Choice>
        </mc:AlternateContent>
        <mc:AlternateContent xmlns:mc="http://schemas.openxmlformats.org/markup-compatibility/2006">
          <mc:Choice Requires="x14">
            <control shapeId="3076" r:id="rId4" name="Button 4">
              <controlPr defaultSize="0" print="0" autoFill="0" autoPict="0" macro="[0]!MDCRFORM">
                <anchor moveWithCells="1" sizeWithCells="1">
                  <from>
                    <xdr:col>6</xdr:col>
                    <xdr:colOff>1530350</xdr:colOff>
                    <xdr:row>0</xdr:row>
                    <xdr:rowOff>101600</xdr:rowOff>
                  </from>
                  <to>
                    <xdr:col>8</xdr:col>
                    <xdr:colOff>6350</xdr:colOff>
                    <xdr:row>1</xdr:row>
                    <xdr:rowOff>0</xdr:rowOff>
                  </to>
                </anchor>
              </controlPr>
            </control>
          </mc:Choice>
        </mc:AlternateContent>
        <mc:AlternateContent xmlns:mc="http://schemas.openxmlformats.org/markup-compatibility/2006">
          <mc:Choice Requires="x14">
            <control shapeId="3080" r:id="rId5" name="Button 8">
              <controlPr defaultSize="0" print="0" autoFill="0" autoPict="0" macro="[0]!MDCRFORMProfitCenter">
                <anchor moveWithCells="1" sizeWithCells="1">
                  <from>
                    <xdr:col>6</xdr:col>
                    <xdr:colOff>1358900</xdr:colOff>
                    <xdr:row>0</xdr:row>
                    <xdr:rowOff>184150</xdr:rowOff>
                  </from>
                  <to>
                    <xdr:col>7</xdr:col>
                    <xdr:colOff>1447800</xdr:colOff>
                    <xdr:row>0</xdr:row>
                    <xdr:rowOff>762000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Title="," error="," promptTitle="," xr:uid="{00000000-0002-0000-0500-000003000000}">
          <x14:formula1>
            <xm:f>'Company Code'!$I$2:$I$38</xm:f>
          </x14:formula1>
          <xm:sqref>E6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N103"/>
  <sheetViews>
    <sheetView zoomScale="70" zoomScaleNormal="70" workbookViewId="0"/>
  </sheetViews>
  <sheetFormatPr defaultColWidth="8.85546875" defaultRowHeight="14.45"/>
  <cols>
    <col min="1" max="1" width="19.42578125" style="483" customWidth="1"/>
    <col min="2" max="2" width="31.42578125" style="476" customWidth="1"/>
    <col min="3" max="3" width="40.5703125" style="476" customWidth="1"/>
    <col min="4" max="4" width="7.5703125" style="476" customWidth="1"/>
    <col min="5" max="5" width="37.5703125" style="476" customWidth="1"/>
    <col min="6" max="6" width="35.85546875" style="476" customWidth="1"/>
    <col min="7" max="7" width="41.5703125" style="476" customWidth="1"/>
    <col min="8" max="8" width="6.42578125" style="476" customWidth="1"/>
    <col min="9" max="9" width="16.85546875" style="476" customWidth="1"/>
    <col min="10" max="10" width="36.5703125" style="476" customWidth="1"/>
    <col min="11" max="11" width="43.42578125" style="476" customWidth="1"/>
    <col min="12" max="12" width="6.42578125" style="476" customWidth="1"/>
    <col min="13" max="13" width="15.42578125" style="483" bestFit="1" customWidth="1"/>
    <col min="14" max="14" width="42" style="534"/>
    <col min="15" max="15" width="5.5703125" style="476" customWidth="1"/>
    <col min="16" max="16384" width="8.85546875" style="476"/>
  </cols>
  <sheetData>
    <row r="1" spans="1:14">
      <c r="A1" s="475" t="s">
        <v>311</v>
      </c>
      <c r="B1" s="475" t="s">
        <v>312</v>
      </c>
      <c r="C1" s="475" t="s">
        <v>313</v>
      </c>
      <c r="E1" s="477" t="s">
        <v>314</v>
      </c>
      <c r="F1" s="473" t="s">
        <v>315</v>
      </c>
      <c r="G1" s="518" t="s">
        <v>316</v>
      </c>
      <c r="I1" s="478" t="s">
        <v>317</v>
      </c>
      <c r="J1" s="478" t="s">
        <v>318</v>
      </c>
      <c r="K1" s="478" t="s">
        <v>319</v>
      </c>
      <c r="M1" s="479" t="s">
        <v>320</v>
      </c>
      <c r="N1" s="479" t="s">
        <v>321</v>
      </c>
    </row>
    <row r="2" spans="1:14">
      <c r="A2" s="471" t="s">
        <v>322</v>
      </c>
      <c r="B2" s="472" t="s">
        <v>323</v>
      </c>
      <c r="C2" s="472" t="str">
        <f>A2 &amp; " - " &amp; B2</f>
        <v>X - Balance Sheet Account</v>
      </c>
      <c r="E2" s="480" t="s">
        <v>324</v>
      </c>
      <c r="F2" s="474">
        <v>1000</v>
      </c>
      <c r="G2" s="520"/>
      <c r="I2" s="481" t="s">
        <v>325</v>
      </c>
      <c r="J2" s="481" t="s">
        <v>326</v>
      </c>
      <c r="K2" s="481" t="str">
        <f>I2 &amp; " - " &amp; J2</f>
        <v>SEC0 - All Fields optional</v>
      </c>
      <c r="M2" s="533"/>
      <c r="N2" s="533"/>
    </row>
    <row r="3" spans="1:14">
      <c r="A3" s="471" t="s">
        <v>327</v>
      </c>
      <c r="B3" s="472" t="s">
        <v>328</v>
      </c>
      <c r="C3" s="472" t="str">
        <f t="shared" ref="C3:C5" si="0">A3 &amp; " - " &amp; B3</f>
        <v>N - Nonoperating Expense or Income</v>
      </c>
      <c r="E3" s="480" t="s">
        <v>329</v>
      </c>
      <c r="G3" s="519" t="s">
        <v>330</v>
      </c>
      <c r="I3" s="481" t="s">
        <v>331</v>
      </c>
      <c r="J3" s="481" t="s">
        <v>332</v>
      </c>
      <c r="K3" s="481" t="str">
        <f t="shared" ref="K3:K48" si="1">I3 &amp; " - " &amp; J3</f>
        <v>SECC - Secondary GL</v>
      </c>
      <c r="M3" s="533"/>
      <c r="N3" s="533"/>
    </row>
    <row r="4" spans="1:14">
      <c r="A4" s="471" t="s">
        <v>333</v>
      </c>
      <c r="B4" s="472" t="s">
        <v>334</v>
      </c>
      <c r="C4" s="472" t="str">
        <f t="shared" si="0"/>
        <v>P - Primary Costs or Revenue</v>
      </c>
      <c r="G4" s="519" t="s">
        <v>335</v>
      </c>
      <c r="I4" s="481" t="s">
        <v>336</v>
      </c>
      <c r="J4" s="481" t="s">
        <v>337</v>
      </c>
      <c r="K4" s="481" t="str">
        <f t="shared" si="1"/>
        <v>YB01 - General (with text &amp; assignment)</v>
      </c>
      <c r="M4" s="533"/>
      <c r="N4" s="533"/>
    </row>
    <row r="5" spans="1:14">
      <c r="A5" s="471" t="s">
        <v>338</v>
      </c>
      <c r="B5" s="472" t="s">
        <v>339</v>
      </c>
      <c r="C5" s="472" t="str">
        <f t="shared" si="0"/>
        <v>S - Secondary Costs</v>
      </c>
      <c r="I5" s="481" t="s">
        <v>340</v>
      </c>
      <c r="J5" s="481" t="s">
        <v>341</v>
      </c>
      <c r="K5" s="481" t="str">
        <f t="shared" si="1"/>
        <v>YB03 - Material consumption accounts</v>
      </c>
      <c r="M5" s="533"/>
      <c r="N5" s="533"/>
    </row>
    <row r="6" spans="1:14">
      <c r="E6" s="482" t="s">
        <v>342</v>
      </c>
      <c r="F6" s="482" t="s">
        <v>343</v>
      </c>
      <c r="G6" s="482" t="s">
        <v>344</v>
      </c>
      <c r="I6" s="481" t="s">
        <v>345</v>
      </c>
      <c r="J6" s="481" t="s">
        <v>346</v>
      </c>
      <c r="K6" s="481" t="str">
        <f t="shared" si="1"/>
        <v>YB04 - Cost accounts</v>
      </c>
      <c r="M6" s="533"/>
      <c r="N6" s="533"/>
    </row>
    <row r="7" spans="1:14">
      <c r="A7" s="486" t="s">
        <v>347</v>
      </c>
      <c r="B7" s="487" t="s">
        <v>348</v>
      </c>
      <c r="C7" s="487" t="s">
        <v>349</v>
      </c>
      <c r="E7" s="490"/>
      <c r="F7" s="485"/>
      <c r="G7" s="485"/>
      <c r="I7" s="481" t="s">
        <v>350</v>
      </c>
      <c r="J7" s="481" t="s">
        <v>351</v>
      </c>
      <c r="K7" s="481" t="str">
        <f t="shared" si="1"/>
        <v>YB05 - Bank accounts (obligatory value date)</v>
      </c>
      <c r="M7" s="533"/>
      <c r="N7" s="533"/>
    </row>
    <row r="8" spans="1:14">
      <c r="A8" s="488" t="s">
        <v>352</v>
      </c>
      <c r="B8" s="489" t="s">
        <v>353</v>
      </c>
      <c r="C8" s="489" t="str">
        <f>A8 &amp; " - " &amp; B8</f>
        <v>ABST - Recon.account AP/AR</v>
      </c>
      <c r="D8" s="469"/>
      <c r="E8" s="484">
        <v>1</v>
      </c>
      <c r="F8" s="485" t="s">
        <v>354</v>
      </c>
      <c r="G8" s="485" t="str">
        <f>E8 &amp; " - " &amp; F8</f>
        <v>1 - Primary costs/cost-reducing revenues</v>
      </c>
      <c r="I8" s="481" t="s">
        <v>355</v>
      </c>
      <c r="J8" s="481" t="s">
        <v>356</v>
      </c>
      <c r="K8" s="481" t="str">
        <f t="shared" si="1"/>
        <v>YB06 - Material accounts</v>
      </c>
      <c r="M8" s="533"/>
      <c r="N8" s="533"/>
    </row>
    <row r="9" spans="1:14">
      <c r="A9" s="488" t="s">
        <v>357</v>
      </c>
      <c r="B9" s="489" t="s">
        <v>358</v>
      </c>
      <c r="C9" s="489" t="str">
        <f t="shared" ref="C9:C68" si="2">A9 &amp; " - " &amp; B9</f>
        <v>ANL. - Fixed assets accounts</v>
      </c>
      <c r="E9" s="484">
        <v>3</v>
      </c>
      <c r="F9" s="485" t="s">
        <v>359</v>
      </c>
      <c r="G9" s="485" t="str">
        <f t="shared" ref="G9:G23" si="3">E9 &amp; " - " &amp; F9</f>
        <v>3 - Accrual/deferral per surcharge</v>
      </c>
      <c r="I9" s="481" t="s">
        <v>360</v>
      </c>
      <c r="J9" s="481" t="s">
        <v>361</v>
      </c>
      <c r="K9" s="481" t="str">
        <f t="shared" si="1"/>
        <v>YB07 - Asset accts (w/o accumulated depreciatn)</v>
      </c>
      <c r="M9" s="533"/>
      <c r="N9" s="533"/>
    </row>
    <row r="10" spans="1:14">
      <c r="A10" s="488" t="s">
        <v>362</v>
      </c>
      <c r="B10" s="489" t="s">
        <v>363</v>
      </c>
      <c r="C10" s="489" t="str">
        <f t="shared" si="2"/>
        <v>ERG. - Income statement accounts</v>
      </c>
      <c r="E10" s="484">
        <v>4</v>
      </c>
      <c r="F10" s="485" t="s">
        <v>364</v>
      </c>
      <c r="G10" s="485" t="str">
        <f t="shared" si="3"/>
        <v>4 - Accrual/deferral per debit = actual</v>
      </c>
      <c r="I10" s="481" t="s">
        <v>365</v>
      </c>
      <c r="J10" s="481" t="s">
        <v>366</v>
      </c>
      <c r="K10" s="481" t="str">
        <f t="shared" si="1"/>
        <v>YB08 - Assets area clearing accounts</v>
      </c>
      <c r="M10" s="533"/>
      <c r="N10" s="533"/>
    </row>
    <row r="11" spans="1:14">
      <c r="A11" s="488" t="s">
        <v>367</v>
      </c>
      <c r="B11" s="489" t="s">
        <v>368</v>
      </c>
      <c r="C11" s="489" t="str">
        <f t="shared" si="2"/>
        <v>FIN. - Liquid funds accounts</v>
      </c>
      <c r="E11" s="490">
        <v>11</v>
      </c>
      <c r="F11" s="485" t="s">
        <v>369</v>
      </c>
      <c r="G11" s="485" t="str">
        <f t="shared" si="3"/>
        <v>11 - Revenues</v>
      </c>
      <c r="I11" s="481" t="s">
        <v>370</v>
      </c>
      <c r="J11" s="481" t="s">
        <v>371</v>
      </c>
      <c r="K11" s="481" t="str">
        <f t="shared" si="1"/>
        <v>YB09 - Bank accounts (obligatory due date)</v>
      </c>
      <c r="M11" s="533"/>
      <c r="N11" s="533"/>
    </row>
    <row r="12" spans="1:14">
      <c r="A12" s="488" t="s">
        <v>372</v>
      </c>
      <c r="B12" s="489" t="s">
        <v>373</v>
      </c>
      <c r="C12" s="489" t="str">
        <f t="shared" si="2"/>
        <v>MAT. - Materials management accounts</v>
      </c>
      <c r="E12" s="490">
        <v>12</v>
      </c>
      <c r="F12" s="485" t="s">
        <v>374</v>
      </c>
      <c r="G12" s="485" t="str">
        <f t="shared" si="3"/>
        <v>12 - Sales Deduction</v>
      </c>
      <c r="I12" s="481" t="s">
        <v>375</v>
      </c>
      <c r="J12" s="481" t="s">
        <v>376</v>
      </c>
      <c r="K12" s="481" t="str">
        <f t="shared" si="1"/>
        <v>YB11 - Clearing accounts (with settlement per.)</v>
      </c>
      <c r="M12" s="533"/>
      <c r="N12" s="533"/>
    </row>
    <row r="13" spans="1:14">
      <c r="A13" s="488" t="s">
        <v>377</v>
      </c>
      <c r="B13" s="489" t="s">
        <v>378</v>
      </c>
      <c r="C13" s="489" t="str">
        <f t="shared" si="2"/>
        <v>RECN - ReconAcct ARAP Ready for Input</v>
      </c>
      <c r="E13" s="490">
        <v>22</v>
      </c>
      <c r="F13" s="485" t="s">
        <v>379</v>
      </c>
      <c r="G13" s="485" t="str">
        <f t="shared" si="3"/>
        <v>22 - External Settlement</v>
      </c>
      <c r="I13" s="481" t="s">
        <v>380</v>
      </c>
      <c r="J13" s="481" t="s">
        <v>381</v>
      </c>
      <c r="K13" s="481" t="str">
        <f t="shared" si="1"/>
        <v>YB12 - Receivables/payables clearing</v>
      </c>
      <c r="M13" s="533"/>
      <c r="N13" s="533"/>
    </row>
    <row r="14" spans="1:14">
      <c r="A14" s="488" t="s">
        <v>382</v>
      </c>
      <c r="B14" s="489" t="s">
        <v>383</v>
      </c>
      <c r="C14" s="489" t="str">
        <f t="shared" si="2"/>
        <v>SAKO - G/L accounts (general)</v>
      </c>
      <c r="E14" s="490">
        <v>21</v>
      </c>
      <c r="F14" s="485" t="s">
        <v>384</v>
      </c>
      <c r="G14" s="485" t="str">
        <f t="shared" si="3"/>
        <v>21 - Internal Settlement</v>
      </c>
      <c r="I14" s="481" t="s">
        <v>385</v>
      </c>
      <c r="J14" s="481" t="s">
        <v>386</v>
      </c>
      <c r="K14" s="481" t="str">
        <f t="shared" si="1"/>
        <v>YB13 - General (obligatory text)</v>
      </c>
      <c r="M14" s="533"/>
      <c r="N14" s="533"/>
    </row>
    <row r="15" spans="1:14">
      <c r="A15" s="488" t="s">
        <v>387</v>
      </c>
      <c r="B15" s="489" t="s">
        <v>388</v>
      </c>
      <c r="C15" s="489" t="str">
        <f t="shared" si="2"/>
        <v>SASL - G/L accounts (ledger-spec. OI)</v>
      </c>
      <c r="E15" s="490">
        <v>31</v>
      </c>
      <c r="F15" s="485" t="s">
        <v>389</v>
      </c>
      <c r="G15" s="485" t="str">
        <f t="shared" si="3"/>
        <v>31 - Order/project results analysis</v>
      </c>
      <c r="I15" s="481" t="s">
        <v>390</v>
      </c>
      <c r="J15" s="481" t="s">
        <v>391</v>
      </c>
      <c r="K15" s="481" t="str">
        <f t="shared" si="1"/>
        <v>YB14 - MM adjustment accounts</v>
      </c>
      <c r="M15" s="533"/>
      <c r="N15" s="533"/>
    </row>
    <row r="16" spans="1:14">
      <c r="A16" s="488" t="s">
        <v>331</v>
      </c>
      <c r="B16" s="489" t="s">
        <v>392</v>
      </c>
      <c r="C16" s="489" t="str">
        <f t="shared" si="2"/>
        <v>SECC - Secondary costs / revenues</v>
      </c>
      <c r="E16" s="490">
        <v>41</v>
      </c>
      <c r="F16" s="485" t="s">
        <v>393</v>
      </c>
      <c r="G16" s="485" t="str">
        <f t="shared" si="3"/>
        <v>41 - Overhead rates</v>
      </c>
      <c r="I16" s="481" t="s">
        <v>394</v>
      </c>
      <c r="J16" s="481" t="s">
        <v>395</v>
      </c>
      <c r="K16" s="481" t="str">
        <f t="shared" si="1"/>
        <v>YB17 - Freight/customs provisions/clearing (MM)</v>
      </c>
      <c r="M16" s="533"/>
      <c r="N16" s="533"/>
    </row>
    <row r="17" spans="1:14">
      <c r="E17" s="490">
        <v>42</v>
      </c>
      <c r="F17" s="485" t="s">
        <v>396</v>
      </c>
      <c r="G17" s="485" t="str">
        <f t="shared" si="3"/>
        <v>42 - Assessment</v>
      </c>
      <c r="I17" s="481" t="s">
        <v>397</v>
      </c>
      <c r="J17" s="481" t="s">
        <v>398</v>
      </c>
      <c r="K17" s="481" t="str">
        <f t="shared" si="1"/>
        <v>YB18 - Scrapping (MM)</v>
      </c>
      <c r="M17" s="533"/>
      <c r="N17" s="533"/>
    </row>
    <row r="18" spans="1:14">
      <c r="A18" s="491" t="s">
        <v>145</v>
      </c>
      <c r="B18" s="492" t="s">
        <v>399</v>
      </c>
      <c r="C18" s="492" t="s">
        <v>400</v>
      </c>
      <c r="E18" s="490">
        <v>43</v>
      </c>
      <c r="F18" s="485" t="s">
        <v>401</v>
      </c>
      <c r="G18" s="485" t="str">
        <f t="shared" si="3"/>
        <v>43 - Internal activity allocation</v>
      </c>
      <c r="I18" s="481" t="s">
        <v>402</v>
      </c>
      <c r="J18" s="481" t="s">
        <v>403</v>
      </c>
      <c r="K18" s="481" t="str">
        <f t="shared" si="1"/>
        <v>YB19 - Other receivables/payables</v>
      </c>
      <c r="M18" s="533"/>
      <c r="N18" s="533"/>
    </row>
    <row r="19" spans="1:14" ht="29.1">
      <c r="A19" s="493"/>
      <c r="B19" s="494"/>
      <c r="C19" s="494"/>
      <c r="E19" s="490">
        <v>50</v>
      </c>
      <c r="F19" s="485" t="s">
        <v>404</v>
      </c>
      <c r="G19" s="485" t="str">
        <f t="shared" si="3"/>
        <v>50 - Project-related incoming orders: Sales revenue</v>
      </c>
      <c r="I19" s="481" t="s">
        <v>405</v>
      </c>
      <c r="J19" s="481" t="s">
        <v>406</v>
      </c>
      <c r="K19" s="481" t="str">
        <f t="shared" si="1"/>
        <v>YB23 - Plant maintenance accounts</v>
      </c>
      <c r="M19" s="533"/>
      <c r="N19" s="533"/>
    </row>
    <row r="20" spans="1:14" ht="29.1">
      <c r="A20" s="493" t="s">
        <v>407</v>
      </c>
      <c r="B20" s="494" t="s">
        <v>408</v>
      </c>
      <c r="C20" s="494" t="str">
        <f t="shared" si="2"/>
        <v>YB10 - Sales Revenue</v>
      </c>
      <c r="E20" s="490">
        <v>51</v>
      </c>
      <c r="F20" s="485" t="s">
        <v>409</v>
      </c>
      <c r="G20" s="485" t="str">
        <f t="shared" si="3"/>
        <v>51 - Project-related incoming orders: Other revenues</v>
      </c>
      <c r="I20" s="481" t="s">
        <v>410</v>
      </c>
      <c r="J20" s="481" t="s">
        <v>411</v>
      </c>
      <c r="K20" s="481" t="str">
        <f t="shared" si="1"/>
        <v>YB25 - Inventory adjustment accounts</v>
      </c>
      <c r="M20" s="533"/>
      <c r="N20" s="533"/>
    </row>
    <row r="21" spans="1:14">
      <c r="A21" s="493" t="s">
        <v>412</v>
      </c>
      <c r="B21" s="494" t="s">
        <v>413</v>
      </c>
      <c r="C21" s="494" t="str">
        <f t="shared" si="2"/>
        <v>YB15 - Sales discounts and allow</v>
      </c>
      <c r="E21" s="490">
        <v>52</v>
      </c>
      <c r="F21" s="485" t="s">
        <v>414</v>
      </c>
      <c r="G21" s="485" t="str">
        <f t="shared" si="3"/>
        <v>52 - Project-related incoming orders: Costs</v>
      </c>
      <c r="I21" s="481" t="s">
        <v>415</v>
      </c>
      <c r="J21" s="481" t="s">
        <v>416</v>
      </c>
      <c r="K21" s="481" t="str">
        <f t="shared" si="1"/>
        <v>YB26 - Accounts for down payments made</v>
      </c>
      <c r="M21" s="533"/>
      <c r="N21" s="533"/>
    </row>
    <row r="22" spans="1:14">
      <c r="A22" s="493" t="s">
        <v>417</v>
      </c>
      <c r="B22" s="494" t="s">
        <v>418</v>
      </c>
      <c r="C22" s="494" t="str">
        <f t="shared" si="2"/>
        <v>YB20 - Cost of Goods Sold</v>
      </c>
      <c r="E22" s="490">
        <v>61</v>
      </c>
      <c r="F22" s="485" t="s">
        <v>419</v>
      </c>
      <c r="G22" s="485" t="str">
        <f t="shared" si="3"/>
        <v>61 - Earned Value</v>
      </c>
      <c r="I22" s="481" t="s">
        <v>420</v>
      </c>
      <c r="J22" s="481" t="s">
        <v>421</v>
      </c>
      <c r="K22" s="481" t="str">
        <f t="shared" si="1"/>
        <v>YB29 - Revenue accounts</v>
      </c>
      <c r="M22" s="533"/>
      <c r="N22" s="533"/>
    </row>
    <row r="23" spans="1:14">
      <c r="A23" s="493" t="s">
        <v>410</v>
      </c>
      <c r="B23" s="494" t="s">
        <v>422</v>
      </c>
      <c r="C23" s="494" t="str">
        <f t="shared" si="2"/>
        <v>YB25 - Consulting Services</v>
      </c>
      <c r="E23" s="490">
        <v>66</v>
      </c>
      <c r="F23" s="485" t="s">
        <v>423</v>
      </c>
      <c r="G23" s="485" t="str">
        <f t="shared" si="3"/>
        <v>66 - Reporting Cost Elements CO-PA</v>
      </c>
      <c r="I23" s="481" t="s">
        <v>424</v>
      </c>
      <c r="J23" s="481" t="s">
        <v>425</v>
      </c>
      <c r="K23" s="481" t="str">
        <f t="shared" si="1"/>
        <v>YB30 - Change in stock accounts</v>
      </c>
      <c r="M23" s="533"/>
      <c r="N23" s="533"/>
    </row>
    <row r="24" spans="1:14">
      <c r="A24" s="493" t="s">
        <v>424</v>
      </c>
      <c r="B24" s="494" t="s">
        <v>426</v>
      </c>
      <c r="C24" s="494" t="str">
        <f t="shared" si="2"/>
        <v>YB30 - Sales and Distribution</v>
      </c>
      <c r="I24" s="481" t="s">
        <v>427</v>
      </c>
      <c r="J24" s="481" t="s">
        <v>428</v>
      </c>
      <c r="K24" s="481" t="str">
        <f t="shared" si="1"/>
        <v>YB31 - Accounts for down payments received</v>
      </c>
      <c r="M24" s="533"/>
      <c r="N24" s="533"/>
    </row>
    <row r="25" spans="1:14">
      <c r="A25" s="493" t="s">
        <v>429</v>
      </c>
      <c r="B25" s="494" t="s">
        <v>430</v>
      </c>
      <c r="C25" s="494" t="str">
        <f t="shared" si="2"/>
        <v>YB35 - Marketing</v>
      </c>
      <c r="E25" s="495" t="s">
        <v>431</v>
      </c>
      <c r="F25" s="496" t="s">
        <v>432</v>
      </c>
      <c r="G25" s="496" t="s">
        <v>433</v>
      </c>
      <c r="I25" s="481" t="s">
        <v>434</v>
      </c>
      <c r="J25" s="481" t="s">
        <v>435</v>
      </c>
      <c r="K25" s="481" t="str">
        <f t="shared" si="1"/>
        <v>YB32 - Bank accounts (obligat.value/due dates)</v>
      </c>
      <c r="M25" s="533"/>
      <c r="N25" s="533"/>
    </row>
    <row r="26" spans="1:14">
      <c r="A26" s="493" t="s">
        <v>436</v>
      </c>
      <c r="B26" s="494" t="s">
        <v>437</v>
      </c>
      <c r="C26" s="494" t="str">
        <f t="shared" si="2"/>
        <v>YB40 - General &amp; Admin</v>
      </c>
      <c r="E26" s="497" t="s">
        <v>438</v>
      </c>
      <c r="F26" s="498" t="s">
        <v>439</v>
      </c>
      <c r="G26" s="498" t="str">
        <f>E26 &amp; " - " &amp; F26</f>
        <v>000 - Allocation number</v>
      </c>
      <c r="I26" s="481" t="s">
        <v>440</v>
      </c>
      <c r="J26" s="481" t="s">
        <v>441</v>
      </c>
      <c r="K26" s="481" t="str">
        <f t="shared" si="1"/>
        <v>YB33 - Cost accounts for external services</v>
      </c>
      <c r="M26" s="533"/>
      <c r="N26" s="533"/>
    </row>
    <row r="27" spans="1:14">
      <c r="A27" s="493" t="s">
        <v>442</v>
      </c>
      <c r="B27" s="494" t="s">
        <v>443</v>
      </c>
      <c r="C27" s="494" t="str">
        <f t="shared" si="2"/>
        <v>YB41 - Selling &amp; Marketing</v>
      </c>
      <c r="E27" s="497" t="s">
        <v>444</v>
      </c>
      <c r="F27" s="498" t="s">
        <v>445</v>
      </c>
      <c r="G27" s="498" t="str">
        <f t="shared" ref="G27:G61" si="4">E27 &amp; " - " &amp; F27</f>
        <v>001 - Posting date</v>
      </c>
      <c r="I27" s="481" t="s">
        <v>446</v>
      </c>
      <c r="J27" s="481" t="s">
        <v>447</v>
      </c>
      <c r="K27" s="481" t="str">
        <f t="shared" si="1"/>
        <v>YB36 - Revenue accts (with cost center)</v>
      </c>
      <c r="M27" s="533"/>
      <c r="N27" s="533"/>
    </row>
    <row r="28" spans="1:14">
      <c r="A28" s="493" t="s">
        <v>448</v>
      </c>
      <c r="B28" s="494" t="s">
        <v>449</v>
      </c>
      <c r="C28" s="494" t="str">
        <f t="shared" si="2"/>
        <v>YB42 - Retail</v>
      </c>
      <c r="E28" s="497" t="s">
        <v>450</v>
      </c>
      <c r="F28" s="498" t="s">
        <v>451</v>
      </c>
      <c r="G28" s="498" t="str">
        <f t="shared" si="4"/>
        <v>002 - Doc.no., fiscal year</v>
      </c>
      <c r="I28" s="481" t="s">
        <v>452</v>
      </c>
      <c r="J28" s="481" t="s">
        <v>453</v>
      </c>
      <c r="K28" s="481" t="str">
        <f t="shared" si="1"/>
        <v>YB39 - Accts for pmnts on acct made for assets</v>
      </c>
      <c r="M28" s="533"/>
      <c r="N28" s="533"/>
    </row>
    <row r="29" spans="1:14">
      <c r="A29" s="493" t="s">
        <v>454</v>
      </c>
      <c r="B29" s="494" t="s">
        <v>455</v>
      </c>
      <c r="C29" s="494" t="str">
        <f t="shared" si="2"/>
        <v>YB43 - Wholesale</v>
      </c>
      <c r="E29" s="497" t="s">
        <v>456</v>
      </c>
      <c r="F29" s="498" t="s">
        <v>457</v>
      </c>
      <c r="G29" s="498" t="str">
        <f t="shared" si="4"/>
        <v>003 - Document date</v>
      </c>
      <c r="I29" s="481" t="s">
        <v>436</v>
      </c>
      <c r="J29" s="481" t="s">
        <v>458</v>
      </c>
      <c r="K29" s="481" t="str">
        <f t="shared" si="1"/>
        <v>YB40 - Personnel clearing accounts</v>
      </c>
      <c r="M29" s="533"/>
      <c r="N29" s="533"/>
    </row>
    <row r="30" spans="1:14">
      <c r="A30" s="493" t="s">
        <v>459</v>
      </c>
      <c r="B30" s="494" t="s">
        <v>460</v>
      </c>
      <c r="C30" s="494" t="str">
        <f t="shared" si="2"/>
        <v>YB44 - Product Costing</v>
      </c>
      <c r="E30" s="497" t="s">
        <v>461</v>
      </c>
      <c r="F30" s="498" t="s">
        <v>462</v>
      </c>
      <c r="G30" s="498" t="str">
        <f t="shared" si="4"/>
        <v>004 - Branch account</v>
      </c>
      <c r="I30" s="481" t="s">
        <v>442</v>
      </c>
      <c r="J30" s="481" t="s">
        <v>463</v>
      </c>
      <c r="K30" s="481" t="str">
        <f t="shared" si="1"/>
        <v>YB41 - Tax office clearing accounts</v>
      </c>
      <c r="M30" s="533"/>
      <c r="N30" s="533"/>
    </row>
    <row r="31" spans="1:14">
      <c r="A31" s="493" t="s">
        <v>464</v>
      </c>
      <c r="B31" s="494" t="s">
        <v>465</v>
      </c>
      <c r="C31" s="494" t="str">
        <f t="shared" si="2"/>
        <v>YB45 - Operating</v>
      </c>
      <c r="E31" s="497" t="s">
        <v>466</v>
      </c>
      <c r="F31" s="498" t="s">
        <v>467</v>
      </c>
      <c r="G31" s="498" t="str">
        <f t="shared" si="4"/>
        <v>005 - Loc.currency amount</v>
      </c>
      <c r="I31" s="481" t="s">
        <v>464</v>
      </c>
      <c r="J31" s="481" t="s">
        <v>468</v>
      </c>
      <c r="K31" s="481" t="str">
        <f t="shared" si="1"/>
        <v>YB45 - Goods/invoice received clearing accounts</v>
      </c>
      <c r="M31" s="533"/>
      <c r="N31" s="533"/>
    </row>
    <row r="32" spans="1:14">
      <c r="A32" s="493" t="s">
        <v>469</v>
      </c>
      <c r="B32" s="494" t="s">
        <v>470</v>
      </c>
      <c r="C32" s="494" t="str">
        <f t="shared" si="2"/>
        <v>YB46 - Maintenance</v>
      </c>
      <c r="E32" s="497" t="s">
        <v>471</v>
      </c>
      <c r="F32" s="498" t="s">
        <v>472</v>
      </c>
      <c r="G32" s="498" t="str">
        <f t="shared" si="4"/>
        <v>006 - Doc.currency amount</v>
      </c>
      <c r="I32" s="481" t="s">
        <v>473</v>
      </c>
      <c r="J32" s="481" t="s">
        <v>474</v>
      </c>
      <c r="K32" s="481" t="str">
        <f t="shared" si="1"/>
        <v>YB49 - Manufacturing costs accounts</v>
      </c>
      <c r="M32" s="533"/>
      <c r="N32" s="533"/>
    </row>
    <row r="33" spans="1:14">
      <c r="A33" s="493" t="s">
        <v>475</v>
      </c>
      <c r="B33" s="494" t="s">
        <v>476</v>
      </c>
      <c r="C33" s="494" t="str">
        <f t="shared" si="2"/>
        <v>YB47 - Engineering</v>
      </c>
      <c r="E33" s="497" t="s">
        <v>477</v>
      </c>
      <c r="F33" s="498" t="s">
        <v>478</v>
      </c>
      <c r="G33" s="498" t="str">
        <f t="shared" si="4"/>
        <v>007 - Bill/exch.due date</v>
      </c>
      <c r="I33" s="481" t="s">
        <v>479</v>
      </c>
      <c r="J33" s="481" t="s">
        <v>480</v>
      </c>
      <c r="K33" s="481" t="str">
        <f t="shared" si="1"/>
        <v>YB50 - Central control clearing accounts</v>
      </c>
      <c r="M33" s="533"/>
      <c r="N33" s="533"/>
    </row>
    <row r="34" spans="1:14">
      <c r="A34" s="493" t="s">
        <v>481</v>
      </c>
      <c r="B34" s="494" t="s">
        <v>482</v>
      </c>
      <c r="C34" s="494" t="str">
        <f t="shared" si="2"/>
        <v>YB48 - Technology Development</v>
      </c>
      <c r="E34" s="497" t="s">
        <v>483</v>
      </c>
      <c r="F34" s="498" t="s">
        <v>484</v>
      </c>
      <c r="G34" s="498" t="str">
        <f t="shared" si="4"/>
        <v>008 - Cost center</v>
      </c>
      <c r="I34" s="481" t="s">
        <v>485</v>
      </c>
      <c r="J34" s="481" t="s">
        <v>486</v>
      </c>
      <c r="K34" s="481" t="str">
        <f t="shared" si="1"/>
        <v>YB52 - Accounts for fixed asset retirement</v>
      </c>
      <c r="M34" s="533"/>
      <c r="N34" s="533"/>
    </row>
    <row r="35" spans="1:14">
      <c r="A35" s="493" t="s">
        <v>473</v>
      </c>
      <c r="B35" s="494" t="s">
        <v>487</v>
      </c>
      <c r="C35" s="494" t="str">
        <f t="shared" si="2"/>
        <v>YB49 - Infrastructure Development</v>
      </c>
      <c r="E35" s="497" t="s">
        <v>488</v>
      </c>
      <c r="F35" s="498" t="s">
        <v>489</v>
      </c>
      <c r="G35" s="498" t="str">
        <f t="shared" si="4"/>
        <v>009 - External doc.number</v>
      </c>
      <c r="I35" s="481" t="s">
        <v>490</v>
      </c>
      <c r="J35" s="481" t="s">
        <v>491</v>
      </c>
      <c r="K35" s="481" t="str">
        <f t="shared" si="1"/>
        <v>YB56 - Amortization accounts</v>
      </c>
      <c r="M35" s="533"/>
      <c r="N35" s="533"/>
    </row>
    <row r="36" spans="1:14">
      <c r="A36" s="493" t="s">
        <v>479</v>
      </c>
      <c r="B36" s="494" t="s">
        <v>492</v>
      </c>
      <c r="C36" s="494" t="str">
        <f t="shared" si="2"/>
        <v>YB50 - Research &amp; Development</v>
      </c>
      <c r="E36" s="497" t="s">
        <v>493</v>
      </c>
      <c r="F36" s="498" t="s">
        <v>494</v>
      </c>
      <c r="G36" s="498" t="str">
        <f t="shared" si="4"/>
        <v>010 - Purchase order no.</v>
      </c>
      <c r="I36" s="481" t="s">
        <v>495</v>
      </c>
      <c r="J36" s="481" t="s">
        <v>496</v>
      </c>
      <c r="K36" s="481" t="str">
        <f t="shared" si="1"/>
        <v>YB59 - Inventory accounting material stock acct</v>
      </c>
      <c r="M36" s="533"/>
      <c r="N36" s="533"/>
    </row>
    <row r="37" spans="1:14">
      <c r="A37" s="493" t="s">
        <v>497</v>
      </c>
      <c r="B37" s="494" t="s">
        <v>498</v>
      </c>
      <c r="C37" s="494" t="str">
        <f t="shared" si="2"/>
        <v>YB51 - Energy Trading</v>
      </c>
      <c r="E37" s="497" t="s">
        <v>499</v>
      </c>
      <c r="F37" s="498" t="s">
        <v>500</v>
      </c>
      <c r="G37" s="498" t="str">
        <f t="shared" si="4"/>
        <v>011 - Plant number</v>
      </c>
      <c r="I37" s="481" t="s">
        <v>501</v>
      </c>
      <c r="J37" s="481" t="s">
        <v>502</v>
      </c>
      <c r="K37" s="481" t="str">
        <f t="shared" si="1"/>
        <v>YB62 - Investment support accounts</v>
      </c>
      <c r="M37" s="533"/>
      <c r="N37" s="533"/>
    </row>
    <row r="38" spans="1:14">
      <c r="A38" s="493" t="s">
        <v>485</v>
      </c>
      <c r="B38" s="494" t="s">
        <v>503</v>
      </c>
      <c r="C38" s="494" t="str">
        <f t="shared" si="2"/>
        <v>YB52 - Transportation</v>
      </c>
      <c r="E38" s="497" t="s">
        <v>504</v>
      </c>
      <c r="F38" s="498" t="s">
        <v>505</v>
      </c>
      <c r="G38" s="498" t="str">
        <f t="shared" si="4"/>
        <v>012 - Vendor number</v>
      </c>
      <c r="I38" s="481" t="s">
        <v>506</v>
      </c>
      <c r="J38" s="481" t="s">
        <v>507</v>
      </c>
      <c r="K38" s="481" t="str">
        <f t="shared" si="1"/>
        <v>YB64 - Other cost accounts (obligatory text)</v>
      </c>
      <c r="M38" s="533"/>
      <c r="N38" s="533"/>
    </row>
    <row r="39" spans="1:14">
      <c r="A39" s="493" t="s">
        <v>508</v>
      </c>
      <c r="B39" s="494" t="s">
        <v>509</v>
      </c>
      <c r="C39" s="494" t="str">
        <f t="shared" si="2"/>
        <v>YB53 - Commisioning and Start Up</v>
      </c>
      <c r="E39" s="497" t="s">
        <v>510</v>
      </c>
      <c r="F39" s="498" t="s">
        <v>511</v>
      </c>
      <c r="G39" s="498" t="str">
        <f t="shared" si="4"/>
        <v>014 - Purchase order</v>
      </c>
      <c r="I39" s="481" t="s">
        <v>512</v>
      </c>
      <c r="J39" s="481" t="s">
        <v>513</v>
      </c>
      <c r="K39" s="481" t="str">
        <f t="shared" si="1"/>
        <v>YB65 - Provisions</v>
      </c>
      <c r="M39" s="533"/>
      <c r="N39" s="533"/>
    </row>
    <row r="40" spans="1:14">
      <c r="A40" s="493" t="s">
        <v>514</v>
      </c>
      <c r="B40" s="494" t="s">
        <v>515</v>
      </c>
      <c r="C40" s="494" t="str">
        <f t="shared" si="2"/>
        <v>YB54 - Safe Mode</v>
      </c>
      <c r="E40" s="497" t="s">
        <v>516</v>
      </c>
      <c r="F40" s="498" t="s">
        <v>517</v>
      </c>
      <c r="G40" s="498" t="str">
        <f t="shared" si="4"/>
        <v>015 - Personnel number</v>
      </c>
      <c r="I40" s="481" t="s">
        <v>518</v>
      </c>
      <c r="J40" s="481" t="s">
        <v>519</v>
      </c>
      <c r="K40" s="481" t="str">
        <f t="shared" si="1"/>
        <v>YB67 - Reconciliation accounts</v>
      </c>
      <c r="M40" s="533"/>
      <c r="N40" s="533"/>
    </row>
    <row r="41" spans="1:14">
      <c r="A41" s="493" t="s">
        <v>520</v>
      </c>
      <c r="B41" s="494" t="s">
        <v>521</v>
      </c>
      <c r="C41" s="494" t="str">
        <f t="shared" si="2"/>
        <v>YB55 - Exploration</v>
      </c>
      <c r="E41" s="497" t="s">
        <v>522</v>
      </c>
      <c r="F41" s="498" t="s">
        <v>523</v>
      </c>
      <c r="G41" s="498" t="str">
        <f t="shared" si="4"/>
        <v>016 - Settlement period</v>
      </c>
      <c r="I41" s="481" t="s">
        <v>524</v>
      </c>
      <c r="J41" s="481" t="s">
        <v>525</v>
      </c>
      <c r="K41" s="481" t="str">
        <f t="shared" si="1"/>
        <v>YB68 - Reconciliatn accts (payables - Austria)</v>
      </c>
      <c r="M41" s="533"/>
      <c r="N41" s="533"/>
    </row>
    <row r="42" spans="1:14">
      <c r="A42" s="493" t="s">
        <v>526</v>
      </c>
      <c r="B42" s="494" t="s">
        <v>527</v>
      </c>
      <c r="C42" s="494" t="str">
        <f t="shared" si="2"/>
        <v>YB70 - Other gains</v>
      </c>
      <c r="E42" s="497" t="s">
        <v>528</v>
      </c>
      <c r="F42" s="498" t="s">
        <v>529</v>
      </c>
      <c r="G42" s="498" t="str">
        <f t="shared" si="4"/>
        <v>017 - Settl.per., pers.no.</v>
      </c>
      <c r="I42" s="481" t="s">
        <v>530</v>
      </c>
      <c r="J42" s="481" t="s">
        <v>531</v>
      </c>
      <c r="K42" s="481" t="str">
        <f t="shared" si="1"/>
        <v>YB69 - Cost accounts (travel expenses)</v>
      </c>
      <c r="M42" s="533"/>
      <c r="N42" s="533"/>
    </row>
    <row r="43" spans="1:14">
      <c r="A43" s="493" t="s">
        <v>532</v>
      </c>
      <c r="B43" s="494" t="s">
        <v>533</v>
      </c>
      <c r="C43" s="494" t="str">
        <f t="shared" si="2"/>
        <v>YB75 - Other expenses</v>
      </c>
      <c r="E43" s="497" t="s">
        <v>534</v>
      </c>
      <c r="F43" s="498" t="s">
        <v>535</v>
      </c>
      <c r="G43" s="498" t="str">
        <f t="shared" si="4"/>
        <v>018 - Asset number</v>
      </c>
      <c r="I43" s="481" t="s">
        <v>526</v>
      </c>
      <c r="J43" s="481" t="s">
        <v>536</v>
      </c>
      <c r="K43" s="481" t="str">
        <f t="shared" si="1"/>
        <v>YB70 - Clearing accounts (travel expenses)</v>
      </c>
      <c r="M43" s="533"/>
      <c r="N43" s="533"/>
    </row>
    <row r="44" spans="1:14">
      <c r="A44" s="493" t="s">
        <v>537</v>
      </c>
      <c r="B44" s="494" t="s">
        <v>538</v>
      </c>
      <c r="C44" s="494" t="str">
        <f t="shared" si="2"/>
        <v>YB77 - Gain from investments</v>
      </c>
      <c r="E44" s="497" t="s">
        <v>539</v>
      </c>
      <c r="F44" s="498" t="s">
        <v>540</v>
      </c>
      <c r="G44" s="498" t="str">
        <f t="shared" si="4"/>
        <v>021 - Segment text</v>
      </c>
      <c r="I44" s="481" t="s">
        <v>541</v>
      </c>
      <c r="J44" s="481" t="s">
        <v>542</v>
      </c>
      <c r="K44" s="481" t="str">
        <f t="shared" si="1"/>
        <v>YB71 - Reconcil.accts (KIDNO/foreign payment)</v>
      </c>
      <c r="M44" s="533"/>
      <c r="N44" s="533"/>
    </row>
    <row r="45" spans="1:14">
      <c r="A45" s="493" t="s">
        <v>543</v>
      </c>
      <c r="B45" s="494" t="s">
        <v>544</v>
      </c>
      <c r="C45" s="494" t="str">
        <f t="shared" si="2"/>
        <v>YB79 - Gain from shares &amp; loans</v>
      </c>
      <c r="E45" s="497" t="s">
        <v>545</v>
      </c>
      <c r="F45" s="498" t="s">
        <v>546</v>
      </c>
      <c r="G45" s="498" t="str">
        <f t="shared" si="4"/>
        <v>022 - One-time name / city</v>
      </c>
      <c r="I45" s="481" t="s">
        <v>547</v>
      </c>
      <c r="J45" s="481" t="s">
        <v>548</v>
      </c>
      <c r="K45" s="481" t="str">
        <f t="shared" si="1"/>
        <v>YB72 - Equity Investment</v>
      </c>
      <c r="M45" s="533"/>
      <c r="N45" s="533"/>
    </row>
    <row r="46" spans="1:14">
      <c r="A46" s="493" t="s">
        <v>549</v>
      </c>
      <c r="B46" s="494" t="s">
        <v>550</v>
      </c>
      <c r="C46" s="494" t="str">
        <f t="shared" si="2"/>
        <v>YB81 - Interest &amp; similar gains</v>
      </c>
      <c r="E46" s="497" t="s">
        <v>551</v>
      </c>
      <c r="F46" s="498" t="s">
        <v>552</v>
      </c>
      <c r="G46" s="498" t="str">
        <f t="shared" si="4"/>
        <v>023 - One-time city / name</v>
      </c>
      <c r="I46" s="481" t="s">
        <v>553</v>
      </c>
      <c r="J46" s="481" t="s">
        <v>554</v>
      </c>
      <c r="K46" s="481" t="str">
        <f t="shared" si="1"/>
        <v>YBCF - CO &lt;-&gt; FI reconciliation posting</v>
      </c>
      <c r="M46" s="533"/>
      <c r="N46" s="533"/>
    </row>
    <row r="47" spans="1:14">
      <c r="A47" s="493" t="s">
        <v>555</v>
      </c>
      <c r="B47" s="494" t="s">
        <v>556</v>
      </c>
      <c r="C47" s="494" t="str">
        <f t="shared" si="2"/>
        <v>YB83 - Amort.curr.Fin.Assets;Sec</v>
      </c>
      <c r="E47" s="497" t="s">
        <v>557</v>
      </c>
      <c r="F47" s="498" t="s">
        <v>558</v>
      </c>
      <c r="G47" s="498" t="str">
        <f t="shared" si="4"/>
        <v>024 - Document header text</v>
      </c>
      <c r="I47" s="481" t="s">
        <v>559</v>
      </c>
      <c r="J47" s="481" t="s">
        <v>560</v>
      </c>
      <c r="K47" s="481" t="str">
        <f t="shared" si="1"/>
        <v>YBIC - Intercompany</v>
      </c>
      <c r="M47" s="533"/>
      <c r="N47" s="533"/>
    </row>
    <row r="48" spans="1:14">
      <c r="A48" s="493" t="s">
        <v>561</v>
      </c>
      <c r="B48" s="494" t="s">
        <v>562</v>
      </c>
      <c r="C48" s="494" t="str">
        <f t="shared" si="2"/>
        <v>YB85 - Interest &amp; similar costs</v>
      </c>
      <c r="E48" s="497" t="s">
        <v>563</v>
      </c>
      <c r="F48" s="498" t="s">
        <v>564</v>
      </c>
      <c r="G48" s="498" t="str">
        <f t="shared" si="4"/>
        <v>025 - CPU date</v>
      </c>
      <c r="I48" s="481" t="s">
        <v>565</v>
      </c>
      <c r="J48" s="481" t="s">
        <v>566</v>
      </c>
      <c r="K48" s="481" t="str">
        <f t="shared" si="1"/>
        <v>YBXX - non-operative expense or income</v>
      </c>
      <c r="M48" s="533"/>
      <c r="N48" s="533"/>
    </row>
    <row r="49" spans="1:14">
      <c r="A49" s="493" t="s">
        <v>567</v>
      </c>
      <c r="B49" s="494" t="s">
        <v>568</v>
      </c>
      <c r="C49" s="494" t="str">
        <f t="shared" si="2"/>
        <v>YB87 - Extraordinary gain</v>
      </c>
      <c r="E49" s="497" t="s">
        <v>569</v>
      </c>
      <c r="F49" s="498" t="s">
        <v>570</v>
      </c>
      <c r="G49" s="498" t="str">
        <f t="shared" si="4"/>
        <v>026 - Pmnt per.bslne date</v>
      </c>
      <c r="I49" s="481"/>
      <c r="J49" s="481"/>
      <c r="K49" s="481"/>
      <c r="M49" s="533"/>
      <c r="N49" s="533"/>
    </row>
    <row r="50" spans="1:14">
      <c r="A50" s="493" t="s">
        <v>571</v>
      </c>
      <c r="B50" s="494" t="s">
        <v>572</v>
      </c>
      <c r="C50" s="494" t="str">
        <f t="shared" si="2"/>
        <v>YB89 - Extraordinary expense</v>
      </c>
      <c r="E50" s="497" t="s">
        <v>573</v>
      </c>
      <c r="F50" s="498" t="s">
        <v>574</v>
      </c>
      <c r="G50" s="498" t="str">
        <f t="shared" si="4"/>
        <v>027 - Value date</v>
      </c>
      <c r="M50" s="533"/>
      <c r="N50" s="533"/>
    </row>
    <row r="51" spans="1:14">
      <c r="A51" s="493" t="s">
        <v>575</v>
      </c>
      <c r="B51" s="494" t="s">
        <v>576</v>
      </c>
      <c r="C51" s="494" t="str">
        <f t="shared" si="2"/>
        <v>YB90 - Taxes from income and rev</v>
      </c>
      <c r="E51" s="497" t="s">
        <v>577</v>
      </c>
      <c r="F51" s="498" t="s">
        <v>535</v>
      </c>
      <c r="G51" s="498" t="str">
        <f t="shared" si="4"/>
        <v>028 - Asset number</v>
      </c>
      <c r="M51" s="533"/>
      <c r="N51" s="533"/>
    </row>
    <row r="52" spans="1:14">
      <c r="A52" s="493" t="s">
        <v>578</v>
      </c>
      <c r="B52" s="494" t="s">
        <v>579</v>
      </c>
      <c r="C52" s="494" t="str">
        <f t="shared" si="2"/>
        <v>YB98 - Other Taxes</v>
      </c>
      <c r="E52" s="497" t="s">
        <v>580</v>
      </c>
      <c r="F52" s="498" t="s">
        <v>581</v>
      </c>
      <c r="G52" s="498" t="str">
        <f t="shared" si="4"/>
        <v>029 - Pstng month, vendor</v>
      </c>
      <c r="M52" s="533"/>
      <c r="N52" s="533"/>
    </row>
    <row r="53" spans="1:14">
      <c r="A53" s="493" t="s">
        <v>582</v>
      </c>
      <c r="B53" s="494" t="s">
        <v>583</v>
      </c>
      <c r="C53" s="494" t="str">
        <f t="shared" si="2"/>
        <v>YB99 - Dummy functional area</v>
      </c>
      <c r="E53" s="497" t="s">
        <v>584</v>
      </c>
      <c r="F53" s="498" t="s">
        <v>585</v>
      </c>
      <c r="G53" s="498" t="str">
        <f t="shared" si="4"/>
        <v>031 - Customer number</v>
      </c>
      <c r="M53" s="533"/>
      <c r="N53" s="533"/>
    </row>
    <row r="54" spans="1:14">
      <c r="E54" s="497" t="s">
        <v>586</v>
      </c>
      <c r="F54" s="498" t="s">
        <v>587</v>
      </c>
      <c r="G54" s="498" t="str">
        <f t="shared" si="4"/>
        <v>032 - Pstng yr,month,curr.</v>
      </c>
      <c r="M54" s="533"/>
      <c r="N54" s="533"/>
    </row>
    <row r="55" spans="1:14">
      <c r="A55" s="499" t="s">
        <v>588</v>
      </c>
      <c r="B55" s="500" t="s">
        <v>589</v>
      </c>
      <c r="C55" s="500" t="s">
        <v>590</v>
      </c>
      <c r="E55" s="497" t="s">
        <v>591</v>
      </c>
      <c r="F55" s="498" t="s">
        <v>484</v>
      </c>
      <c r="G55" s="498" t="str">
        <f t="shared" si="4"/>
        <v>033 - Cost center</v>
      </c>
      <c r="M55" s="533"/>
      <c r="N55" s="533"/>
    </row>
    <row r="56" spans="1:14">
      <c r="A56" s="501"/>
      <c r="B56" s="502"/>
      <c r="C56" s="502"/>
      <c r="E56" s="497" t="s">
        <v>592</v>
      </c>
      <c r="F56" s="498" t="s">
        <v>593</v>
      </c>
      <c r="G56" s="498" t="str">
        <f t="shared" si="4"/>
        <v>034 - Month, cost center</v>
      </c>
      <c r="M56" s="533"/>
      <c r="N56" s="533"/>
    </row>
    <row r="57" spans="1:14">
      <c r="A57" s="501" t="s">
        <v>594</v>
      </c>
      <c r="B57" s="502" t="s">
        <v>595</v>
      </c>
      <c r="C57" s="502" t="str">
        <f t="shared" si="2"/>
        <v>BA - Wire Clearing</v>
      </c>
      <c r="E57" s="497" t="s">
        <v>596</v>
      </c>
      <c r="F57" s="498" t="s">
        <v>597</v>
      </c>
      <c r="G57" s="498" t="str">
        <f t="shared" si="4"/>
        <v>035 - Contract number</v>
      </c>
      <c r="M57" s="533"/>
      <c r="N57" s="533"/>
    </row>
    <row r="58" spans="1:14">
      <c r="A58" s="501" t="s">
        <v>598</v>
      </c>
      <c r="B58" s="502" t="s">
        <v>599</v>
      </c>
      <c r="C58" s="502" t="str">
        <f t="shared" si="2"/>
        <v>BB - Cheque Clearing</v>
      </c>
      <c r="E58" s="497" t="s">
        <v>600</v>
      </c>
      <c r="F58" s="498" t="s">
        <v>601</v>
      </c>
      <c r="G58" s="498" t="str">
        <f t="shared" si="4"/>
        <v>036 - Order</v>
      </c>
      <c r="M58" s="533"/>
      <c r="N58" s="533"/>
    </row>
    <row r="59" spans="1:14">
      <c r="A59" s="501" t="s">
        <v>602</v>
      </c>
      <c r="B59" s="502" t="s">
        <v>603</v>
      </c>
      <c r="C59" s="502" t="str">
        <f t="shared" si="2"/>
        <v>BC - ACH Clearing</v>
      </c>
      <c r="E59" s="497" t="s">
        <v>604</v>
      </c>
      <c r="F59" s="498" t="s">
        <v>605</v>
      </c>
      <c r="G59" s="498" t="str">
        <f t="shared" si="4"/>
        <v>037 - Currency key</v>
      </c>
      <c r="M59" s="533"/>
      <c r="N59" s="533"/>
    </row>
    <row r="60" spans="1:14">
      <c r="A60" s="501" t="s">
        <v>606</v>
      </c>
      <c r="B60" s="502" t="s">
        <v>607</v>
      </c>
      <c r="C60" s="502" t="str">
        <f t="shared" si="2"/>
        <v>BD - Receipts Clearing</v>
      </c>
      <c r="E60" s="497" t="s">
        <v>608</v>
      </c>
      <c r="F60" s="498" t="s">
        <v>609</v>
      </c>
      <c r="G60" s="498" t="str">
        <f t="shared" si="4"/>
        <v>039 - Project number</v>
      </c>
      <c r="M60" s="533"/>
      <c r="N60" s="533"/>
    </row>
    <row r="61" spans="1:14">
      <c r="A61" s="501" t="s">
        <v>610</v>
      </c>
      <c r="B61" s="502" t="s">
        <v>611</v>
      </c>
      <c r="C61" s="502" t="str">
        <f t="shared" si="2"/>
        <v>BE - Miscellaneous Clearing</v>
      </c>
      <c r="E61" s="497" t="s">
        <v>612</v>
      </c>
      <c r="F61" s="498" t="s">
        <v>613</v>
      </c>
      <c r="G61" s="498" t="str">
        <f t="shared" si="4"/>
        <v>055 - Fiscal year, month</v>
      </c>
      <c r="M61" s="533"/>
      <c r="N61" s="533"/>
    </row>
    <row r="62" spans="1:14">
      <c r="A62" s="501" t="s">
        <v>614</v>
      </c>
      <c r="B62" s="502" t="s">
        <v>615</v>
      </c>
      <c r="C62" s="502" t="str">
        <f t="shared" si="2"/>
        <v>BK - Treasury Clearing</v>
      </c>
      <c r="E62" s="503">
        <v>101</v>
      </c>
      <c r="F62" s="498" t="s">
        <v>616</v>
      </c>
      <c r="G62" s="498" t="str">
        <f t="shared" ref="G62" si="5">E62 &amp; " - " &amp; F62</f>
        <v>101 - Cash discnt clearing</v>
      </c>
      <c r="M62" s="533"/>
      <c r="N62" s="533"/>
    </row>
    <row r="63" spans="1:14">
      <c r="A63" s="501" t="s">
        <v>617</v>
      </c>
      <c r="B63" s="502" t="s">
        <v>618</v>
      </c>
      <c r="C63" s="502" t="str">
        <f t="shared" ref="C63" si="6">A63 &amp; " - " &amp; B63</f>
        <v>F0 - Posting to bank account</v>
      </c>
      <c r="M63" s="533"/>
      <c r="N63" s="533"/>
    </row>
    <row r="64" spans="1:14">
      <c r="A64" s="476"/>
      <c r="E64" s="521" t="s">
        <v>619</v>
      </c>
      <c r="F64" s="521" t="s">
        <v>620</v>
      </c>
      <c r="G64" s="521" t="s">
        <v>621</v>
      </c>
      <c r="M64" s="533"/>
      <c r="N64" s="533"/>
    </row>
    <row r="65" spans="1:14">
      <c r="A65" s="504" t="s">
        <v>622</v>
      </c>
      <c r="B65" s="470" t="s">
        <v>623</v>
      </c>
      <c r="C65" s="470" t="s">
        <v>624</v>
      </c>
      <c r="E65" s="522" t="s">
        <v>625</v>
      </c>
      <c r="F65" s="522"/>
      <c r="G65" s="522" t="s">
        <v>625</v>
      </c>
      <c r="M65" s="533"/>
      <c r="N65" s="533"/>
    </row>
    <row r="66" spans="1:14">
      <c r="A66" s="506"/>
      <c r="B66" s="507"/>
      <c r="C66" s="507"/>
      <c r="E66" s="522" t="s">
        <v>626</v>
      </c>
      <c r="F66" s="522" t="s">
        <v>322</v>
      </c>
      <c r="G66" s="522" t="s">
        <v>627</v>
      </c>
      <c r="M66" s="533"/>
      <c r="N66" s="533"/>
    </row>
    <row r="67" spans="1:14">
      <c r="A67" s="506" t="s">
        <v>628</v>
      </c>
      <c r="B67" s="507" t="s">
        <v>629</v>
      </c>
      <c r="C67" s="507" t="str">
        <f t="shared" si="2"/>
        <v>C - SEI</v>
      </c>
      <c r="E67" s="505"/>
      <c r="F67" s="505"/>
      <c r="M67" s="533"/>
      <c r="N67" s="533"/>
    </row>
    <row r="68" spans="1:14">
      <c r="A68" s="506" t="s">
        <v>630</v>
      </c>
      <c r="B68" s="507" t="s">
        <v>631</v>
      </c>
      <c r="C68" s="507" t="str">
        <f t="shared" si="2"/>
        <v>E - SETS</v>
      </c>
      <c r="E68" s="521" t="s">
        <v>632</v>
      </c>
      <c r="F68" s="521" t="s">
        <v>620</v>
      </c>
      <c r="G68" s="521" t="s">
        <v>633</v>
      </c>
      <c r="M68" s="533"/>
      <c r="N68" s="533"/>
    </row>
    <row r="69" spans="1:14">
      <c r="A69" s="506" t="s">
        <v>634</v>
      </c>
      <c r="B69" s="507" t="s">
        <v>635</v>
      </c>
      <c r="C69" s="507" t="str">
        <f t="shared" ref="C69" si="7">A69 &amp; " - " &amp; B69</f>
        <v>U - SEUSA</v>
      </c>
      <c r="E69" s="522" t="s">
        <v>636</v>
      </c>
      <c r="F69" s="522"/>
      <c r="G69" s="522" t="s">
        <v>636</v>
      </c>
      <c r="M69" s="533"/>
      <c r="N69" s="533"/>
    </row>
    <row r="70" spans="1:14">
      <c r="A70" s="476"/>
      <c r="E70" s="522" t="s">
        <v>637</v>
      </c>
      <c r="F70" s="522" t="s">
        <v>322</v>
      </c>
      <c r="G70" s="522" t="s">
        <v>638</v>
      </c>
      <c r="M70" s="533"/>
      <c r="N70" s="533"/>
    </row>
    <row r="71" spans="1:14">
      <c r="A71" s="508" t="s">
        <v>639</v>
      </c>
      <c r="B71" s="508" t="s">
        <v>640</v>
      </c>
      <c r="C71" s="508" t="s">
        <v>641</v>
      </c>
      <c r="E71" s="505"/>
      <c r="F71" s="505"/>
      <c r="M71" s="533"/>
      <c r="N71" s="533"/>
    </row>
    <row r="72" spans="1:14">
      <c r="A72" s="509"/>
      <c r="B72" s="510"/>
      <c r="C72" s="510"/>
      <c r="E72" s="521" t="s">
        <v>642</v>
      </c>
      <c r="F72" s="521" t="s">
        <v>620</v>
      </c>
      <c r="G72" s="521" t="s">
        <v>643</v>
      </c>
      <c r="M72" s="533"/>
      <c r="N72" s="533"/>
    </row>
    <row r="73" spans="1:14">
      <c r="A73" s="509" t="s">
        <v>644</v>
      </c>
      <c r="B73" s="510" t="s">
        <v>645</v>
      </c>
      <c r="C73" s="510" t="str">
        <f>A73 &amp; " (" &amp; B73 &amp; ")"</f>
        <v>&gt; (Output Tax Account)</v>
      </c>
      <c r="E73" s="522" t="s">
        <v>646</v>
      </c>
      <c r="F73" s="522"/>
      <c r="G73" s="522" t="s">
        <v>646</v>
      </c>
      <c r="M73" s="533"/>
      <c r="N73" s="533"/>
    </row>
    <row r="74" spans="1:14">
      <c r="A74" s="509" t="s">
        <v>647</v>
      </c>
      <c r="B74" s="510" t="s">
        <v>648</v>
      </c>
      <c r="C74" s="510" t="str">
        <f t="shared" ref="C74:C78" si="8">A74 &amp; " (" &amp; B74 &amp; ")"</f>
        <v>&lt; (Input Tax Account)</v>
      </c>
      <c r="E74" s="522" t="s">
        <v>649</v>
      </c>
      <c r="F74" s="522" t="s">
        <v>322</v>
      </c>
      <c r="G74" s="522" t="s">
        <v>650</v>
      </c>
      <c r="M74" s="533"/>
      <c r="N74" s="533"/>
    </row>
    <row r="75" spans="1:14" ht="29.1">
      <c r="A75" s="511" t="s">
        <v>651</v>
      </c>
      <c r="B75" s="510" t="s">
        <v>652</v>
      </c>
      <c r="C75" s="510" t="str">
        <f t="shared" si="8"/>
        <v>+B (Output tax - down payments managed gross)</v>
      </c>
      <c r="E75" s="505"/>
      <c r="F75" s="505"/>
      <c r="M75" s="533"/>
      <c r="N75" s="533"/>
    </row>
    <row r="76" spans="1:14">
      <c r="A76" s="509" t="s">
        <v>653</v>
      </c>
      <c r="B76" s="510" t="s">
        <v>654</v>
      </c>
      <c r="C76" s="510" t="str">
        <f t="shared" si="8"/>
        <v>+ (Only output tax allowed)</v>
      </c>
      <c r="E76" s="521" t="s">
        <v>655</v>
      </c>
      <c r="F76" s="521" t="s">
        <v>620</v>
      </c>
      <c r="G76" s="521" t="s">
        <v>656</v>
      </c>
      <c r="M76" s="533"/>
      <c r="N76" s="533"/>
    </row>
    <row r="77" spans="1:14">
      <c r="A77" s="509" t="s">
        <v>657</v>
      </c>
      <c r="B77" s="510" t="s">
        <v>658</v>
      </c>
      <c r="C77" s="510" t="str">
        <f t="shared" si="8"/>
        <v>* (All tax types allowed)</v>
      </c>
      <c r="E77" s="522" t="s">
        <v>659</v>
      </c>
      <c r="F77" s="522"/>
      <c r="G77" s="522" t="s">
        <v>660</v>
      </c>
      <c r="M77" s="533"/>
      <c r="N77" s="533"/>
    </row>
    <row r="78" spans="1:14" ht="29.1">
      <c r="A78" s="511" t="s">
        <v>661</v>
      </c>
      <c r="B78" s="510" t="s">
        <v>662</v>
      </c>
      <c r="C78" s="510" t="str">
        <f t="shared" si="8"/>
        <v>-B (Input tax - down payments managed gross)</v>
      </c>
      <c r="E78" s="522" t="s">
        <v>663</v>
      </c>
      <c r="F78" s="522" t="s">
        <v>322</v>
      </c>
      <c r="G78" s="522" t="s">
        <v>664</v>
      </c>
      <c r="M78" s="533"/>
      <c r="N78" s="533"/>
    </row>
    <row r="79" spans="1:14">
      <c r="A79" s="509" t="s">
        <v>665</v>
      </c>
      <c r="B79" s="510" t="s">
        <v>666</v>
      </c>
      <c r="C79" s="510" t="str">
        <f t="shared" ref="C79" si="9">A79 &amp; " (" &amp; B79 &amp; ")"</f>
        <v>- (Only input tax allowed)</v>
      </c>
      <c r="E79" s="505"/>
      <c r="F79" s="505"/>
      <c r="M79" s="533"/>
      <c r="N79" s="533"/>
    </row>
    <row r="80" spans="1:14">
      <c r="E80" s="521" t="s">
        <v>667</v>
      </c>
      <c r="F80" s="521" t="s">
        <v>620</v>
      </c>
      <c r="G80" s="521" t="s">
        <v>668</v>
      </c>
      <c r="M80" s="533"/>
      <c r="N80" s="533"/>
    </row>
    <row r="81" spans="1:14">
      <c r="A81" s="512" t="s">
        <v>669</v>
      </c>
      <c r="B81" s="512" t="s">
        <v>670</v>
      </c>
      <c r="C81" s="512" t="s">
        <v>671</v>
      </c>
      <c r="E81" s="522" t="s">
        <v>672</v>
      </c>
      <c r="F81" s="522"/>
      <c r="G81" s="522" t="s">
        <v>672</v>
      </c>
      <c r="M81" s="533"/>
      <c r="N81" s="533"/>
    </row>
    <row r="82" spans="1:14">
      <c r="A82" s="513"/>
      <c r="B82" s="514"/>
      <c r="C82" s="514"/>
      <c r="E82" s="522" t="s">
        <v>673</v>
      </c>
      <c r="F82" s="522" t="s">
        <v>322</v>
      </c>
      <c r="G82" s="522" t="s">
        <v>674</v>
      </c>
      <c r="M82" s="533"/>
      <c r="N82" s="533"/>
    </row>
    <row r="83" spans="1:14">
      <c r="A83" s="513" t="s">
        <v>675</v>
      </c>
      <c r="B83" s="514" t="s">
        <v>676</v>
      </c>
      <c r="C83" s="514" t="str">
        <f t="shared" ref="C83:C94" si="10">A83 &amp; " - " &amp; B83</f>
        <v>A - Assets</v>
      </c>
      <c r="E83" s="505"/>
      <c r="F83" s="505"/>
      <c r="M83" s="533"/>
      <c r="N83" s="533"/>
    </row>
    <row r="84" spans="1:14">
      <c r="A84" s="513" t="s">
        <v>677</v>
      </c>
      <c r="B84" s="514" t="s">
        <v>678</v>
      </c>
      <c r="C84" s="514" t="str">
        <f t="shared" si="10"/>
        <v>D - Customers</v>
      </c>
      <c r="E84" s="521" t="s">
        <v>679</v>
      </c>
      <c r="F84" s="521" t="s">
        <v>620</v>
      </c>
      <c r="G84" s="521" t="s">
        <v>680</v>
      </c>
      <c r="M84" s="533"/>
      <c r="N84" s="533"/>
    </row>
    <row r="85" spans="1:14" ht="29.1">
      <c r="A85" s="515" t="s">
        <v>681</v>
      </c>
      <c r="B85" s="514" t="s">
        <v>682</v>
      </c>
      <c r="C85" s="514" t="str">
        <f t="shared" si="10"/>
        <v>K - Vendors</v>
      </c>
      <c r="E85" s="522" t="s">
        <v>683</v>
      </c>
      <c r="F85" s="522"/>
      <c r="G85" s="522" t="s">
        <v>683</v>
      </c>
      <c r="M85" s="533"/>
      <c r="N85" s="533"/>
    </row>
    <row r="86" spans="1:14">
      <c r="A86" s="513" t="s">
        <v>684</v>
      </c>
      <c r="B86" s="514" t="s">
        <v>685</v>
      </c>
      <c r="C86" s="514" t="str">
        <f t="shared" ref="C86" si="11">A86 &amp; " - " &amp; B86</f>
        <v>V - Contract Account Receivable</v>
      </c>
      <c r="E86" s="522" t="s">
        <v>686</v>
      </c>
      <c r="F86" s="522" t="s">
        <v>322</v>
      </c>
      <c r="G86" s="522" t="s">
        <v>687</v>
      </c>
      <c r="M86" s="533"/>
      <c r="N86" s="533"/>
    </row>
    <row r="87" spans="1:14">
      <c r="E87" s="505"/>
      <c r="F87" s="505"/>
      <c r="M87" s="533"/>
      <c r="N87" s="533"/>
    </row>
    <row r="88" spans="1:14" ht="29.1">
      <c r="A88" s="470" t="s">
        <v>688</v>
      </c>
      <c r="B88" s="470" t="s">
        <v>689</v>
      </c>
      <c r="C88" s="470" t="s">
        <v>690</v>
      </c>
      <c r="E88" s="521" t="s">
        <v>691</v>
      </c>
      <c r="F88" s="521" t="s">
        <v>620</v>
      </c>
      <c r="G88" s="521" t="s">
        <v>692</v>
      </c>
      <c r="M88" s="533"/>
      <c r="N88" s="533"/>
    </row>
    <row r="89" spans="1:14" ht="29.1">
      <c r="A89" s="516"/>
      <c r="B89" s="507"/>
      <c r="C89" s="507"/>
      <c r="E89" s="522" t="s">
        <v>693</v>
      </c>
      <c r="F89" s="522"/>
      <c r="G89" s="522" t="s">
        <v>693</v>
      </c>
      <c r="M89" s="533"/>
      <c r="N89" s="533"/>
    </row>
    <row r="90" spans="1:14" ht="29.1">
      <c r="A90" s="516" t="s">
        <v>694</v>
      </c>
      <c r="B90" s="507" t="s">
        <v>695</v>
      </c>
      <c r="C90" s="507" t="str">
        <f t="shared" si="10"/>
        <v>BR - Billable (JVA) Recoverable (PSC)</v>
      </c>
      <c r="E90" s="522" t="s">
        <v>696</v>
      </c>
      <c r="F90" s="522" t="s">
        <v>322</v>
      </c>
      <c r="G90" s="522" t="s">
        <v>697</v>
      </c>
      <c r="M90" s="533"/>
      <c r="N90" s="533"/>
    </row>
    <row r="91" spans="1:14">
      <c r="A91" s="516" t="s">
        <v>698</v>
      </c>
      <c r="B91" s="507" t="s">
        <v>699</v>
      </c>
      <c r="C91" s="507" t="str">
        <f t="shared" si="10"/>
        <v>BN - Billable (JVA) Non-Recverable (PSC)</v>
      </c>
      <c r="E91" s="505"/>
      <c r="F91" s="505"/>
      <c r="M91" s="533"/>
      <c r="N91" s="533"/>
    </row>
    <row r="92" spans="1:14">
      <c r="A92" s="516" t="s">
        <v>700</v>
      </c>
      <c r="B92" s="507" t="s">
        <v>701</v>
      </c>
      <c r="C92" s="507" t="str">
        <f t="shared" si="10"/>
        <v>NR - Non-Billable (JVA) Rec (PSC)</v>
      </c>
      <c r="E92" s="505"/>
      <c r="F92" s="505"/>
      <c r="M92" s="533"/>
      <c r="N92" s="533"/>
    </row>
    <row r="93" spans="1:14">
      <c r="A93" s="516" t="s">
        <v>702</v>
      </c>
      <c r="B93" s="507" t="s">
        <v>703</v>
      </c>
      <c r="C93" s="507" t="str">
        <f t="shared" si="10"/>
        <v>NB - Non-Billable (JVA) Non-rec (PSA)</v>
      </c>
      <c r="E93" s="505"/>
      <c r="F93" s="505"/>
      <c r="M93" s="533"/>
      <c r="N93" s="533"/>
    </row>
    <row r="94" spans="1:14">
      <c r="A94" s="516" t="s">
        <v>704</v>
      </c>
      <c r="B94" s="507" t="s">
        <v>294</v>
      </c>
      <c r="C94" s="507" t="str">
        <f t="shared" si="10"/>
        <v>CP - Corporate</v>
      </c>
      <c r="E94" s="505"/>
      <c r="F94" s="505"/>
      <c r="M94" s="533"/>
      <c r="N94" s="533"/>
    </row>
    <row r="95" spans="1:14">
      <c r="E95" s="505"/>
      <c r="F95" s="505"/>
      <c r="M95" s="533"/>
      <c r="N95" s="533"/>
    </row>
    <row r="96" spans="1:14">
      <c r="A96" s="476"/>
      <c r="B96" s="483"/>
      <c r="C96" s="483"/>
      <c r="E96" s="505"/>
      <c r="F96" s="505"/>
      <c r="M96" s="533"/>
      <c r="N96" s="533"/>
    </row>
    <row r="97" spans="1:6">
      <c r="A97" s="476"/>
      <c r="B97" s="483"/>
      <c r="C97" s="483"/>
      <c r="E97" s="505"/>
      <c r="F97" s="505"/>
    </row>
    <row r="98" spans="1:6">
      <c r="A98" s="476"/>
      <c r="B98" s="483"/>
      <c r="C98" s="483"/>
      <c r="E98" s="505"/>
      <c r="F98" s="505"/>
    </row>
    <row r="99" spans="1:6">
      <c r="A99" s="476"/>
      <c r="B99" s="483"/>
      <c r="C99" s="483"/>
      <c r="E99" s="505"/>
      <c r="F99" s="505"/>
    </row>
    <row r="100" spans="1:6">
      <c r="B100" s="483"/>
      <c r="C100" s="483"/>
      <c r="E100" s="505"/>
      <c r="F100" s="505"/>
    </row>
    <row r="101" spans="1:6">
      <c r="B101" s="483"/>
      <c r="C101" s="483"/>
      <c r="E101" s="505"/>
      <c r="F101" s="505"/>
    </row>
    <row r="102" spans="1:6">
      <c r="B102" s="483"/>
      <c r="C102" s="483"/>
      <c r="E102" s="517"/>
      <c r="F102" s="517"/>
    </row>
    <row r="103" spans="1:6">
      <c r="E103" s="517"/>
      <c r="F103" s="517"/>
    </row>
  </sheetData>
  <autoFilter ref="M1:N99" xr:uid="{00000000-0009-0000-0000-000007000000}">
    <sortState xmlns:xlrd2="http://schemas.microsoft.com/office/spreadsheetml/2017/richdata2" ref="M2:N102">
      <sortCondition ref="M1:M102"/>
    </sortState>
  </autoFilter>
  <conditionalFormatting sqref="M99:N100">
    <cfRule type="duplicateValues" dxfId="2" priority="2"/>
  </conditionalFormatting>
  <conditionalFormatting sqref="M2:M90 M93:M98">
    <cfRule type="duplicateValues" dxfId="1" priority="28"/>
  </conditionalFormatting>
  <conditionalFormatting sqref="M91:M92">
    <cfRule type="duplicateValues" dxfId="0" priority="1"/>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3"/>
  <dimension ref="A1:DV18"/>
  <sheetViews>
    <sheetView tabSelected="1" zoomScale="50" zoomScaleNormal="50" workbookViewId="0">
      <selection activeCell="F18" sqref="B18:F18"/>
    </sheetView>
  </sheetViews>
  <sheetFormatPr defaultRowHeight="14.45"/>
  <cols>
    <col min="1" max="2" width="23" customWidth="1"/>
    <col min="3" max="3" width="25" customWidth="1"/>
    <col min="4" max="6" width="30.140625" customWidth="1"/>
    <col min="7" max="7" width="29" customWidth="1"/>
    <col min="8" max="8" width="30.140625" customWidth="1"/>
    <col min="9" max="9" width="32.5703125" customWidth="1"/>
    <col min="10" max="11" width="30.140625" customWidth="1"/>
    <col min="12" max="12" width="6.42578125" customWidth="1"/>
    <col min="13" max="13" width="24.5703125" customWidth="1"/>
    <col min="14" max="14" width="23.5703125" customWidth="1"/>
    <col min="15" max="15" width="15.42578125" customWidth="1"/>
    <col min="16" max="16" width="16.42578125" customWidth="1"/>
    <col min="17" max="17" width="19.5703125" customWidth="1"/>
    <col min="18" max="18" width="20" customWidth="1"/>
    <col min="19" max="19" width="20.5703125" customWidth="1"/>
    <col min="20" max="20" width="21.85546875" customWidth="1"/>
    <col min="21" max="21" width="15.42578125" customWidth="1"/>
    <col min="22" max="22" width="17.5703125" customWidth="1"/>
    <col min="23" max="23" width="15.5703125" customWidth="1"/>
    <col min="24" max="24" width="27.42578125" customWidth="1"/>
    <col min="25" max="25" width="18.140625" customWidth="1"/>
    <col min="26" max="26" width="24.42578125" customWidth="1"/>
    <col min="27" max="27" width="21.140625" customWidth="1"/>
    <col min="28" max="28" width="17.5703125" customWidth="1"/>
    <col min="29" max="29" width="21.140625" customWidth="1"/>
    <col min="30" max="30" width="15.5703125" customWidth="1"/>
    <col min="31" max="31" width="13.42578125" customWidth="1"/>
    <col min="32" max="32" width="16.5703125" customWidth="1"/>
    <col min="33" max="33" width="16.85546875" customWidth="1"/>
    <col min="34" max="34" width="18.42578125" customWidth="1"/>
    <col min="35" max="36" width="17.42578125" customWidth="1"/>
    <col min="37" max="37" width="17.5703125" customWidth="1"/>
    <col min="38" max="38" width="15.5703125" customWidth="1"/>
    <col min="39" max="39" width="13.42578125" customWidth="1"/>
    <col min="40" max="40" width="14.42578125" customWidth="1"/>
    <col min="41" max="41" width="17.42578125" customWidth="1"/>
    <col min="42" max="42" width="23" customWidth="1"/>
    <col min="43" max="44" width="21.42578125" customWidth="1"/>
    <col min="45" max="45" width="22.42578125" customWidth="1"/>
    <col min="46" max="46" width="11.5703125" customWidth="1"/>
    <col min="47" max="47" width="13.85546875" customWidth="1"/>
    <col min="48" max="48" width="14.5703125" customWidth="1"/>
    <col min="49" max="49" width="13.5703125" customWidth="1"/>
    <col min="50" max="50" width="16.42578125" customWidth="1"/>
    <col min="51" max="51" width="18.5703125" customWidth="1"/>
    <col min="52" max="52" width="26.5703125" customWidth="1"/>
    <col min="53" max="53" width="13" customWidth="1"/>
    <col min="54" max="54" width="11" customWidth="1"/>
    <col min="55" max="56" width="15.5703125" customWidth="1"/>
    <col min="58" max="58" width="14.5703125" customWidth="1"/>
    <col min="59" max="59" width="18.42578125" customWidth="1"/>
    <col min="60" max="60" width="16.85546875" customWidth="1"/>
    <col min="61" max="61" width="10.42578125" customWidth="1"/>
    <col min="62" max="62" width="10.85546875" customWidth="1"/>
    <col min="63" max="63" width="10.5703125" customWidth="1"/>
    <col min="64" max="64" width="20.5703125" customWidth="1"/>
    <col min="65" max="65" width="17.42578125" customWidth="1"/>
    <col min="67" max="67" width="16" customWidth="1"/>
    <col min="68" max="68" width="15.5703125" customWidth="1"/>
    <col min="69" max="69" width="13.5703125" customWidth="1"/>
    <col min="70" max="70" width="11.5703125" customWidth="1"/>
    <col min="71" max="71" width="30.5703125" customWidth="1"/>
    <col min="72" max="72" width="13.140625" customWidth="1"/>
    <col min="73" max="73" width="18.42578125" customWidth="1"/>
    <col min="74" max="74" width="13.42578125" customWidth="1"/>
    <col min="75" max="75" width="15" customWidth="1"/>
    <col min="76" max="76" width="13.5703125" customWidth="1"/>
    <col min="77" max="77" width="15.140625" customWidth="1"/>
    <col min="78" max="78" width="15" customWidth="1"/>
    <col min="79" max="79" width="18.42578125" customWidth="1"/>
    <col min="80" max="80" width="16.5703125" customWidth="1"/>
    <col min="81" max="81" width="17" customWidth="1"/>
    <col min="85" max="85" width="18" customWidth="1"/>
    <col min="87" max="87" width="13.5703125" customWidth="1"/>
    <col min="88" max="88" width="14.42578125" customWidth="1"/>
    <col min="89" max="89" width="15.42578125" customWidth="1"/>
    <col min="90" max="90" width="12.85546875" customWidth="1"/>
    <col min="91" max="91" width="13" customWidth="1"/>
    <col min="92" max="92" width="14.5703125" customWidth="1"/>
    <col min="93" max="93" width="11.5703125" customWidth="1"/>
    <col min="94" max="94" width="14" customWidth="1"/>
    <col min="125" max="125" width="22.42578125" customWidth="1"/>
    <col min="126" max="126" width="15.5703125" customWidth="1"/>
  </cols>
  <sheetData>
    <row r="1" spans="1:126" ht="54" customHeight="1" thickBot="1">
      <c r="A1" s="704" t="s">
        <v>705</v>
      </c>
      <c r="B1" s="705"/>
      <c r="C1" s="706"/>
      <c r="D1" s="706"/>
      <c r="E1" s="706"/>
      <c r="F1" s="706"/>
      <c r="G1" s="706"/>
      <c r="H1" s="706"/>
      <c r="I1" s="706"/>
      <c r="J1" s="706"/>
      <c r="K1" s="707"/>
      <c r="M1" t="s">
        <v>706</v>
      </c>
    </row>
    <row r="2" spans="1:126" s="466" customFormat="1" ht="39" customHeight="1" thickBot="1">
      <c r="A2" s="529" t="s">
        <v>10</v>
      </c>
      <c r="B2" s="556"/>
      <c r="C2" s="528" t="s">
        <v>11</v>
      </c>
      <c r="D2" s="528" t="s">
        <v>707</v>
      </c>
      <c r="E2" s="528" t="s">
        <v>3</v>
      </c>
      <c r="F2" s="708" t="s">
        <v>13</v>
      </c>
      <c r="G2" s="708"/>
      <c r="H2" s="708"/>
      <c r="I2" s="708"/>
      <c r="J2" s="708"/>
      <c r="K2" s="709"/>
      <c r="L2"/>
      <c r="M2" s="548"/>
      <c r="N2" t="s">
        <v>708</v>
      </c>
      <c r="O2"/>
      <c r="P2"/>
      <c r="Q2"/>
      <c r="R2"/>
      <c r="S2"/>
      <c r="T2"/>
      <c r="U2"/>
      <c r="V2"/>
      <c r="W2"/>
      <c r="X2"/>
      <c r="Y2"/>
      <c r="Z2"/>
      <c r="AA2"/>
      <c r="AB2"/>
      <c r="AC2"/>
      <c r="AD2"/>
      <c r="AE2"/>
      <c r="AF2"/>
      <c r="AG2"/>
      <c r="AH2"/>
      <c r="AI2"/>
      <c r="AJ2"/>
      <c r="AK2"/>
      <c r="AL2"/>
      <c r="AM2"/>
      <c r="AN2"/>
      <c r="AO2"/>
      <c r="AP2"/>
      <c r="AQ2"/>
      <c r="AR2"/>
      <c r="AS2"/>
      <c r="AT2"/>
      <c r="AU2"/>
      <c r="AV2"/>
    </row>
    <row r="3" spans="1:126" ht="38.450000000000003" customHeight="1" thickBot="1">
      <c r="A3" s="524"/>
      <c r="B3" s="557"/>
      <c r="C3" s="525"/>
      <c r="D3" s="530"/>
      <c r="E3" s="530" t="s">
        <v>709</v>
      </c>
      <c r="F3" s="710"/>
      <c r="G3" s="710"/>
      <c r="H3" s="710"/>
      <c r="I3" s="710"/>
      <c r="J3" s="710"/>
      <c r="K3" s="711"/>
      <c r="M3" s="549"/>
      <c r="N3" t="s">
        <v>710</v>
      </c>
    </row>
    <row r="4" spans="1:126" s="466" customFormat="1" ht="39" customHeight="1" thickBot="1">
      <c r="A4" s="554" t="s">
        <v>711</v>
      </c>
      <c r="B4" s="558" t="s">
        <v>710</v>
      </c>
      <c r="C4" s="535" t="s">
        <v>712</v>
      </c>
      <c r="D4" s="535" t="s">
        <v>713</v>
      </c>
      <c r="E4" s="535" t="s">
        <v>714</v>
      </c>
      <c r="F4" s="526" t="s">
        <v>715</v>
      </c>
      <c r="G4" s="526" t="s">
        <v>716</v>
      </c>
      <c r="H4" s="526" t="s">
        <v>717</v>
      </c>
      <c r="I4" s="526" t="s">
        <v>718</v>
      </c>
      <c r="J4" s="527" t="s">
        <v>719</v>
      </c>
      <c r="K4" s="532" t="s">
        <v>720</v>
      </c>
      <c r="M4" s="550"/>
      <c r="N4" s="466" t="s">
        <v>721</v>
      </c>
    </row>
    <row r="5" spans="1:126" s="466" customFormat="1" ht="30" customHeight="1" thickBot="1">
      <c r="A5" s="536" t="s">
        <v>722</v>
      </c>
      <c r="B5" s="559"/>
      <c r="C5" s="542" t="s">
        <v>118</v>
      </c>
      <c r="D5" s="542" t="s">
        <v>118</v>
      </c>
      <c r="E5" s="543"/>
      <c r="F5" s="559"/>
      <c r="G5" s="538"/>
      <c r="H5" s="538"/>
      <c r="I5" s="538"/>
      <c r="J5" s="539"/>
      <c r="K5" s="541"/>
      <c r="M5" s="551" t="s">
        <v>723</v>
      </c>
      <c r="N5" s="466" t="s">
        <v>724</v>
      </c>
    </row>
    <row r="6" spans="1:126" ht="47.1" customHeight="1" thickBot="1">
      <c r="A6" s="536" t="s">
        <v>725</v>
      </c>
      <c r="B6" s="571"/>
      <c r="C6" s="544"/>
      <c r="D6" s="544"/>
      <c r="E6" s="544"/>
      <c r="F6" s="544"/>
      <c r="G6" s="544"/>
      <c r="H6" s="544"/>
      <c r="I6" s="544"/>
      <c r="J6" s="544"/>
      <c r="K6" s="545"/>
      <c r="M6" s="551" t="s">
        <v>657</v>
      </c>
      <c r="N6" s="466" t="s">
        <v>726</v>
      </c>
    </row>
    <row r="7" spans="1:126" ht="8.4499999999999993" customHeight="1" thickBot="1"/>
    <row r="8" spans="1:126" ht="56.45" customHeight="1" thickBot="1">
      <c r="A8" s="560" t="s">
        <v>727</v>
      </c>
      <c r="B8" s="552" t="s">
        <v>728</v>
      </c>
      <c r="C8" s="561" t="s">
        <v>729</v>
      </c>
      <c r="D8" s="561" t="s">
        <v>730</v>
      </c>
      <c r="E8" s="561" t="s">
        <v>731</v>
      </c>
      <c r="F8" s="561" t="s">
        <v>732</v>
      </c>
      <c r="G8" s="561" t="s">
        <v>733</v>
      </c>
      <c r="H8" s="561" t="s">
        <v>734</v>
      </c>
      <c r="I8" s="561" t="s">
        <v>735</v>
      </c>
      <c r="J8" s="570" t="s">
        <v>736</v>
      </c>
      <c r="K8" s="570" t="s">
        <v>736</v>
      </c>
      <c r="M8" s="54"/>
      <c r="N8" t="s">
        <v>737</v>
      </c>
      <c r="DU8" s="338" t="s">
        <v>738</v>
      </c>
      <c r="DV8" s="340" t="s">
        <v>739</v>
      </c>
    </row>
    <row r="9" spans="1:126" s="466" customFormat="1" ht="30" customHeight="1">
      <c r="A9" s="536" t="s">
        <v>722</v>
      </c>
      <c r="B9" s="538"/>
      <c r="C9" s="540"/>
      <c r="D9" s="540"/>
      <c r="E9" s="540"/>
      <c r="F9" s="540"/>
      <c r="G9" s="540"/>
      <c r="H9" s="540"/>
      <c r="I9" s="523"/>
      <c r="J9" s="531"/>
      <c r="K9" s="531"/>
    </row>
    <row r="10" spans="1:126" ht="47.1" customHeight="1" thickBot="1">
      <c r="A10" s="537" t="s">
        <v>725</v>
      </c>
      <c r="B10" s="546"/>
      <c r="C10" s="546"/>
      <c r="D10" s="546"/>
      <c r="E10" s="546"/>
      <c r="F10" s="546"/>
      <c r="G10" s="546"/>
      <c r="H10" s="546"/>
      <c r="I10" s="546"/>
      <c r="J10" s="553"/>
      <c r="K10" s="553"/>
    </row>
    <row r="11" spans="1:126" ht="8.4499999999999993" customHeight="1" thickBot="1"/>
    <row r="12" spans="1:126" s="466" customFormat="1" ht="56.45" customHeight="1">
      <c r="A12" s="555" t="s">
        <v>740</v>
      </c>
      <c r="B12" s="562" t="s">
        <v>741</v>
      </c>
      <c r="C12" s="562" t="s">
        <v>742</v>
      </c>
      <c r="D12" s="552" t="s">
        <v>743</v>
      </c>
      <c r="E12" s="552" t="s">
        <v>744</v>
      </c>
      <c r="F12" s="552" t="s">
        <v>745</v>
      </c>
      <c r="G12" s="552" t="s">
        <v>746</v>
      </c>
      <c r="H12" s="561" t="s">
        <v>747</v>
      </c>
      <c r="I12" s="561" t="s">
        <v>748</v>
      </c>
      <c r="J12" s="570" t="s">
        <v>736</v>
      </c>
      <c r="K12" s="570" t="s">
        <v>736</v>
      </c>
      <c r="DJ12" s="467" t="s">
        <v>749</v>
      </c>
      <c r="DK12" s="468" t="s">
        <v>750</v>
      </c>
    </row>
    <row r="13" spans="1:126" s="466" customFormat="1" ht="30" customHeight="1">
      <c r="A13" s="536" t="s">
        <v>722</v>
      </c>
      <c r="B13" s="563" t="s">
        <v>118</v>
      </c>
      <c r="C13" s="572" t="s">
        <v>118</v>
      </c>
      <c r="D13" s="538" t="s">
        <v>118</v>
      </c>
      <c r="E13" s="540" t="s">
        <v>118</v>
      </c>
      <c r="F13" s="540"/>
      <c r="G13" s="540" t="s">
        <v>118</v>
      </c>
      <c r="H13" s="540"/>
      <c r="I13" s="540"/>
      <c r="J13" s="569"/>
      <c r="K13" s="569"/>
      <c r="DJ13" s="467" t="s">
        <v>751</v>
      </c>
      <c r="DK13" s="468" t="s">
        <v>752</v>
      </c>
    </row>
    <row r="14" spans="1:126" ht="47.1" customHeight="1" thickBot="1">
      <c r="A14" s="536" t="s">
        <v>725</v>
      </c>
      <c r="B14" s="544"/>
      <c r="C14" s="544"/>
      <c r="D14" s="544"/>
      <c r="E14" s="544"/>
      <c r="F14" s="544"/>
      <c r="G14" s="544"/>
      <c r="H14" s="546"/>
      <c r="I14" s="547"/>
      <c r="J14" s="553"/>
      <c r="K14" s="553"/>
    </row>
    <row r="15" spans="1:126" ht="8.4499999999999993" customHeight="1" thickBot="1"/>
    <row r="16" spans="1:126" ht="56.45" customHeight="1">
      <c r="A16" s="564" t="s">
        <v>740</v>
      </c>
      <c r="B16" s="561" t="s">
        <v>753</v>
      </c>
      <c r="C16" s="561" t="s">
        <v>754</v>
      </c>
      <c r="D16" s="561" t="s">
        <v>755</v>
      </c>
      <c r="E16" s="561" t="s">
        <v>756</v>
      </c>
      <c r="F16" s="561" t="s">
        <v>757</v>
      </c>
      <c r="G16" s="526" t="s">
        <v>758</v>
      </c>
      <c r="H16" s="526" t="s">
        <v>759</v>
      </c>
      <c r="I16" s="565" t="s">
        <v>736</v>
      </c>
      <c r="J16" s="565" t="s">
        <v>736</v>
      </c>
      <c r="K16" s="565" t="s">
        <v>736</v>
      </c>
      <c r="DU16" s="338" t="s">
        <v>738</v>
      </c>
      <c r="DV16" s="340" t="s">
        <v>739</v>
      </c>
    </row>
    <row r="17" spans="1:11" s="466" customFormat="1" ht="30" customHeight="1">
      <c r="A17" s="536" t="s">
        <v>722</v>
      </c>
      <c r="B17" s="540"/>
      <c r="C17" s="540" t="s">
        <v>118</v>
      </c>
      <c r="D17" s="540" t="s">
        <v>118</v>
      </c>
      <c r="E17" s="540" t="s">
        <v>118</v>
      </c>
      <c r="F17" s="540" t="s">
        <v>118</v>
      </c>
      <c r="G17" s="538"/>
      <c r="H17" s="538"/>
      <c r="I17" s="568"/>
      <c r="J17" s="568"/>
      <c r="K17" s="568"/>
    </row>
    <row r="18" spans="1:11" ht="55.35" customHeight="1" thickBot="1">
      <c r="A18" s="537" t="s">
        <v>725</v>
      </c>
      <c r="B18" s="546"/>
      <c r="C18" s="546"/>
      <c r="D18" s="546"/>
      <c r="E18" s="546"/>
      <c r="F18" s="546"/>
      <c r="G18" s="566"/>
      <c r="H18" s="566"/>
      <c r="I18" s="567"/>
      <c r="J18" s="567"/>
      <c r="K18" s="567"/>
    </row>
  </sheetData>
  <mergeCells count="3">
    <mergeCell ref="A1:K1"/>
    <mergeCell ref="F2:K2"/>
    <mergeCell ref="F3:K3"/>
  </mergeCells>
  <dataValidations count="3">
    <dataValidation type="textLength" operator="lessThanOrEqual" allowBlank="1" showInputMessage="1" showErrorMessage="1" error="Max 50 character, please shorten GL Name" sqref="H5" xr:uid="{00000000-0002-0000-0600-000000000000}">
      <formula1>50</formula1>
    </dataValidation>
    <dataValidation type="textLength" operator="lessThanOrEqual" allowBlank="1" showInputMessage="1" showErrorMessage="1" error="Max 20 character, please shorten GL Name" sqref="G5 G17:H17" xr:uid="{00000000-0002-0000-0600-000001000000}">
      <formula1>20</formula1>
    </dataValidation>
    <dataValidation type="list" allowBlank="1" showInputMessage="1" showErrorMessage="1" sqref="E3" xr:uid="{00000000-0002-0000-0600-000002000000}">
      <formula1>"Add, Update, Block/Unblock - Company Code, Block/Unblock - Chart of Accounts, Extend"</formula1>
    </dataValidation>
  </dataValidations>
  <pageMargins left="0.7" right="0.7" top="0.75" bottom="0.75" header="0.3" footer="0.3"/>
  <pageSetup orientation="portrait" horizontalDpi="4294967293" r:id="rId1"/>
  <extLst>
    <ext xmlns:x14="http://schemas.microsoft.com/office/spreadsheetml/2009/9/main" uri="{CCE6A557-97BC-4b89-ADB6-D9C93CAAB3DF}">
      <x14:dataValidations xmlns:xm="http://schemas.microsoft.com/office/excel/2006/main" count="19">
        <x14:dataValidation type="list" allowBlank="1" showInputMessage="1" showErrorMessage="1" xr:uid="{00000000-0002-0000-0600-000003000000}">
          <x14:formula1>
            <xm:f>'Attribute Key Values'!$C$2:$C$5</xm:f>
          </x14:formula1>
          <xm:sqref>I5</xm:sqref>
        </x14:dataValidation>
        <x14:dataValidation type="list" allowBlank="1" showInputMessage="1" showErrorMessage="1" xr:uid="{00000000-0002-0000-0600-000004000000}">
          <x14:formula1>
            <xm:f>'Attribute Key Values'!$C$8:$C$16</xm:f>
          </x14:formula1>
          <xm:sqref>J5</xm:sqref>
        </x14:dataValidation>
        <x14:dataValidation type="list" allowBlank="1" showInputMessage="1" showErrorMessage="1" xr:uid="{00000000-0002-0000-0600-000005000000}">
          <x14:formula1>
            <xm:f>'Attribute Key Values'!$G$69:$G$70</xm:f>
          </x14:formula1>
          <xm:sqref>I13</xm:sqref>
        </x14:dataValidation>
        <x14:dataValidation type="list" allowBlank="1" showInputMessage="1" showErrorMessage="1" xr:uid="{00000000-0002-0000-0600-000006000000}">
          <x14:formula1>
            <xm:f>'Attribute Key Values'!$G$65:$G$66</xm:f>
          </x14:formula1>
          <xm:sqref>D9</xm:sqref>
        </x14:dataValidation>
        <x14:dataValidation type="list" allowBlank="1" showInputMessage="1" showErrorMessage="1" xr:uid="{00000000-0002-0000-0600-000007000000}">
          <x14:formula1>
            <xm:f>'Attribute Key Values'!$G$26:$G$62</xm:f>
          </x14:formula1>
          <xm:sqref>F9</xm:sqref>
        </x14:dataValidation>
        <x14:dataValidation type="list" allowBlank="1" showInputMessage="1" showErrorMessage="1" xr:uid="{00000000-0002-0000-0600-000008000000}">
          <x14:formula1>
            <xm:f>'Attribute Key Values'!$K$2:$K$49</xm:f>
          </x14:formula1>
          <xm:sqref>H13</xm:sqref>
        </x14:dataValidation>
        <x14:dataValidation type="list" allowBlank="1" showInputMessage="1" showErrorMessage="1" xr:uid="{00000000-0002-0000-0600-00000A000000}">
          <x14:formula1>
            <xm:f>'Attribute Key Values'!$C$56:$C$63</xm:f>
          </x14:formula1>
          <xm:sqref>B17</xm:sqref>
        </x14:dataValidation>
        <x14:dataValidation type="list" allowBlank="1" showInputMessage="1" showErrorMessage="1" xr:uid="{00000000-0002-0000-0600-00000B000000}">
          <x14:formula1>
            <xm:f>'Attribute Key Values'!$G$7:$G$23</xm:f>
          </x14:formula1>
          <xm:sqref>C9</xm:sqref>
        </x14:dataValidation>
        <x14:dataValidation type="list" allowBlank="1" showInputMessage="1" showErrorMessage="1" xr:uid="{00000000-0002-0000-0600-00000C000000}">
          <x14:formula1>
            <xm:f>'Attribute Key Values'!$C$66:$C$69</xm:f>
          </x14:formula1>
          <xm:sqref>F17</xm:sqref>
        </x14:dataValidation>
        <x14:dataValidation type="list" allowBlank="1" showInputMessage="1" showErrorMessage="1" xr:uid="{00000000-0002-0000-0600-00000D000000}">
          <x14:formula1>
            <xm:f>'Attribute Key Values'!$C$72:$C$79</xm:f>
          </x14:formula1>
          <xm:sqref>G9</xm:sqref>
        </x14:dataValidation>
        <x14:dataValidation type="list" allowBlank="1" showInputMessage="1" showErrorMessage="1" xr:uid="{00000000-0002-0000-0600-00000E000000}">
          <x14:formula1>
            <xm:f>'Attribute Key Values'!$C$89:$C$94</xm:f>
          </x14:formula1>
          <xm:sqref>I9</xm:sqref>
        </x14:dataValidation>
        <x14:dataValidation type="list" allowBlank="1" showInputMessage="1" showErrorMessage="1" xr:uid="{00000000-0002-0000-0600-00000F000000}">
          <x14:formula1>
            <xm:f>'Attribute Key Values'!$C$82:$C$86</xm:f>
          </x14:formula1>
          <xm:sqref>E9</xm:sqref>
        </x14:dataValidation>
        <x14:dataValidation type="list" allowBlank="1" showInputMessage="1" showErrorMessage="1" xr:uid="{00000000-0002-0000-0600-000010000000}">
          <x14:formula1>
            <xm:f>'Attribute Key Values'!$G$73:$G$74</xm:f>
          </x14:formula1>
          <xm:sqref>H9</xm:sqref>
        </x14:dataValidation>
        <x14:dataValidation type="list" allowBlank="1" showInputMessage="1" showErrorMessage="1" xr:uid="{00000000-0002-0000-0600-000011000000}">
          <x14:formula1>
            <xm:f>'Attribute Key Values'!$G$77:$G$78</xm:f>
          </x14:formula1>
          <xm:sqref>C13</xm:sqref>
        </x14:dataValidation>
        <x14:dataValidation type="list" allowBlank="1" showInputMessage="1" showErrorMessage="1" xr:uid="{00000000-0002-0000-0600-000012000000}">
          <x14:formula1>
            <xm:f>'Attribute Key Values'!$G$81:$G$82</xm:f>
          </x14:formula1>
          <xm:sqref>B13</xm:sqref>
        </x14:dataValidation>
        <x14:dataValidation type="list" allowBlank="1" showInputMessage="1" showErrorMessage="1" xr:uid="{00000000-0002-0000-0600-000013000000}">
          <x14:formula1>
            <xm:f>'Attribute Key Values'!$G$85:$G$86</xm:f>
          </x14:formula1>
          <xm:sqref>E13</xm:sqref>
        </x14:dataValidation>
        <x14:dataValidation type="list" allowBlank="1" showInputMessage="1" showErrorMessage="1" xr:uid="{00000000-0002-0000-0600-000014000000}">
          <x14:formula1>
            <xm:f>'Attribute Key Values'!$G$2:$G$4</xm:f>
          </x14:formula1>
          <xm:sqref>F13</xm:sqref>
        </x14:dataValidation>
        <x14:dataValidation type="list" allowBlank="1" showInputMessage="1" showErrorMessage="1" xr:uid="{00000000-0002-0000-0600-000015000000}">
          <x14:formula1>
            <xm:f>'Attribute Key Values'!$G$89:$G$90</xm:f>
          </x14:formula1>
          <xm:sqref>C17</xm:sqref>
        </x14:dataValidation>
        <x14:dataValidation type="list" allowBlank="1" showInputMessage="1" showErrorMessage="1" xr:uid="{00000000-0002-0000-0600-000009000000}">
          <x14:formula1>
            <xm:f>'Attribute Key Values'!$C$19:$C$53</xm:f>
          </x14:formula1>
          <xm:sqref>K5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0" tint="-0.249977111117893"/>
  </sheetPr>
  <dimension ref="A1:FY39"/>
  <sheetViews>
    <sheetView zoomScale="80" zoomScaleNormal="80" workbookViewId="0">
      <selection activeCell="D14" sqref="D14"/>
    </sheetView>
  </sheetViews>
  <sheetFormatPr defaultRowHeight="14.45"/>
  <cols>
    <col min="1" max="1" width="12.42578125" customWidth="1"/>
    <col min="2" max="2" width="20.42578125" customWidth="1"/>
    <col min="3" max="3" width="34.140625" customWidth="1"/>
    <col min="4" max="4" width="20.85546875" customWidth="1"/>
    <col min="5" max="5" width="22.42578125" customWidth="1"/>
    <col min="6" max="6" width="20" customWidth="1"/>
    <col min="7" max="7" width="34.140625" customWidth="1"/>
    <col min="8" max="8" width="20.42578125" customWidth="1"/>
    <col min="9" max="9" width="13.42578125" customWidth="1"/>
    <col min="10" max="10" width="11.85546875" customWidth="1"/>
    <col min="11" max="11" width="15.140625" customWidth="1"/>
  </cols>
  <sheetData>
    <row r="1" spans="1:181" ht="74.45" customHeight="1" thickBot="1">
      <c r="A1" s="721" t="s">
        <v>760</v>
      </c>
      <c r="B1" s="721"/>
      <c r="C1" s="614"/>
      <c r="D1" s="614"/>
      <c r="E1" s="614"/>
      <c r="F1" s="614"/>
      <c r="G1" s="614"/>
      <c r="H1" s="614"/>
      <c r="I1" s="721"/>
      <c r="J1" s="721"/>
      <c r="K1" s="84"/>
      <c r="L1" s="84"/>
      <c r="M1" s="363">
        <f ca="1">TODAY()</f>
        <v>46008</v>
      </c>
      <c r="N1" s="84"/>
      <c r="O1" s="84"/>
      <c r="P1" s="84"/>
      <c r="Q1" s="84"/>
      <c r="R1" s="84"/>
      <c r="S1" s="84"/>
      <c r="T1" s="84"/>
      <c r="U1" s="84"/>
      <c r="V1" s="84"/>
      <c r="W1" s="84"/>
      <c r="X1" s="84"/>
      <c r="Y1" s="84"/>
      <c r="Z1" s="84"/>
      <c r="AA1" s="84"/>
      <c r="AB1" s="84"/>
      <c r="AC1" s="84"/>
      <c r="AD1" s="84"/>
      <c r="AE1" s="84"/>
      <c r="AF1" s="84"/>
      <c r="AG1" s="84"/>
      <c r="AH1" s="84"/>
      <c r="AI1" s="84"/>
      <c r="AJ1" s="84"/>
      <c r="AK1" s="84"/>
      <c r="AL1" s="84"/>
      <c r="AM1" s="84"/>
      <c r="AN1" s="84"/>
      <c r="AO1" s="84"/>
      <c r="AP1" s="84"/>
      <c r="AQ1" s="84"/>
      <c r="AR1" s="84"/>
      <c r="AS1" s="84"/>
      <c r="AT1" s="84"/>
      <c r="AU1" s="84"/>
      <c r="AV1" s="84"/>
      <c r="AW1" s="84"/>
      <c r="AX1" s="84"/>
      <c r="AY1" s="84"/>
      <c r="AZ1" s="84"/>
      <c r="BA1" s="84"/>
      <c r="BB1" s="84"/>
      <c r="BC1" s="84"/>
      <c r="BD1" s="84"/>
      <c r="BE1" s="84"/>
      <c r="BF1" s="84"/>
      <c r="BG1" s="718" t="s">
        <v>761</v>
      </c>
      <c r="BH1" s="719"/>
      <c r="BI1" s="719"/>
      <c r="BJ1" s="719"/>
      <c r="BK1" s="719"/>
      <c r="BL1" s="719"/>
      <c r="BM1" s="719"/>
      <c r="BN1" s="719"/>
      <c r="BO1" s="719"/>
      <c r="BP1" s="719"/>
      <c r="BQ1" s="719"/>
      <c r="BR1" s="719"/>
      <c r="BS1" s="719"/>
      <c r="BT1" s="719"/>
      <c r="BU1" s="719"/>
      <c r="BV1" s="719"/>
      <c r="BW1" s="719"/>
      <c r="BX1" s="719"/>
      <c r="BY1" s="719"/>
      <c r="BZ1" s="719"/>
      <c r="CA1" s="719"/>
      <c r="CB1" s="719"/>
      <c r="CC1" s="719"/>
      <c r="CD1" s="719"/>
      <c r="CE1" s="719"/>
      <c r="CF1" s="719"/>
      <c r="CG1" s="719"/>
      <c r="CH1" s="719"/>
      <c r="CI1" s="719"/>
      <c r="CJ1" s="719"/>
      <c r="CK1" s="719"/>
      <c r="CL1" s="719"/>
      <c r="CM1" s="719"/>
      <c r="CN1" s="719"/>
      <c r="CO1" s="719"/>
      <c r="CP1" s="719"/>
      <c r="CQ1" s="719"/>
      <c r="CR1" s="719"/>
      <c r="CS1" s="719"/>
      <c r="CT1" s="719"/>
      <c r="CU1" s="719"/>
      <c r="CV1" s="720"/>
      <c r="FY1" s="337" t="s">
        <v>762</v>
      </c>
    </row>
    <row r="2" spans="1:181" ht="20.100000000000001" customHeight="1" thickBot="1">
      <c r="A2" s="309">
        <v>6</v>
      </c>
      <c r="B2" s="84"/>
      <c r="C2" s="284" t="s">
        <v>10</v>
      </c>
      <c r="D2" s="285" t="s">
        <v>11</v>
      </c>
      <c r="E2" s="286" t="s">
        <v>12</v>
      </c>
      <c r="F2" s="286" t="s">
        <v>3</v>
      </c>
      <c r="G2" s="724" t="s">
        <v>13</v>
      </c>
      <c r="H2" s="725"/>
      <c r="I2" s="84"/>
      <c r="J2" s="84"/>
      <c r="K2" s="84"/>
      <c r="L2" s="84"/>
      <c r="M2" s="84"/>
      <c r="N2" s="84"/>
      <c r="O2" s="84"/>
      <c r="P2" s="84"/>
      <c r="Q2" s="84"/>
      <c r="R2" s="84"/>
      <c r="S2" s="84"/>
      <c r="T2" s="84"/>
      <c r="U2" s="84"/>
      <c r="V2" s="84"/>
      <c r="W2" s="84"/>
      <c r="X2" s="84"/>
      <c r="Y2" s="84"/>
      <c r="Z2" s="84"/>
      <c r="AA2" s="84"/>
      <c r="AB2" s="84"/>
      <c r="AC2" s="84"/>
      <c r="AD2" s="84"/>
      <c r="AE2" s="84"/>
      <c r="AF2" s="84"/>
      <c r="AG2" s="84"/>
      <c r="AH2" s="84"/>
      <c r="AI2" s="84"/>
      <c r="AJ2" s="84"/>
      <c r="AK2" s="84"/>
      <c r="AL2" s="84"/>
      <c r="AM2" s="84"/>
      <c r="AN2" s="84"/>
      <c r="AO2" s="84"/>
      <c r="AP2" s="84"/>
      <c r="AQ2" s="84"/>
      <c r="AR2" s="84"/>
      <c r="AS2" s="84"/>
      <c r="AT2" s="84"/>
      <c r="AU2" s="84"/>
      <c r="AV2" s="84"/>
      <c r="AW2" s="84"/>
      <c r="AX2" s="84"/>
      <c r="AY2" s="84"/>
      <c r="AZ2" s="84"/>
      <c r="BA2" s="84"/>
      <c r="BB2" s="84"/>
      <c r="BC2" s="84"/>
      <c r="BD2" s="84"/>
      <c r="BE2" s="84"/>
      <c r="BF2" s="84"/>
      <c r="BG2" s="288" t="s">
        <v>763</v>
      </c>
      <c r="BH2" s="288" t="s">
        <v>764</v>
      </c>
      <c r="BI2" s="289" t="s">
        <v>765</v>
      </c>
      <c r="BJ2" s="289" t="s">
        <v>766</v>
      </c>
      <c r="BK2" s="289" t="s">
        <v>767</v>
      </c>
      <c r="BL2" s="289" t="s">
        <v>768</v>
      </c>
      <c r="BM2" s="322" t="s">
        <v>769</v>
      </c>
      <c r="BN2" s="288" t="s">
        <v>743</v>
      </c>
      <c r="BO2" s="289" t="s">
        <v>770</v>
      </c>
      <c r="BP2" s="289" t="s">
        <v>639</v>
      </c>
      <c r="BQ2" s="289" t="s">
        <v>771</v>
      </c>
      <c r="BR2" s="289" t="s">
        <v>772</v>
      </c>
      <c r="BS2" s="289" t="s">
        <v>431</v>
      </c>
      <c r="BT2" s="288" t="s">
        <v>317</v>
      </c>
      <c r="BU2" s="289" t="s">
        <v>773</v>
      </c>
      <c r="BV2" s="288" t="s">
        <v>710</v>
      </c>
      <c r="BW2" s="289" t="s">
        <v>774</v>
      </c>
      <c r="BX2" s="289" t="s">
        <v>315</v>
      </c>
      <c r="BY2" s="321" t="s">
        <v>775</v>
      </c>
      <c r="BZ2" s="289" t="s">
        <v>776</v>
      </c>
      <c r="CA2" s="289" t="s">
        <v>777</v>
      </c>
      <c r="CB2" s="322" t="s">
        <v>778</v>
      </c>
      <c r="CC2" s="320" t="s">
        <v>779</v>
      </c>
      <c r="CD2" s="323" t="s">
        <v>780</v>
      </c>
      <c r="CE2" s="323" t="s">
        <v>781</v>
      </c>
      <c r="CF2" s="323" t="s">
        <v>782</v>
      </c>
      <c r="CG2" s="323" t="s">
        <v>783</v>
      </c>
      <c r="CH2" s="341" t="s">
        <v>784</v>
      </c>
      <c r="CI2" s="320" t="s">
        <v>785</v>
      </c>
      <c r="CJ2" s="324" t="s">
        <v>786</v>
      </c>
      <c r="CK2" s="324" t="s">
        <v>780</v>
      </c>
      <c r="CL2" s="324" t="s">
        <v>783</v>
      </c>
      <c r="CM2" s="320" t="s">
        <v>787</v>
      </c>
      <c r="CN2" s="320" t="s">
        <v>788</v>
      </c>
      <c r="CO2" s="325" t="s">
        <v>789</v>
      </c>
      <c r="CP2" s="288" t="s">
        <v>790</v>
      </c>
      <c r="CQ2" s="326" t="s">
        <v>791</v>
      </c>
      <c r="CR2" s="296" t="s">
        <v>792</v>
      </c>
      <c r="CS2" s="289" t="s">
        <v>793</v>
      </c>
      <c r="CT2" s="289" t="s">
        <v>794</v>
      </c>
      <c r="CU2" s="289" t="s">
        <v>795</v>
      </c>
      <c r="CV2" s="327" t="s">
        <v>796</v>
      </c>
      <c r="CW2" s="140" t="s">
        <v>123</v>
      </c>
      <c r="FY2" s="338" t="s">
        <v>797</v>
      </c>
    </row>
    <row r="3" spans="1:181" ht="20.100000000000001" customHeight="1" thickTop="1" thickBot="1">
      <c r="A3" s="84"/>
      <c r="B3" s="84"/>
      <c r="C3" s="283"/>
      <c r="D3" s="362">
        <f ca="1">TODAY()</f>
        <v>46008</v>
      </c>
      <c r="E3" s="52"/>
      <c r="F3" s="60"/>
      <c r="G3" s="722"/>
      <c r="H3" s="723"/>
      <c r="I3" s="84"/>
      <c r="J3" s="84"/>
      <c r="K3" s="84"/>
      <c r="L3" s="84"/>
      <c r="M3" s="84"/>
      <c r="N3" s="84"/>
      <c r="O3" s="84"/>
      <c r="P3" s="84"/>
      <c r="Q3" s="84"/>
      <c r="R3" s="84"/>
      <c r="S3" s="84"/>
      <c r="T3" s="84"/>
      <c r="U3" s="84"/>
      <c r="V3" s="84"/>
      <c r="W3" s="84"/>
      <c r="X3" s="84"/>
      <c r="Y3" s="84"/>
      <c r="Z3" s="84"/>
      <c r="AA3" s="84"/>
      <c r="AB3" s="84"/>
      <c r="AC3" s="84"/>
      <c r="AD3" s="84"/>
      <c r="AE3" s="84"/>
      <c r="AF3" s="84"/>
      <c r="AG3" s="84"/>
      <c r="AH3" s="84"/>
      <c r="AI3" s="84"/>
      <c r="AJ3" s="84"/>
      <c r="AK3" s="84"/>
      <c r="AL3" s="84"/>
      <c r="AM3" s="84"/>
      <c r="AN3" s="84"/>
      <c r="AO3" s="84"/>
      <c r="AP3" s="84"/>
      <c r="AQ3" s="84"/>
      <c r="AR3" s="84"/>
      <c r="AS3" s="84"/>
      <c r="AT3" s="84"/>
      <c r="AU3" s="84"/>
      <c r="AV3" s="84"/>
      <c r="AW3" s="84"/>
      <c r="AX3" s="84"/>
      <c r="AY3" s="84"/>
      <c r="AZ3" s="84"/>
      <c r="BA3" s="84"/>
      <c r="BB3" s="84"/>
      <c r="BC3" s="84"/>
      <c r="BD3" s="84"/>
      <c r="BE3" s="84"/>
      <c r="BF3" s="84"/>
      <c r="BG3" s="330" t="s">
        <v>118</v>
      </c>
      <c r="BH3" s="293" t="s">
        <v>118</v>
      </c>
      <c r="BI3" s="294" t="s">
        <v>118</v>
      </c>
      <c r="BJ3" s="294" t="s">
        <v>118</v>
      </c>
      <c r="BK3" s="294" t="s">
        <v>118</v>
      </c>
      <c r="BL3" s="294"/>
      <c r="BM3" s="331">
        <v>0</v>
      </c>
      <c r="BN3" s="329" t="s">
        <v>118</v>
      </c>
      <c r="BO3" s="290" t="s">
        <v>118</v>
      </c>
      <c r="BP3" s="290" t="s">
        <v>118</v>
      </c>
      <c r="BQ3" s="290" t="s">
        <v>118</v>
      </c>
      <c r="BR3" s="290"/>
      <c r="BS3" s="290" t="s">
        <v>118</v>
      </c>
      <c r="BT3" s="329" t="s">
        <v>118</v>
      </c>
      <c r="BU3" s="290" t="s">
        <v>118</v>
      </c>
      <c r="BV3" s="329" t="s">
        <v>798</v>
      </c>
      <c r="BW3" s="290" t="s">
        <v>799</v>
      </c>
      <c r="BX3" s="290" t="s">
        <v>798</v>
      </c>
      <c r="BY3" s="290" t="s">
        <v>118</v>
      </c>
      <c r="BZ3" s="290" t="s">
        <v>118</v>
      </c>
      <c r="CA3" s="290" t="s">
        <v>118</v>
      </c>
      <c r="CB3" s="290" t="s">
        <v>118</v>
      </c>
      <c r="CC3" s="332" t="s">
        <v>118</v>
      </c>
      <c r="CD3" s="328" t="s">
        <v>118</v>
      </c>
      <c r="CE3" s="328" t="s">
        <v>118</v>
      </c>
      <c r="CF3" s="328" t="s">
        <v>118</v>
      </c>
      <c r="CG3" s="328" t="s">
        <v>118</v>
      </c>
      <c r="CH3" s="328" t="s">
        <v>118</v>
      </c>
      <c r="CI3" s="332" t="s">
        <v>118</v>
      </c>
      <c r="CJ3" s="290" t="s">
        <v>118</v>
      </c>
      <c r="CK3" s="332" t="s">
        <v>118</v>
      </c>
      <c r="CL3" s="333" t="s">
        <v>118</v>
      </c>
      <c r="CM3" s="333" t="s">
        <v>118</v>
      </c>
      <c r="CN3" s="333" t="s">
        <v>118</v>
      </c>
      <c r="CO3" s="337" t="s">
        <v>118</v>
      </c>
      <c r="CP3" s="334" t="s">
        <v>118</v>
      </c>
      <c r="CQ3" s="329" t="s">
        <v>118</v>
      </c>
      <c r="CR3" s="333" t="s">
        <v>118</v>
      </c>
      <c r="CS3" s="335" t="s">
        <v>118</v>
      </c>
      <c r="CT3" s="339" t="s">
        <v>653</v>
      </c>
      <c r="CU3" s="339" t="s">
        <v>800</v>
      </c>
      <c r="CV3" s="336" t="s">
        <v>118</v>
      </c>
      <c r="CW3" s="61"/>
      <c r="FY3" s="338" t="s">
        <v>801</v>
      </c>
    </row>
    <row r="4" spans="1:181" ht="21.6" hidden="1" customHeight="1" thickBot="1">
      <c r="A4" s="84"/>
      <c r="B4" s="84"/>
      <c r="C4" s="76"/>
      <c r="D4" s="76"/>
      <c r="E4" s="76"/>
      <c r="F4" s="84"/>
      <c r="G4" s="84"/>
      <c r="H4" s="84"/>
      <c r="I4" s="84"/>
      <c r="J4" s="84"/>
      <c r="K4" s="84"/>
      <c r="L4" s="84"/>
      <c r="M4" s="84"/>
      <c r="N4" s="84"/>
      <c r="O4" s="84"/>
      <c r="P4" s="84"/>
      <c r="Q4" s="84"/>
      <c r="R4" s="84"/>
      <c r="S4" s="84"/>
      <c r="T4" s="84"/>
      <c r="U4" s="84"/>
      <c r="V4" s="84"/>
      <c r="W4" s="84"/>
      <c r="X4" s="84"/>
      <c r="Y4" s="84"/>
      <c r="Z4" s="84"/>
      <c r="AA4" s="84"/>
      <c r="AB4" s="84"/>
      <c r="AC4" s="84"/>
      <c r="AD4" s="84"/>
      <c r="AE4" s="84"/>
      <c r="AF4" s="84"/>
      <c r="AG4" s="84"/>
      <c r="AH4" s="84"/>
      <c r="AI4" s="84"/>
      <c r="AJ4" s="84"/>
      <c r="AK4" s="84"/>
      <c r="AL4" s="84"/>
      <c r="AM4" s="84"/>
      <c r="AN4" s="84"/>
      <c r="AO4" s="84"/>
      <c r="AP4" s="84"/>
      <c r="AQ4" s="84"/>
      <c r="AR4" s="84"/>
      <c r="AS4" s="84"/>
      <c r="AT4" s="84"/>
      <c r="AU4" s="84"/>
      <c r="AV4" s="84"/>
      <c r="AW4" s="84"/>
      <c r="AX4" s="84"/>
      <c r="AY4" s="84"/>
      <c r="AZ4" s="84"/>
      <c r="BA4" s="84"/>
      <c r="BB4" s="84"/>
      <c r="BC4" s="84"/>
      <c r="BD4" s="84"/>
      <c r="BE4" s="84"/>
      <c r="BF4" s="84"/>
    </row>
    <row r="5" spans="1:181" ht="15" hidden="1" thickBot="1">
      <c r="A5" s="84"/>
      <c r="B5" s="92"/>
      <c r="C5" s="715" t="s">
        <v>3</v>
      </c>
      <c r="D5" s="716"/>
      <c r="E5" s="717"/>
      <c r="F5" s="84"/>
      <c r="G5" s="84"/>
      <c r="H5" s="84"/>
      <c r="I5" s="84"/>
      <c r="J5" s="84"/>
      <c r="K5" s="84"/>
      <c r="L5" s="84"/>
      <c r="M5" s="84"/>
      <c r="N5" s="84"/>
      <c r="O5" s="84"/>
      <c r="P5" s="84"/>
      <c r="Q5" s="84"/>
      <c r="R5" s="84"/>
      <c r="S5" s="84"/>
      <c r="T5" s="84"/>
      <c r="U5" s="84"/>
      <c r="V5" s="84"/>
      <c r="W5" s="84"/>
      <c r="X5" s="84"/>
      <c r="Y5" s="84"/>
      <c r="Z5" s="84"/>
      <c r="AA5" s="84"/>
      <c r="AB5" s="84"/>
      <c r="AC5" s="84"/>
      <c r="AD5" s="84"/>
      <c r="AE5" s="84"/>
      <c r="AF5" s="84"/>
      <c r="AG5" s="84"/>
      <c r="AH5" s="84"/>
      <c r="AI5" s="84"/>
      <c r="AJ5" s="84"/>
      <c r="AK5" s="84"/>
      <c r="AL5" s="84"/>
      <c r="AM5" s="84"/>
      <c r="AN5" s="84"/>
      <c r="AO5" s="84"/>
      <c r="AP5" s="84"/>
      <c r="AQ5" s="84"/>
      <c r="AR5" s="84"/>
      <c r="AS5" s="84"/>
      <c r="AT5" s="84"/>
      <c r="AU5" s="84"/>
      <c r="AV5" s="84"/>
      <c r="AW5" s="84"/>
      <c r="AX5" s="84"/>
      <c r="AY5" s="84"/>
      <c r="AZ5" s="84"/>
      <c r="BA5" s="84"/>
      <c r="BB5" s="84"/>
      <c r="BC5" s="84"/>
      <c r="BD5" s="84"/>
      <c r="BE5" s="84"/>
      <c r="BF5" s="84"/>
    </row>
    <row r="6" spans="1:181" ht="15" hidden="1" thickBot="1">
      <c r="A6" s="84"/>
      <c r="B6" s="84"/>
      <c r="C6" s="712">
        <f>F3</f>
        <v>0</v>
      </c>
      <c r="D6" s="713"/>
      <c r="E6" s="714"/>
      <c r="F6" s="84"/>
      <c r="G6" s="84"/>
      <c r="H6" s="84"/>
      <c r="I6" s="84"/>
      <c r="J6" s="84"/>
      <c r="K6" s="84"/>
      <c r="L6" s="84"/>
      <c r="M6" s="84"/>
      <c r="N6" s="84"/>
      <c r="O6" s="8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84"/>
      <c r="AR6" s="84"/>
      <c r="AS6" s="84"/>
      <c r="AT6" s="84"/>
      <c r="AU6" s="84"/>
      <c r="AV6" s="84"/>
      <c r="AW6" s="84"/>
      <c r="AX6" s="84"/>
      <c r="AY6" s="84"/>
      <c r="AZ6" s="84"/>
      <c r="BA6" s="84"/>
      <c r="BB6" s="84"/>
      <c r="BC6" s="84"/>
      <c r="BD6" s="84"/>
      <c r="BE6" s="84"/>
      <c r="BF6" s="84"/>
    </row>
    <row r="7" spans="1:181" hidden="1">
      <c r="A7" s="84"/>
      <c r="B7" s="84"/>
      <c r="C7" s="84"/>
      <c r="D7" s="84"/>
      <c r="E7" s="84"/>
      <c r="F7" s="84"/>
      <c r="G7" s="84"/>
      <c r="H7" s="84"/>
      <c r="I7" s="84"/>
      <c r="J7" s="84"/>
      <c r="K7" s="84"/>
      <c r="L7" s="84"/>
      <c r="M7" s="84"/>
      <c r="N7" s="84"/>
      <c r="O7" s="84"/>
      <c r="P7" s="84"/>
      <c r="Q7" s="84"/>
      <c r="R7" s="84"/>
      <c r="S7" s="84"/>
      <c r="T7" s="84"/>
      <c r="U7" s="84"/>
      <c r="V7" s="84"/>
      <c r="W7" s="84"/>
      <c r="X7" s="84"/>
      <c r="Y7" s="84"/>
      <c r="Z7" s="84"/>
      <c r="AA7" s="84"/>
      <c r="AB7" s="84"/>
      <c r="AC7" s="84"/>
      <c r="AD7" s="84"/>
      <c r="AE7" s="84"/>
      <c r="AF7" s="84"/>
      <c r="AG7" s="84"/>
      <c r="AH7" s="84"/>
      <c r="AI7" s="84"/>
      <c r="AJ7" s="84"/>
      <c r="AK7" s="84"/>
      <c r="AL7" s="84"/>
      <c r="AM7" s="84"/>
      <c r="AN7" s="84"/>
      <c r="AO7" s="84"/>
      <c r="AP7" s="84"/>
      <c r="AQ7" s="84"/>
      <c r="AR7" s="84"/>
      <c r="AS7" s="84"/>
      <c r="AT7" s="84"/>
      <c r="AU7" s="84"/>
      <c r="AV7" s="84"/>
      <c r="AW7" s="84"/>
      <c r="AX7" s="84"/>
      <c r="AY7" s="84"/>
      <c r="AZ7" s="84"/>
      <c r="BA7" s="84"/>
      <c r="BB7" s="84"/>
      <c r="BC7" s="84"/>
      <c r="BD7" s="84"/>
      <c r="BE7" s="84"/>
      <c r="BF7" s="84"/>
    </row>
    <row r="8" spans="1:181" hidden="1">
      <c r="A8" s="84"/>
      <c r="B8" s="84"/>
      <c r="C8" s="84"/>
      <c r="D8" s="84"/>
      <c r="E8" s="84"/>
      <c r="F8" s="84"/>
      <c r="G8" s="84"/>
      <c r="H8" s="84"/>
      <c r="I8" s="84"/>
      <c r="J8" s="84"/>
      <c r="K8" s="84"/>
      <c r="L8" s="84"/>
      <c r="M8" s="84"/>
      <c r="N8" s="84"/>
      <c r="O8" s="84"/>
      <c r="P8" s="84"/>
      <c r="Q8" s="84"/>
      <c r="R8" s="84"/>
      <c r="S8" s="84"/>
      <c r="T8" s="84"/>
      <c r="U8" s="84"/>
      <c r="V8" s="84"/>
      <c r="W8" s="84"/>
      <c r="X8" s="84"/>
      <c r="Y8" s="84"/>
      <c r="Z8" s="84"/>
      <c r="AA8" s="84"/>
      <c r="AB8" s="84"/>
      <c r="AC8" s="84"/>
      <c r="AD8" s="84"/>
      <c r="AE8" s="84"/>
      <c r="AF8" s="84"/>
      <c r="AG8" s="84"/>
      <c r="AH8" s="84"/>
      <c r="AI8" s="84"/>
      <c r="AJ8" s="84"/>
      <c r="AK8" s="84"/>
      <c r="AL8" s="84"/>
      <c r="AM8" s="84"/>
      <c r="AN8" s="84"/>
      <c r="AO8" s="84"/>
      <c r="AP8" s="84"/>
      <c r="AQ8" s="84"/>
      <c r="AR8" s="84"/>
      <c r="AS8" s="84"/>
      <c r="AT8" s="84"/>
      <c r="AU8" s="84"/>
      <c r="AV8" s="84"/>
      <c r="AW8" s="84"/>
      <c r="AX8" s="84"/>
      <c r="AY8" s="84"/>
      <c r="AZ8" s="84"/>
      <c r="BA8" s="84"/>
      <c r="BB8" s="84"/>
      <c r="BC8" s="84"/>
      <c r="BD8" s="84"/>
      <c r="BE8" s="84"/>
      <c r="BF8" s="84"/>
    </row>
    <row r="9" spans="1:181" hidden="1">
      <c r="A9" s="84"/>
      <c r="B9" s="84"/>
      <c r="C9" s="84"/>
      <c r="D9" s="84"/>
      <c r="E9" s="84"/>
      <c r="F9" s="84"/>
      <c r="G9" s="84"/>
      <c r="H9" s="84"/>
      <c r="I9" s="84"/>
      <c r="J9" s="84"/>
      <c r="K9" s="84"/>
      <c r="L9" s="84"/>
      <c r="M9" s="84"/>
      <c r="N9" s="84"/>
      <c r="O9" s="84"/>
      <c r="P9" s="84"/>
      <c r="Q9" s="84"/>
      <c r="R9" s="84"/>
      <c r="S9" s="84"/>
      <c r="T9" s="84"/>
      <c r="U9" s="84"/>
      <c r="V9" s="84"/>
      <c r="W9" s="84"/>
      <c r="X9" s="84"/>
      <c r="Y9" s="84"/>
      <c r="Z9" s="84"/>
      <c r="AA9" s="84"/>
      <c r="AB9" s="84"/>
      <c r="AC9" s="84"/>
      <c r="AD9" s="84"/>
      <c r="AE9" s="84"/>
      <c r="AF9" s="84"/>
      <c r="AG9" s="84"/>
      <c r="AH9" s="84"/>
      <c r="AI9" s="84"/>
      <c r="AJ9" s="84"/>
      <c r="AK9" s="84"/>
      <c r="AL9" s="84"/>
      <c r="AM9" s="84"/>
      <c r="AN9" s="84"/>
      <c r="AO9" s="84"/>
      <c r="AP9" s="84"/>
      <c r="AQ9" s="84"/>
      <c r="AR9" s="84"/>
      <c r="AS9" s="84"/>
      <c r="AT9" s="84"/>
      <c r="AU9" s="84"/>
      <c r="AV9" s="84"/>
      <c r="AW9" s="84"/>
      <c r="AX9" s="84"/>
      <c r="AY9" s="84"/>
      <c r="AZ9" s="84"/>
      <c r="BA9" s="84"/>
      <c r="BB9" s="84"/>
      <c r="BC9" s="84"/>
      <c r="BD9" s="84"/>
      <c r="BE9" s="84"/>
      <c r="BF9" s="84"/>
    </row>
    <row r="10" spans="1:181" hidden="1">
      <c r="A10" s="309">
        <f>LEN(A15)</f>
        <v>0</v>
      </c>
      <c r="B10" s="84"/>
      <c r="C10" s="84"/>
      <c r="D10" s="84"/>
      <c r="E10" s="84"/>
      <c r="F10" s="84"/>
      <c r="G10" s="84"/>
      <c r="H10" s="84"/>
      <c r="I10" s="84"/>
      <c r="J10" s="84"/>
      <c r="K10" s="84"/>
      <c r="L10" s="84"/>
      <c r="M10" s="84"/>
      <c r="N10" s="84"/>
      <c r="O10" s="84"/>
      <c r="P10" s="84"/>
      <c r="Q10" s="84"/>
      <c r="R10" s="84"/>
      <c r="S10" s="84"/>
      <c r="T10" s="84"/>
      <c r="U10" s="84"/>
      <c r="V10" s="84"/>
      <c r="W10" s="84"/>
      <c r="X10" s="84"/>
      <c r="Y10" s="84"/>
      <c r="Z10" s="84"/>
      <c r="AA10" s="84"/>
      <c r="AB10" s="84"/>
      <c r="AC10" s="84"/>
      <c r="AD10" s="84"/>
      <c r="AE10" s="84"/>
      <c r="AF10" s="84"/>
      <c r="AG10" s="84"/>
      <c r="AH10" s="84"/>
      <c r="AI10" s="84"/>
      <c r="AJ10" s="84"/>
      <c r="AK10" s="84"/>
      <c r="AL10" s="84"/>
      <c r="AM10" s="84"/>
      <c r="AN10" s="84"/>
      <c r="AO10" s="84"/>
      <c r="AP10" s="84"/>
      <c r="AQ10" s="84"/>
      <c r="AR10" s="84"/>
      <c r="AS10" s="84"/>
      <c r="AT10" s="84"/>
      <c r="AU10" s="84"/>
      <c r="AV10" s="84"/>
      <c r="AW10" s="84"/>
      <c r="AX10" s="84"/>
      <c r="AY10" s="84"/>
      <c r="AZ10" s="84"/>
      <c r="BA10" s="84"/>
      <c r="BB10" s="84"/>
      <c r="BC10" s="84"/>
      <c r="BD10" s="84"/>
      <c r="BE10" s="84"/>
      <c r="BF10" s="84"/>
    </row>
    <row r="11" spans="1:181" hidden="1">
      <c r="A11" s="84"/>
      <c r="B11" s="84"/>
      <c r="C11" s="84"/>
      <c r="D11" s="84"/>
      <c r="E11" s="84"/>
      <c r="F11" s="84"/>
      <c r="G11" s="84"/>
      <c r="H11" s="84"/>
      <c r="I11" s="84"/>
      <c r="J11" s="84"/>
      <c r="K11" s="84"/>
      <c r="L11" s="84"/>
      <c r="M11" s="84"/>
      <c r="N11" s="84"/>
      <c r="O11" s="84"/>
      <c r="P11" s="84"/>
      <c r="Q11" s="84"/>
      <c r="R11" s="84"/>
      <c r="S11" s="84"/>
      <c r="T11" s="84"/>
      <c r="U11" s="84"/>
      <c r="V11" s="84"/>
      <c r="W11" s="84"/>
      <c r="X11" s="84"/>
      <c r="Y11" s="84"/>
      <c r="Z11" s="84"/>
      <c r="AA11" s="84"/>
      <c r="AB11" s="84"/>
      <c r="AC11" s="84"/>
      <c r="AD11" s="84"/>
      <c r="AE11" s="84"/>
      <c r="AF11" s="84"/>
      <c r="AG11" s="84"/>
      <c r="AH11" s="84"/>
      <c r="AI11" s="84"/>
      <c r="AJ11" s="84"/>
      <c r="AK11" s="84"/>
      <c r="AL11" s="84"/>
      <c r="AM11" s="84"/>
      <c r="AN11" s="84"/>
      <c r="AO11" s="84"/>
      <c r="AP11" s="84"/>
      <c r="AQ11" s="84"/>
      <c r="AR11" s="84"/>
      <c r="AS11" s="84"/>
      <c r="AT11" s="84"/>
      <c r="AU11" s="84"/>
      <c r="AV11" s="84"/>
      <c r="AW11" s="84"/>
      <c r="AX11" s="84"/>
      <c r="AY11" s="84"/>
      <c r="AZ11" s="84"/>
      <c r="BA11" s="84"/>
      <c r="BB11" s="84"/>
      <c r="BC11" s="84"/>
      <c r="BD11" s="84"/>
      <c r="BE11" s="84"/>
      <c r="BF11" s="84"/>
    </row>
    <row r="12" spans="1:181" hidden="1">
      <c r="A12" s="84"/>
      <c r="B12" s="84"/>
      <c r="C12" s="84"/>
      <c r="D12" s="84"/>
      <c r="E12" s="84"/>
      <c r="F12" s="84"/>
      <c r="G12" s="84"/>
      <c r="H12" s="84"/>
      <c r="I12" s="84"/>
      <c r="J12" s="84"/>
      <c r="K12" s="84"/>
      <c r="L12" s="84"/>
      <c r="M12" s="84"/>
      <c r="N12" s="84"/>
      <c r="O12" s="84"/>
      <c r="P12" s="84"/>
      <c r="Q12" s="84"/>
      <c r="R12" s="84"/>
      <c r="S12" s="84"/>
      <c r="T12" s="84"/>
      <c r="U12" s="84"/>
      <c r="V12" s="84"/>
      <c r="W12" s="84"/>
      <c r="X12" s="84"/>
      <c r="Y12" s="84"/>
      <c r="Z12" s="84"/>
      <c r="AA12" s="84"/>
      <c r="AB12" s="84"/>
      <c r="AC12" s="84"/>
      <c r="AD12" s="84"/>
      <c r="AE12" s="84"/>
      <c r="AF12" s="84"/>
      <c r="AG12" s="84"/>
      <c r="AH12" s="84"/>
      <c r="AI12" s="84"/>
      <c r="AJ12" s="84"/>
      <c r="AK12" s="84"/>
      <c r="AL12" s="84"/>
      <c r="AM12" s="84"/>
      <c r="AN12" s="84"/>
      <c r="AO12" s="84"/>
      <c r="AP12" s="84"/>
      <c r="AQ12" s="84"/>
      <c r="AR12" s="84"/>
      <c r="AS12" s="84"/>
      <c r="AT12" s="84"/>
      <c r="AU12" s="84"/>
      <c r="AV12" s="84"/>
      <c r="AW12" s="84"/>
      <c r="AX12" s="84"/>
      <c r="AY12" s="84"/>
      <c r="AZ12" s="84"/>
      <c r="BA12" s="84"/>
      <c r="BB12" s="84"/>
      <c r="BC12" s="84"/>
      <c r="BD12" s="84"/>
      <c r="BE12" s="84"/>
      <c r="BF12" s="84"/>
    </row>
    <row r="13" spans="1:181" hidden="1">
      <c r="A13" s="84"/>
      <c r="B13" s="84"/>
      <c r="C13" s="84"/>
      <c r="D13" s="84"/>
      <c r="E13" s="84"/>
      <c r="F13" s="84"/>
      <c r="G13" s="84"/>
      <c r="H13" s="84"/>
      <c r="I13" s="84"/>
      <c r="J13" s="84"/>
      <c r="K13" s="84"/>
      <c r="L13" s="84"/>
      <c r="M13" s="84"/>
      <c r="N13" s="84"/>
      <c r="O13" s="84"/>
      <c r="P13" s="84"/>
      <c r="Q13" s="84"/>
      <c r="R13" s="84"/>
      <c r="S13" s="84"/>
      <c r="T13" s="84"/>
      <c r="U13" s="84"/>
      <c r="V13" s="84"/>
      <c r="W13" s="84"/>
      <c r="X13" s="84"/>
      <c r="Y13" s="84"/>
      <c r="Z13" s="84"/>
      <c r="AA13" s="84"/>
      <c r="AB13" s="84"/>
      <c r="AC13" s="84"/>
      <c r="AD13" s="84"/>
      <c r="AE13" s="84"/>
      <c r="AF13" s="84"/>
      <c r="AG13" s="84"/>
      <c r="AH13" s="84"/>
      <c r="AI13" s="84"/>
      <c r="AJ13" s="84"/>
      <c r="AK13" s="84"/>
      <c r="AL13" s="84"/>
      <c r="AM13" s="84"/>
      <c r="AN13" s="84"/>
      <c r="AO13" s="84"/>
      <c r="AP13" s="84"/>
      <c r="AQ13" s="84"/>
      <c r="AR13" s="84"/>
      <c r="AS13" s="84"/>
      <c r="AT13" s="84"/>
      <c r="AU13" s="84"/>
      <c r="AV13" s="84"/>
      <c r="AW13" s="84"/>
      <c r="AX13" s="84"/>
      <c r="AY13" s="84"/>
      <c r="AZ13" s="84"/>
      <c r="BA13" s="84"/>
      <c r="BB13" s="84"/>
      <c r="BC13" s="84"/>
      <c r="BD13" s="84"/>
      <c r="BE13" s="84"/>
      <c r="BF13" s="84"/>
    </row>
    <row r="14" spans="1:181" ht="15" customHeight="1"/>
    <row r="15" spans="1:181" ht="39.6" customHeight="1"/>
    <row r="16" spans="1:181" ht="23.1" customHeight="1"/>
    <row r="18" ht="15" customHeight="1"/>
    <row r="19" ht="15" customHeight="1"/>
    <row r="20" ht="15" customHeight="1"/>
    <row r="21" ht="15" customHeight="1"/>
    <row r="22" ht="15" customHeight="1"/>
    <row r="23" ht="15" customHeight="1"/>
    <row r="24" ht="15" customHeight="1"/>
    <row r="25" ht="15" customHeight="1"/>
    <row r="26" ht="15" customHeight="1"/>
    <row r="27" ht="15" customHeight="1"/>
    <row r="28" ht="15" customHeight="1"/>
    <row r="29" ht="15" customHeight="1"/>
    <row r="30" ht="15" customHeight="1"/>
    <row r="31" ht="15" customHeight="1"/>
    <row r="32" ht="15" customHeight="1"/>
    <row r="33" ht="15" customHeight="1"/>
    <row r="34" ht="15" customHeight="1"/>
    <row r="35" ht="15" customHeight="1"/>
    <row r="36" ht="15" customHeight="1"/>
    <row r="37" ht="15" customHeight="1"/>
    <row r="38" ht="15" customHeight="1"/>
    <row r="39" ht="15" customHeight="1"/>
  </sheetData>
  <mergeCells count="6">
    <mergeCell ref="C6:E6"/>
    <mergeCell ref="C5:E5"/>
    <mergeCell ref="BG1:CV1"/>
    <mergeCell ref="A1:J1"/>
    <mergeCell ref="G3:H3"/>
    <mergeCell ref="G2:H2"/>
  </mergeCells>
  <dataValidations count="9">
    <dataValidation type="list" allowBlank="1" showInputMessage="1" showErrorMessage="1" sqref="E3" xr:uid="{00000000-0002-0000-0800-000000000000}">
      <formula1>"Upstream, Downstream, International, Corporate, Corporate-Wind"</formula1>
    </dataValidation>
    <dataValidation type="list" allowBlank="1" showInputMessage="1" showErrorMessage="1" sqref="F3" xr:uid="{00000000-0002-0000-0800-000001000000}">
      <formula1>"Add, Update, Block"</formula1>
    </dataValidation>
    <dataValidation type="list" allowBlank="1" showInputMessage="1" showErrorMessage="1" sqref="CW3" xr:uid="{00000000-0002-0000-0800-000002000000}">
      <formula1>"Yes, No"</formula1>
    </dataValidation>
    <dataValidation type="list" allowBlank="1" showInputMessage="1" showErrorMessage="1" sqref="BK3" xr:uid="{00000000-0002-0000-0800-000003000000}">
      <formula1>"BS - Balance Sheet Accounts, BSFX - Subledger FX Accounts, CASH - Cash Accounts, FA - Fixed Assets Accounts, MAT - Materials Maangement Accounts, PL - P&amp;L Accounts, RECN - A/R A/P recon Accounts"</formula1>
    </dataValidation>
    <dataValidation type="list" allowBlank="1" showInputMessage="1" showErrorMessage="1" sqref="CU3" xr:uid="{00000000-0002-0000-0800-000004000000}">
      <formula1>$DT$6:$DT$34</formula1>
    </dataValidation>
    <dataValidation type="list" allowBlank="1" showInputMessage="1" showErrorMessage="1" sqref="CT3" xr:uid="{00000000-0002-0000-0800-000005000000}">
      <formula1>"+, -"</formula1>
    </dataValidation>
    <dataValidation type="list" allowBlank="1" showInputMessage="1" showErrorMessage="1" sqref="BO3 BQ3 BU3 BY3:CB3" xr:uid="{00000000-0002-0000-0800-000006000000}">
      <formula1>"Locked, Unlocked"</formula1>
    </dataValidation>
    <dataValidation type="list" allowBlank="1" showInputMessage="1" showErrorMessage="1" sqref="BM3" xr:uid="{00000000-0002-0000-0800-000007000000}">
      <formula1>"S001 - Selling and General, S002 - operating, S003 - Exploration, S004 - Energy+$3:$3marketing &amp; Trading, S005 - Transportation &amp; Other, S006 - R&amp;D Research &amp; Development, S007 - Commissioning &amp; Start-Up, S008 - Safe Mode "</formula1>
    </dataValidation>
    <dataValidation type="list" allowBlank="1" showInputMessage="1" showErrorMessage="1" sqref="BL3" xr:uid="{00000000-0002-0000-0800-000008000000}">
      <formula1>"1 - Primary costs/cost-reducing revenues, 3 - Acrrual/defferal per surcharge, 4- Accural/deferral per debit = actual, 11 - Revenues, 12 - Sales Deduction, 22 - External settlement"</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Button 3">
              <controlPr defaultSize="0" print="0" autoFill="0" autoPict="0" macro="[0]!MDCRFORM">
                <anchor moveWithCells="1" sizeWithCells="1">
                  <from>
                    <xdr:col>6</xdr:col>
                    <xdr:colOff>1530350</xdr:colOff>
                    <xdr:row>0</xdr:row>
                    <xdr:rowOff>101600</xdr:rowOff>
                  </from>
                  <to>
                    <xdr:col>8</xdr:col>
                    <xdr:colOff>6350</xdr:colOff>
                    <xdr:row>0</xdr:row>
                    <xdr:rowOff>685800</xdr:rowOff>
                  </to>
                </anchor>
              </controlPr>
            </control>
          </mc:Choice>
        </mc:AlternateContent>
        <mc:AlternateContent xmlns:mc="http://schemas.openxmlformats.org/markup-compatibility/2006">
          <mc:Choice Requires="x14">
            <control shapeId="16390" r:id="rId5" name="Button 6">
              <controlPr defaultSize="0" print="0" autoFill="0" autoPict="0" macro="[0]!MDCRFORMActvitytype">
                <anchor moveWithCells="1" sizeWithCells="1">
                  <from>
                    <xdr:col>6</xdr:col>
                    <xdr:colOff>1136650</xdr:colOff>
                    <xdr:row>0</xdr:row>
                    <xdr:rowOff>184150</xdr:rowOff>
                  </from>
                  <to>
                    <xdr:col>7</xdr:col>
                    <xdr:colOff>1149350</xdr:colOff>
                    <xdr:row>0</xdr:row>
                    <xdr:rowOff>831850</xdr:rowOff>
                  </to>
                </anchor>
              </controlPr>
            </control>
          </mc:Choice>
        </mc:AlternateContent>
        <mc:AlternateContent xmlns:mc="http://schemas.openxmlformats.org/markup-compatibility/2006">
          <mc:Choice Requires="x14">
            <control shapeId="16391" r:id="rId6" name="Button 7">
              <controlPr defaultSize="0" print="0" autoFill="0" autoPict="0" macro="[0]!ClearMDCRFormActivitytypes">
                <anchor moveWithCells="1" sizeWithCells="1">
                  <from>
                    <xdr:col>2</xdr:col>
                    <xdr:colOff>63500</xdr:colOff>
                    <xdr:row>0</xdr:row>
                    <xdr:rowOff>196850</xdr:rowOff>
                  </from>
                  <to>
                    <xdr:col>2</xdr:col>
                    <xdr:colOff>2006600</xdr:colOff>
                    <xdr:row>0</xdr:row>
                    <xdr:rowOff>749300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tabColor rgb="FFFF9966"/>
  </sheetPr>
  <dimension ref="A1:AC1108"/>
  <sheetViews>
    <sheetView topLeftCell="A49" zoomScaleNormal="100" workbookViewId="0">
      <selection activeCell="G16" sqref="G16"/>
    </sheetView>
  </sheetViews>
  <sheetFormatPr defaultRowHeight="14.45"/>
  <cols>
    <col min="1" max="1" width="12.85546875" customWidth="1"/>
    <col min="2" max="2" width="13.5703125" customWidth="1"/>
    <col min="3" max="4" width="16.42578125" customWidth="1"/>
    <col min="5" max="7" width="8.85546875"/>
    <col min="8" max="8" width="22.42578125" customWidth="1"/>
    <col min="9" max="11" width="8.85546875"/>
  </cols>
  <sheetData>
    <row r="1" spans="1:21">
      <c r="A1" s="93"/>
      <c r="B1" s="92"/>
      <c r="C1" s="74"/>
      <c r="D1" s="74"/>
      <c r="E1" s="74"/>
      <c r="F1" s="74"/>
      <c r="G1" s="74"/>
      <c r="H1" s="74"/>
      <c r="I1" s="74"/>
      <c r="J1" s="74"/>
      <c r="K1" s="74"/>
      <c r="L1" s="74"/>
      <c r="M1" s="363">
        <f ca="1">TODAY()</f>
        <v>46008</v>
      </c>
      <c r="N1" s="74"/>
      <c r="O1" s="74"/>
      <c r="P1" s="74"/>
      <c r="Q1" s="74"/>
      <c r="R1" s="74"/>
      <c r="S1" s="74"/>
      <c r="T1" s="74"/>
      <c r="U1" s="74"/>
    </row>
    <row r="2" spans="1:21">
      <c r="A2" s="93"/>
      <c r="B2" s="27"/>
      <c r="C2" s="74"/>
      <c r="D2" s="74"/>
      <c r="E2" s="74"/>
      <c r="F2" s="74"/>
      <c r="G2" s="74"/>
      <c r="H2" s="74"/>
      <c r="I2" s="74"/>
      <c r="J2" s="74"/>
      <c r="K2" s="74"/>
      <c r="L2" s="74"/>
      <c r="M2" s="74"/>
      <c r="N2" s="74"/>
      <c r="O2" s="74"/>
      <c r="P2" s="74"/>
      <c r="Q2" s="74"/>
      <c r="R2" s="74"/>
      <c r="S2" s="74"/>
      <c r="T2" s="74"/>
      <c r="U2" s="74"/>
    </row>
    <row r="3" spans="1:21">
      <c r="A3" s="93"/>
      <c r="B3" s="92"/>
      <c r="C3" s="92"/>
      <c r="D3" s="74"/>
      <c r="E3" s="74"/>
      <c r="F3" s="74"/>
      <c r="G3" s="74"/>
      <c r="H3" s="74"/>
      <c r="I3" s="74"/>
      <c r="J3" s="74"/>
      <c r="K3" s="74"/>
      <c r="L3" s="74"/>
      <c r="M3" s="74"/>
      <c r="N3" s="74"/>
      <c r="O3" s="74"/>
      <c r="P3" s="74"/>
      <c r="Q3" s="74"/>
      <c r="R3" s="74"/>
      <c r="S3" s="74"/>
      <c r="T3" s="74"/>
      <c r="U3" s="74"/>
    </row>
    <row r="4" spans="1:21">
      <c r="A4" s="93"/>
      <c r="B4" s="92"/>
      <c r="C4" s="92"/>
      <c r="D4" s="74"/>
      <c r="E4" s="74"/>
      <c r="F4" s="74"/>
      <c r="G4" s="74"/>
      <c r="H4" s="74"/>
      <c r="I4" s="74"/>
      <c r="J4" s="74"/>
      <c r="K4" s="74"/>
      <c r="L4" s="74"/>
      <c r="M4" s="74"/>
      <c r="N4" s="74"/>
      <c r="O4" s="74"/>
      <c r="P4" s="74"/>
      <c r="Q4" s="74"/>
      <c r="R4" s="74"/>
      <c r="S4" s="74"/>
      <c r="T4" s="74"/>
      <c r="U4" s="74"/>
    </row>
    <row r="5" spans="1:21">
      <c r="A5" s="93"/>
      <c r="B5" s="92"/>
      <c r="C5" s="74"/>
      <c r="D5" s="74"/>
      <c r="E5" s="74"/>
      <c r="F5" s="74"/>
      <c r="G5" s="74"/>
      <c r="H5" s="74"/>
      <c r="I5" s="74"/>
      <c r="J5" s="74"/>
      <c r="K5" s="74"/>
      <c r="L5" s="74"/>
      <c r="M5" s="74"/>
      <c r="N5" s="74"/>
      <c r="O5" s="74"/>
      <c r="P5" s="74"/>
      <c r="Q5" s="74"/>
      <c r="R5" s="74"/>
      <c r="S5" s="74"/>
      <c r="T5" s="74"/>
      <c r="U5" s="74"/>
    </row>
    <row r="6" spans="1:21">
      <c r="A6" s="93"/>
      <c r="B6" s="92"/>
      <c r="C6" s="74"/>
      <c r="D6" s="74"/>
      <c r="E6" s="74"/>
      <c r="F6" s="74"/>
      <c r="G6" s="74"/>
      <c r="H6" s="74"/>
      <c r="I6" s="74"/>
      <c r="J6" s="74"/>
      <c r="K6" s="74"/>
      <c r="L6" s="74"/>
      <c r="M6" s="74"/>
      <c r="N6" s="74"/>
      <c r="O6" s="74"/>
      <c r="P6" s="74"/>
      <c r="Q6" s="74"/>
      <c r="R6" s="74"/>
      <c r="S6" s="74"/>
      <c r="T6" s="74"/>
      <c r="U6" s="74"/>
    </row>
    <row r="7" spans="1:21" ht="15.6">
      <c r="A7" s="93"/>
      <c r="B7" s="726" t="s">
        <v>802</v>
      </c>
      <c r="C7" s="727"/>
      <c r="D7" s="727"/>
      <c r="E7" s="727"/>
      <c r="F7" s="727"/>
      <c r="G7" s="727"/>
      <c r="H7" s="728"/>
      <c r="I7" s="74"/>
      <c r="J7" s="74"/>
      <c r="K7" s="74"/>
      <c r="L7" s="74"/>
      <c r="M7" s="74"/>
      <c r="N7" s="74"/>
      <c r="O7" s="74"/>
      <c r="P7" s="74"/>
      <c r="Q7" s="74"/>
      <c r="R7" s="74"/>
      <c r="S7" s="74"/>
      <c r="T7" s="74"/>
      <c r="U7" s="74"/>
    </row>
    <row r="8" spans="1:21">
      <c r="A8" s="93"/>
      <c r="B8" s="264"/>
      <c r="D8" s="265"/>
      <c r="E8" s="74"/>
      <c r="F8" s="74"/>
      <c r="G8" s="74"/>
      <c r="H8" s="74"/>
      <c r="I8" s="74"/>
      <c r="J8" s="74"/>
      <c r="K8" s="74"/>
      <c r="L8" s="74"/>
      <c r="M8" s="74"/>
      <c r="N8" s="74"/>
      <c r="O8" s="74"/>
      <c r="P8" s="74"/>
      <c r="Q8" s="74"/>
      <c r="R8" s="74"/>
      <c r="S8" s="74"/>
      <c r="T8" s="74"/>
      <c r="U8" s="74"/>
    </row>
    <row r="9" spans="1:21">
      <c r="A9" s="93"/>
      <c r="B9" s="730" t="s">
        <v>803</v>
      </c>
      <c r="C9" s="731"/>
      <c r="D9" s="732"/>
      <c r="E9" s="74"/>
      <c r="F9" s="74"/>
      <c r="G9" s="74"/>
      <c r="H9" s="74"/>
      <c r="I9" s="74"/>
      <c r="J9" s="74"/>
      <c r="K9" s="74"/>
      <c r="L9" s="74"/>
      <c r="M9" s="74"/>
      <c r="N9" s="74"/>
      <c r="O9" s="74"/>
      <c r="P9" s="74"/>
      <c r="Q9" s="74"/>
      <c r="R9" s="74"/>
      <c r="S9" s="74"/>
      <c r="T9" s="74"/>
      <c r="U9" s="74"/>
    </row>
    <row r="10" spans="1:21">
      <c r="A10" s="93"/>
      <c r="C10" s="266"/>
      <c r="D10" s="266"/>
      <c r="E10" s="74"/>
      <c r="F10" s="74"/>
      <c r="G10" s="74"/>
      <c r="H10" s="74"/>
      <c r="I10" s="74"/>
      <c r="J10" s="74"/>
      <c r="K10" s="74"/>
      <c r="L10" s="74"/>
      <c r="M10" s="74"/>
      <c r="N10" s="74"/>
      <c r="O10" s="74"/>
      <c r="P10" s="74"/>
      <c r="Q10" s="74"/>
      <c r="R10" s="74"/>
      <c r="S10" s="74"/>
      <c r="T10" s="74"/>
      <c r="U10" s="74"/>
    </row>
    <row r="11" spans="1:21">
      <c r="A11" s="93"/>
      <c r="B11" s="729" t="s">
        <v>804</v>
      </c>
      <c r="C11" s="729"/>
      <c r="D11" s="74"/>
      <c r="E11" s="74"/>
      <c r="F11" s="74"/>
      <c r="G11" s="787"/>
      <c r="H11" s="788"/>
      <c r="I11" s="74"/>
      <c r="J11" s="74"/>
      <c r="K11" s="74"/>
      <c r="L11" s="74"/>
      <c r="M11" s="74"/>
      <c r="N11" s="74"/>
      <c r="O11" s="74"/>
      <c r="P11" s="74"/>
      <c r="Q11" s="74"/>
      <c r="R11" s="74"/>
      <c r="S11" s="74"/>
      <c r="T11" s="74"/>
      <c r="U11" s="74"/>
    </row>
    <row r="12" spans="1:21">
      <c r="A12" s="93"/>
      <c r="C12" s="267"/>
      <c r="D12" s="255"/>
      <c r="E12" s="74"/>
      <c r="F12" s="74"/>
      <c r="G12" s="74"/>
      <c r="H12" s="74"/>
      <c r="I12" s="74"/>
      <c r="J12" s="74"/>
      <c r="K12" s="74"/>
      <c r="L12" s="74"/>
      <c r="M12" s="74"/>
      <c r="N12" s="74"/>
      <c r="O12" s="74"/>
      <c r="P12" s="74"/>
      <c r="Q12" s="74"/>
      <c r="R12" s="74"/>
      <c r="S12" s="74"/>
      <c r="T12" s="74"/>
      <c r="U12" s="74"/>
    </row>
    <row r="13" spans="1:21">
      <c r="A13" s="93"/>
      <c r="B13" s="730" t="s">
        <v>805</v>
      </c>
      <c r="C13" s="731"/>
      <c r="D13" s="732"/>
      <c r="E13" s="74"/>
      <c r="F13" s="74"/>
      <c r="G13" s="74"/>
      <c r="H13" s="74"/>
      <c r="I13" s="74"/>
      <c r="J13" s="74"/>
      <c r="K13" s="74"/>
      <c r="L13" s="74"/>
      <c r="M13" s="74"/>
      <c r="N13" s="74"/>
      <c r="O13" s="74"/>
      <c r="P13" s="74"/>
      <c r="Q13" s="74"/>
      <c r="R13" s="74"/>
      <c r="S13" s="74"/>
      <c r="T13" s="74"/>
      <c r="U13" s="74"/>
    </row>
    <row r="14" spans="1:21">
      <c r="A14" s="93"/>
      <c r="B14" s="269"/>
      <c r="C14" s="271"/>
      <c r="E14" s="74"/>
      <c r="F14" s="74"/>
      <c r="G14" s="74"/>
      <c r="H14" s="74"/>
      <c r="I14" s="74"/>
      <c r="J14" s="74"/>
      <c r="K14" s="74"/>
      <c r="L14" s="74"/>
      <c r="M14" s="74"/>
      <c r="N14" s="74"/>
      <c r="O14" s="74"/>
      <c r="P14" s="74"/>
      <c r="Q14" s="74"/>
      <c r="R14" s="74"/>
      <c r="S14" s="74"/>
      <c r="T14" s="74"/>
      <c r="U14" s="74"/>
    </row>
    <row r="15" spans="1:21">
      <c r="A15" s="93"/>
      <c r="B15" s="744" t="s">
        <v>806</v>
      </c>
      <c r="C15" s="744"/>
      <c r="D15" s="744"/>
      <c r="E15" s="744"/>
      <c r="G15" s="745">
        <f ca="1">TODAY()</f>
        <v>46008</v>
      </c>
      <c r="H15" s="746"/>
      <c r="I15" s="74"/>
      <c r="J15" s="74"/>
      <c r="K15" s="74"/>
      <c r="L15" s="74"/>
      <c r="M15" s="74"/>
      <c r="N15" s="74"/>
      <c r="O15" s="74"/>
      <c r="P15" s="74"/>
      <c r="Q15" s="74"/>
      <c r="R15" s="74"/>
      <c r="S15" s="74"/>
      <c r="T15" s="74"/>
      <c r="U15" s="74"/>
    </row>
    <row r="16" spans="1:21">
      <c r="A16" s="93"/>
      <c r="B16" s="83"/>
      <c r="C16" s="81"/>
      <c r="D16" s="92"/>
      <c r="E16" s="82"/>
      <c r="F16" s="74"/>
      <c r="G16" s="74"/>
      <c r="H16" s="74"/>
      <c r="I16" s="74"/>
      <c r="J16" s="74"/>
      <c r="K16" s="74"/>
      <c r="L16" s="74"/>
      <c r="M16" s="74"/>
      <c r="N16" s="74"/>
      <c r="O16" s="74"/>
      <c r="P16" s="74"/>
      <c r="Q16" s="74"/>
      <c r="R16" s="74"/>
      <c r="S16" s="74"/>
      <c r="T16" s="74"/>
      <c r="U16" s="74"/>
    </row>
    <row r="17" spans="1:23">
      <c r="A17" s="93"/>
      <c r="B17" s="13" t="s">
        <v>807</v>
      </c>
      <c r="C17" s="76"/>
      <c r="D17" s="74"/>
      <c r="E17" s="74"/>
      <c r="F17" s="262"/>
      <c r="G17" s="733"/>
      <c r="H17" s="734"/>
      <c r="I17" s="74"/>
      <c r="J17" s="74"/>
      <c r="K17" s="74"/>
      <c r="L17" s="74"/>
      <c r="M17" s="74"/>
      <c r="N17" s="74"/>
      <c r="O17" s="74"/>
      <c r="P17" s="74"/>
      <c r="Q17" s="74"/>
      <c r="R17" s="74"/>
      <c r="S17" s="74"/>
      <c r="T17" s="74"/>
      <c r="U17" s="74"/>
    </row>
    <row r="18" spans="1:23">
      <c r="A18" s="93"/>
      <c r="B18" s="92"/>
      <c r="C18" s="27"/>
      <c r="D18" s="74"/>
      <c r="E18" s="74"/>
      <c r="F18" s="74"/>
      <c r="G18" s="74"/>
      <c r="H18" s="74"/>
      <c r="I18" s="74"/>
      <c r="J18" s="74"/>
      <c r="K18" s="74"/>
      <c r="L18" s="74"/>
      <c r="M18" s="74"/>
      <c r="N18" s="74"/>
      <c r="O18" s="74"/>
      <c r="P18" s="74"/>
      <c r="Q18" s="74"/>
      <c r="R18" s="74"/>
      <c r="S18" s="74"/>
      <c r="T18" s="74"/>
      <c r="U18" s="74"/>
    </row>
    <row r="19" spans="1:23">
      <c r="A19" s="93"/>
      <c r="B19" s="13" t="s">
        <v>808</v>
      </c>
      <c r="C19" s="27"/>
      <c r="D19" s="74"/>
      <c r="E19" s="74"/>
      <c r="F19" s="262"/>
      <c r="G19" s="733"/>
      <c r="H19" s="734"/>
      <c r="I19" s="74"/>
      <c r="J19" s="74"/>
      <c r="K19" s="74"/>
      <c r="L19" s="74"/>
      <c r="M19" s="74"/>
      <c r="N19" s="74"/>
      <c r="O19" s="74"/>
      <c r="P19" s="74"/>
      <c r="Q19" s="74"/>
      <c r="R19" s="74"/>
      <c r="S19" s="74"/>
      <c r="T19" s="74"/>
      <c r="U19" s="74"/>
    </row>
    <row r="20" spans="1:23">
      <c r="A20" s="93"/>
      <c r="B20" s="84"/>
      <c r="C20" s="27"/>
      <c r="D20" s="27"/>
      <c r="F20" s="27"/>
      <c r="G20" s="74"/>
      <c r="H20" s="74"/>
      <c r="I20" s="74"/>
      <c r="J20" s="74"/>
      <c r="K20" s="74"/>
      <c r="L20" s="74"/>
      <c r="M20" s="74"/>
      <c r="N20" s="74"/>
      <c r="O20" s="74"/>
      <c r="P20" s="74"/>
      <c r="Q20" s="74"/>
      <c r="R20" s="74"/>
      <c r="S20" s="74"/>
      <c r="T20" s="74"/>
      <c r="U20" s="74"/>
    </row>
    <row r="21" spans="1:23">
      <c r="A21" s="93"/>
      <c r="B21" s="270" t="s">
        <v>809</v>
      </c>
      <c r="C21" s="92"/>
      <c r="D21" s="74"/>
      <c r="E21" s="74"/>
      <c r="F21" s="262"/>
      <c r="G21" s="735"/>
      <c r="H21" s="736"/>
      <c r="I21" s="736"/>
      <c r="J21" s="737"/>
      <c r="K21" s="74"/>
      <c r="L21" s="74"/>
      <c r="M21" s="74"/>
      <c r="N21" s="74"/>
      <c r="O21" s="74"/>
      <c r="P21" s="74"/>
      <c r="Q21" s="74"/>
      <c r="R21" s="74"/>
      <c r="S21" s="74"/>
      <c r="T21" s="74"/>
      <c r="U21" s="74"/>
    </row>
    <row r="22" spans="1:23">
      <c r="A22" s="93"/>
      <c r="B22" s="91"/>
      <c r="C22" s="27"/>
      <c r="D22" s="92"/>
      <c r="E22" s="74"/>
      <c r="F22" s="261"/>
      <c r="G22" s="738"/>
      <c r="H22" s="739"/>
      <c r="I22" s="739"/>
      <c r="J22" s="740"/>
      <c r="K22" s="74"/>
      <c r="L22" s="74"/>
      <c r="M22" s="74"/>
      <c r="N22" s="74"/>
      <c r="O22" s="74"/>
      <c r="P22" s="74"/>
      <c r="Q22" s="74"/>
      <c r="R22" s="74"/>
      <c r="S22" s="74"/>
      <c r="T22" s="74"/>
      <c r="U22" s="74"/>
    </row>
    <row r="23" spans="1:23">
      <c r="A23" s="93"/>
      <c r="B23" s="92"/>
      <c r="C23" s="74"/>
      <c r="D23" s="74"/>
      <c r="E23" s="27"/>
      <c r="F23" s="263"/>
      <c r="G23" s="741"/>
      <c r="H23" s="742"/>
      <c r="I23" s="742"/>
      <c r="J23" s="743"/>
      <c r="K23" s="74"/>
      <c r="L23" s="74"/>
      <c r="M23" s="74"/>
      <c r="N23" s="74"/>
      <c r="O23" s="74"/>
      <c r="P23" s="74"/>
      <c r="Q23" s="74"/>
      <c r="R23" s="74"/>
      <c r="S23" s="74"/>
      <c r="T23" s="74"/>
      <c r="U23" s="74"/>
    </row>
    <row r="24" spans="1:23" ht="15" thickBot="1">
      <c r="A24" s="93"/>
      <c r="B24" s="268"/>
      <c r="C24" s="256"/>
      <c r="D24" s="272"/>
      <c r="E24" s="27"/>
      <c r="F24" s="74"/>
      <c r="G24" s="260"/>
      <c r="H24" s="271"/>
      <c r="I24" s="260"/>
      <c r="J24" s="271"/>
      <c r="K24" s="74"/>
      <c r="L24" s="74"/>
      <c r="M24" s="74"/>
      <c r="N24" s="74"/>
      <c r="O24" s="74"/>
      <c r="P24" s="74"/>
      <c r="Q24" s="74"/>
      <c r="R24" s="74"/>
      <c r="S24" s="74"/>
      <c r="T24" s="74"/>
      <c r="U24" s="74"/>
    </row>
    <row r="25" spans="1:23">
      <c r="A25" s="354" t="s">
        <v>810</v>
      </c>
      <c r="B25" s="278">
        <v>0</v>
      </c>
      <c r="C25" s="353"/>
      <c r="D25" s="277" t="s">
        <v>811</v>
      </c>
      <c r="E25" s="259"/>
      <c r="F25" s="27"/>
      <c r="G25" s="74"/>
      <c r="H25" s="74"/>
      <c r="I25" s="27"/>
      <c r="J25" s="27"/>
      <c r="K25" s="74"/>
      <c r="L25" s="74"/>
      <c r="M25" s="74"/>
      <c r="N25" s="74"/>
      <c r="O25" s="74"/>
      <c r="P25" s="74"/>
      <c r="Q25" s="74"/>
      <c r="R25" s="74"/>
      <c r="S25" s="74"/>
      <c r="T25" s="74"/>
      <c r="U25" s="74"/>
    </row>
    <row r="26" spans="1:23">
      <c r="A26" s="280" t="s">
        <v>812</v>
      </c>
      <c r="B26" s="258">
        <v>1</v>
      </c>
      <c r="C26" s="357" t="s">
        <v>813</v>
      </c>
      <c r="D26" s="257">
        <v>12</v>
      </c>
      <c r="E26" s="259"/>
      <c r="F26" s="27"/>
      <c r="G26" s="27"/>
      <c r="H26" s="27"/>
      <c r="I26" s="94"/>
      <c r="J26" s="95"/>
      <c r="K26" s="74"/>
      <c r="L26" s="74"/>
      <c r="M26" s="74"/>
      <c r="N26" s="74"/>
      <c r="O26" s="74"/>
      <c r="P26" s="74"/>
      <c r="Q26" s="74"/>
      <c r="R26" s="74"/>
      <c r="S26" s="74"/>
      <c r="T26" s="74"/>
      <c r="U26" s="74"/>
    </row>
    <row r="27" spans="1:23">
      <c r="A27" s="280" t="s">
        <v>814</v>
      </c>
      <c r="B27" s="257">
        <v>2020</v>
      </c>
      <c r="C27" s="279"/>
      <c r="D27" s="281" t="s">
        <v>118</v>
      </c>
      <c r="E27" s="259"/>
      <c r="F27" s="27"/>
      <c r="G27" s="27"/>
      <c r="H27" s="27"/>
      <c r="I27" s="27"/>
      <c r="J27" s="27"/>
      <c r="K27" s="27"/>
      <c r="L27" s="27"/>
      <c r="M27" s="74"/>
      <c r="N27" s="74"/>
      <c r="O27" s="74"/>
      <c r="P27" s="74"/>
      <c r="Q27" s="74"/>
      <c r="R27" s="74"/>
      <c r="S27" s="74"/>
      <c r="T27" s="74"/>
      <c r="U27" s="74"/>
    </row>
    <row r="28" spans="1:23">
      <c r="A28" s="280" t="s">
        <v>4</v>
      </c>
      <c r="B28" s="282" t="s">
        <v>760</v>
      </c>
      <c r="C28" s="355" t="s">
        <v>815</v>
      </c>
      <c r="D28" s="356"/>
      <c r="E28" s="259"/>
      <c r="F28" s="27"/>
      <c r="G28" s="27"/>
      <c r="H28" s="27"/>
      <c r="I28" s="27"/>
      <c r="J28" s="27"/>
      <c r="K28" s="27"/>
      <c r="L28" s="27"/>
      <c r="M28" s="74"/>
      <c r="N28" s="74"/>
      <c r="O28" s="74"/>
      <c r="P28" s="74"/>
      <c r="Q28" s="74"/>
      <c r="R28" s="74"/>
      <c r="S28" s="74"/>
      <c r="T28" s="74"/>
      <c r="U28" s="74"/>
    </row>
    <row r="29" spans="1:23">
      <c r="A29" s="352"/>
      <c r="B29" s="274"/>
      <c r="C29" s="275"/>
      <c r="D29" s="273"/>
      <c r="E29" s="27"/>
      <c r="F29" s="27"/>
      <c r="G29" s="27"/>
      <c r="H29" s="27"/>
      <c r="I29" s="27"/>
      <c r="J29" s="27"/>
      <c r="K29" s="27"/>
      <c r="L29" s="27"/>
      <c r="M29" s="74"/>
      <c r="N29" s="74"/>
      <c r="O29" s="74"/>
      <c r="P29" s="74"/>
      <c r="Q29" s="74"/>
      <c r="R29" s="74"/>
      <c r="S29" s="74"/>
      <c r="T29" s="74"/>
      <c r="U29" s="74"/>
    </row>
    <row r="30" spans="1:23">
      <c r="A30" s="358"/>
      <c r="B30" s="359"/>
      <c r="C30" s="360"/>
      <c r="D30" s="27"/>
      <c r="E30" s="27"/>
      <c r="F30" s="27"/>
      <c r="G30" s="27"/>
      <c r="H30" s="27"/>
      <c r="I30" s="27"/>
      <c r="J30" s="27"/>
      <c r="K30" s="27"/>
      <c r="L30" s="27"/>
      <c r="M30" s="27"/>
      <c r="N30" s="27"/>
      <c r="O30" s="27"/>
      <c r="P30" s="27"/>
      <c r="Q30" s="27"/>
      <c r="R30" s="27"/>
      <c r="S30" s="27"/>
      <c r="T30" s="27"/>
      <c r="U30" s="27"/>
      <c r="V30" s="27"/>
      <c r="W30" s="27"/>
    </row>
    <row r="31" spans="1:23">
      <c r="A31" s="358"/>
      <c r="B31" s="359"/>
      <c r="C31" s="360"/>
      <c r="D31" s="27"/>
      <c r="E31" s="27"/>
      <c r="F31" s="27"/>
      <c r="G31" s="27"/>
      <c r="H31" s="27"/>
      <c r="I31" s="27"/>
      <c r="J31" s="27"/>
      <c r="K31" s="27"/>
      <c r="L31" s="27"/>
      <c r="M31" s="27"/>
      <c r="N31" s="27"/>
      <c r="O31" s="27"/>
      <c r="P31" s="27"/>
      <c r="Q31" s="27"/>
      <c r="R31" s="27"/>
      <c r="S31" s="27"/>
      <c r="T31" s="27"/>
      <c r="U31" s="27"/>
      <c r="V31" s="27"/>
      <c r="W31" s="27"/>
    </row>
    <row r="32" spans="1:23">
      <c r="A32" s="358"/>
      <c r="B32" s="359"/>
      <c r="C32" s="360"/>
      <c r="D32" s="27"/>
      <c r="E32" s="27"/>
      <c r="F32" s="27"/>
      <c r="G32" s="27"/>
      <c r="H32" s="27"/>
      <c r="I32" s="27"/>
      <c r="J32" s="27"/>
      <c r="K32" s="27"/>
      <c r="L32" s="27"/>
      <c r="M32" s="27"/>
      <c r="N32" s="27"/>
      <c r="O32" s="27"/>
      <c r="P32" s="27"/>
      <c r="Q32" s="27"/>
      <c r="R32" s="27"/>
      <c r="S32" s="27"/>
      <c r="T32" s="27"/>
      <c r="U32" s="27"/>
      <c r="V32" s="27"/>
      <c r="W32" s="27"/>
    </row>
    <row r="33" spans="1:23">
      <c r="A33" s="358"/>
      <c r="B33" s="359"/>
      <c r="C33" s="360"/>
      <c r="D33" s="27"/>
      <c r="E33" s="27"/>
      <c r="F33" s="27"/>
      <c r="G33" s="27"/>
      <c r="H33" s="27"/>
      <c r="I33" s="27"/>
      <c r="J33" s="27"/>
      <c r="K33" s="27"/>
      <c r="L33" s="27"/>
      <c r="M33" s="27"/>
      <c r="N33" s="27"/>
      <c r="O33" s="27"/>
      <c r="P33" s="27"/>
      <c r="Q33" s="27"/>
      <c r="R33" s="27"/>
      <c r="S33" s="27"/>
      <c r="T33" s="27"/>
      <c r="U33" s="27"/>
      <c r="V33" s="27"/>
      <c r="W33" s="27"/>
    </row>
    <row r="34" spans="1:23">
      <c r="A34" s="358"/>
      <c r="B34" s="359"/>
      <c r="C34" s="360"/>
      <c r="D34" s="27"/>
      <c r="E34" s="27"/>
      <c r="F34" s="27"/>
      <c r="G34" s="27"/>
      <c r="H34" s="27"/>
      <c r="I34" s="27"/>
      <c r="J34" s="27"/>
      <c r="K34" s="27"/>
      <c r="L34" s="27"/>
      <c r="M34" s="27"/>
      <c r="N34" s="27"/>
      <c r="O34" s="27"/>
      <c r="P34" s="27"/>
      <c r="Q34" s="27"/>
      <c r="R34" s="27"/>
      <c r="S34" s="27"/>
      <c r="T34" s="27"/>
      <c r="U34" s="27"/>
      <c r="V34" s="27"/>
      <c r="W34" s="27"/>
    </row>
    <row r="35" spans="1:23">
      <c r="A35" s="358"/>
      <c r="B35" s="359"/>
      <c r="C35" s="360"/>
      <c r="D35" s="27"/>
      <c r="E35" s="27"/>
      <c r="F35" s="27"/>
      <c r="G35" s="27"/>
      <c r="H35" s="27"/>
      <c r="I35" s="27"/>
      <c r="J35" s="27"/>
      <c r="K35" s="27"/>
      <c r="L35" s="27"/>
      <c r="M35" s="27"/>
      <c r="N35" s="27"/>
      <c r="O35" s="27"/>
      <c r="P35" s="27"/>
      <c r="Q35" s="27"/>
      <c r="R35" s="27"/>
      <c r="S35" s="27"/>
      <c r="T35" s="27"/>
      <c r="U35" s="27"/>
      <c r="V35" s="27"/>
      <c r="W35" s="27"/>
    </row>
    <row r="36" spans="1:23">
      <c r="A36" s="358"/>
      <c r="B36" s="359"/>
      <c r="C36" s="360"/>
      <c r="D36" s="27"/>
      <c r="E36" s="27"/>
      <c r="F36" s="27"/>
      <c r="G36" s="27"/>
      <c r="H36" s="27"/>
      <c r="I36" s="27"/>
      <c r="J36" s="27"/>
      <c r="K36" s="27"/>
      <c r="L36" s="27"/>
      <c r="M36" s="27"/>
      <c r="N36" s="27"/>
      <c r="O36" s="27"/>
      <c r="P36" s="27"/>
      <c r="Q36" s="27"/>
      <c r="R36" s="27"/>
      <c r="S36" s="27"/>
      <c r="T36" s="27"/>
      <c r="U36" s="27"/>
      <c r="V36" s="27"/>
      <c r="W36" s="27"/>
    </row>
    <row r="37" spans="1:23">
      <c r="A37" s="358"/>
      <c r="B37" s="359"/>
      <c r="C37" s="360"/>
      <c r="D37" s="27"/>
      <c r="E37" s="27"/>
      <c r="F37" s="27"/>
      <c r="G37" s="27"/>
      <c r="H37" s="27"/>
      <c r="I37" s="27"/>
      <c r="J37" s="27"/>
      <c r="K37" s="27"/>
      <c r="L37" s="27"/>
      <c r="M37" s="27"/>
      <c r="N37" s="27"/>
      <c r="O37" s="27"/>
      <c r="P37" s="27"/>
      <c r="Q37" s="27"/>
      <c r="R37" s="27"/>
      <c r="S37" s="27"/>
      <c r="T37" s="27"/>
      <c r="U37" s="27"/>
      <c r="V37" s="27"/>
      <c r="W37" s="27"/>
    </row>
    <row r="38" spans="1:23">
      <c r="A38" s="358"/>
      <c r="B38" s="359"/>
      <c r="C38" s="360"/>
      <c r="D38" s="27"/>
      <c r="E38" s="27"/>
      <c r="F38" s="27"/>
      <c r="G38" s="27"/>
      <c r="H38" s="27"/>
      <c r="I38" s="27"/>
      <c r="J38" s="27"/>
      <c r="K38" s="27"/>
      <c r="L38" s="27"/>
      <c r="M38" s="27"/>
      <c r="N38" s="27"/>
      <c r="O38" s="27"/>
      <c r="P38" s="27"/>
      <c r="Q38" s="27"/>
      <c r="R38" s="27"/>
      <c r="S38" s="27"/>
      <c r="T38" s="27"/>
      <c r="U38" s="27"/>
      <c r="V38" s="27"/>
      <c r="W38" s="27"/>
    </row>
    <row r="39" spans="1:23">
      <c r="A39" s="358"/>
      <c r="B39" s="359"/>
      <c r="C39" s="360"/>
      <c r="D39" s="27"/>
      <c r="E39" s="27"/>
      <c r="F39" s="27"/>
      <c r="G39" s="27"/>
      <c r="H39" s="27"/>
      <c r="I39" s="27"/>
      <c r="J39" s="27"/>
      <c r="K39" s="27"/>
      <c r="L39" s="27"/>
      <c r="M39" s="27"/>
      <c r="N39" s="27"/>
      <c r="O39" s="27"/>
      <c r="P39" s="27"/>
      <c r="Q39" s="27"/>
      <c r="R39" s="27"/>
      <c r="S39" s="27"/>
      <c r="T39" s="27"/>
      <c r="U39" s="27"/>
      <c r="V39" s="27"/>
      <c r="W39" s="27"/>
    </row>
    <row r="40" spans="1:23">
      <c r="A40" s="358"/>
      <c r="B40" s="359"/>
      <c r="C40" s="360"/>
      <c r="D40" s="27"/>
      <c r="E40" s="27"/>
      <c r="F40" s="27"/>
      <c r="G40" s="27"/>
      <c r="H40" s="27"/>
      <c r="I40" s="27"/>
      <c r="J40" s="27"/>
      <c r="K40" s="27"/>
      <c r="L40" s="27"/>
      <c r="M40" s="27"/>
      <c r="N40" s="27"/>
      <c r="O40" s="27"/>
      <c r="P40" s="27"/>
      <c r="Q40" s="27"/>
      <c r="R40" s="27"/>
      <c r="S40" s="27"/>
      <c r="T40" s="27"/>
      <c r="U40" s="27"/>
      <c r="V40" s="27"/>
      <c r="W40" s="27"/>
    </row>
    <row r="41" spans="1:23">
      <c r="A41" s="358"/>
      <c r="B41" s="359"/>
      <c r="C41" s="360"/>
      <c r="D41" s="27"/>
      <c r="E41" s="27"/>
      <c r="F41" s="27"/>
      <c r="G41" s="27"/>
      <c r="H41" s="27"/>
      <c r="I41" s="27"/>
      <c r="J41" s="27"/>
      <c r="K41" s="27"/>
      <c r="L41" s="27"/>
      <c r="M41" s="27"/>
      <c r="N41" s="27"/>
      <c r="O41" s="27"/>
      <c r="P41" s="27"/>
      <c r="Q41" s="27"/>
      <c r="R41" s="27"/>
      <c r="S41" s="27"/>
      <c r="T41" s="27"/>
      <c r="U41" s="27"/>
      <c r="V41" s="27"/>
      <c r="W41" s="27"/>
    </row>
    <row r="42" spans="1:23">
      <c r="A42" s="358"/>
      <c r="B42" s="359"/>
      <c r="C42" s="360"/>
      <c r="D42" s="27"/>
      <c r="E42" s="27"/>
      <c r="F42" s="27"/>
      <c r="G42" s="27"/>
      <c r="H42" s="27"/>
      <c r="I42" s="27"/>
      <c r="J42" s="27"/>
      <c r="K42" s="27"/>
      <c r="L42" s="27"/>
      <c r="M42" s="27"/>
      <c r="N42" s="27"/>
      <c r="O42" s="27"/>
      <c r="P42" s="27"/>
      <c r="Q42" s="27"/>
      <c r="R42" s="27"/>
      <c r="S42" s="27"/>
      <c r="T42" s="27"/>
      <c r="U42" s="27"/>
      <c r="V42" s="27"/>
      <c r="W42" s="27"/>
    </row>
    <row r="43" spans="1:23">
      <c r="A43" s="358"/>
      <c r="B43" s="359"/>
      <c r="C43" s="360"/>
      <c r="D43" s="27"/>
      <c r="E43" s="27"/>
      <c r="F43" s="27"/>
      <c r="G43" s="27"/>
      <c r="H43" s="27"/>
      <c r="I43" s="27"/>
      <c r="J43" s="27"/>
      <c r="K43" s="27"/>
      <c r="L43" s="27"/>
      <c r="M43" s="27"/>
      <c r="N43" s="27"/>
      <c r="O43" s="27"/>
      <c r="P43" s="27"/>
      <c r="Q43" s="27"/>
      <c r="R43" s="27"/>
      <c r="S43" s="27"/>
      <c r="T43" s="27"/>
      <c r="U43" s="27"/>
      <c r="V43" s="27"/>
      <c r="W43" s="27"/>
    </row>
    <row r="44" spans="1:23">
      <c r="A44" s="358"/>
      <c r="B44" s="359"/>
      <c r="C44" s="360"/>
      <c r="D44" s="27"/>
      <c r="E44" s="27"/>
      <c r="F44" s="27"/>
      <c r="G44" s="27"/>
      <c r="H44" s="27"/>
      <c r="I44" s="27"/>
      <c r="J44" s="27"/>
      <c r="K44" s="27"/>
      <c r="L44" s="27"/>
      <c r="M44" s="27"/>
      <c r="N44" s="27"/>
      <c r="O44" s="27"/>
      <c r="P44" s="27"/>
      <c r="Q44" s="27"/>
      <c r="R44" s="27"/>
      <c r="S44" s="27"/>
      <c r="T44" s="27"/>
      <c r="U44" s="27"/>
      <c r="V44" s="27"/>
      <c r="W44" s="27"/>
    </row>
    <row r="45" spans="1:23">
      <c r="A45" s="358"/>
      <c r="B45" s="359"/>
      <c r="C45" s="360"/>
      <c r="D45" s="27"/>
      <c r="E45" s="27"/>
      <c r="F45" s="27"/>
      <c r="G45" s="27"/>
      <c r="H45" s="27"/>
      <c r="I45" s="27"/>
      <c r="J45" s="27"/>
      <c r="K45" s="27"/>
      <c r="L45" s="27"/>
      <c r="M45" s="27"/>
      <c r="N45" s="27"/>
      <c r="O45" s="27"/>
      <c r="P45" s="27"/>
      <c r="Q45" s="27"/>
      <c r="R45" s="27"/>
      <c r="S45" s="27"/>
      <c r="T45" s="27"/>
      <c r="U45" s="27"/>
      <c r="V45" s="27"/>
      <c r="W45" s="27"/>
    </row>
    <row r="46" spans="1:23">
      <c r="A46" s="358"/>
      <c r="B46" s="359"/>
      <c r="C46" s="360"/>
      <c r="D46" s="27"/>
      <c r="E46" s="27"/>
      <c r="F46" s="27"/>
      <c r="G46" s="27"/>
      <c r="H46" s="27"/>
      <c r="I46" s="27"/>
      <c r="J46" s="27"/>
      <c r="K46" s="27"/>
      <c r="L46" s="27"/>
      <c r="M46" s="27"/>
      <c r="N46" s="27"/>
      <c r="O46" s="27"/>
      <c r="P46" s="27"/>
      <c r="Q46" s="27"/>
      <c r="R46" s="27"/>
      <c r="S46" s="27"/>
      <c r="T46" s="27"/>
      <c r="U46" s="27"/>
      <c r="V46" s="27"/>
      <c r="W46" s="27"/>
    </row>
    <row r="47" spans="1:23">
      <c r="A47" s="358"/>
      <c r="B47" s="359"/>
      <c r="C47" s="360"/>
      <c r="D47" s="27"/>
      <c r="E47" s="27"/>
      <c r="F47" s="27"/>
      <c r="G47" s="27"/>
      <c r="H47" s="27"/>
      <c r="I47" s="27"/>
      <c r="J47" s="27"/>
      <c r="K47" s="27"/>
      <c r="L47" s="27"/>
      <c r="M47" s="27"/>
      <c r="N47" s="27"/>
      <c r="O47" s="27"/>
      <c r="P47" s="27"/>
      <c r="Q47" s="27"/>
      <c r="R47" s="27"/>
      <c r="S47" s="27"/>
      <c r="T47" s="27"/>
      <c r="U47" s="27"/>
      <c r="V47" s="27"/>
      <c r="W47" s="27"/>
    </row>
    <row r="48" spans="1:23">
      <c r="A48" s="358"/>
      <c r="B48" s="359"/>
      <c r="C48" s="360"/>
      <c r="D48" s="27"/>
      <c r="E48" s="27"/>
      <c r="F48" s="27"/>
      <c r="G48" s="27"/>
      <c r="H48" s="27"/>
      <c r="I48" s="27"/>
      <c r="J48" s="27"/>
      <c r="K48" s="27"/>
      <c r="L48" s="27"/>
      <c r="M48" s="27"/>
      <c r="N48" s="27"/>
      <c r="O48" s="27"/>
      <c r="P48" s="27"/>
      <c r="Q48" s="27"/>
      <c r="R48" s="27"/>
      <c r="S48" s="27"/>
      <c r="T48" s="27"/>
      <c r="U48" s="27"/>
      <c r="V48" s="27"/>
      <c r="W48" s="27"/>
    </row>
    <row r="49" spans="1:29">
      <c r="A49" s="358"/>
      <c r="B49" s="359"/>
      <c r="C49" s="360"/>
      <c r="D49" s="27"/>
      <c r="E49" s="27"/>
      <c r="F49" s="27"/>
      <c r="G49" s="27"/>
      <c r="H49" s="27"/>
      <c r="I49" s="27"/>
      <c r="J49" s="27"/>
      <c r="K49" s="27"/>
      <c r="L49" s="27"/>
      <c r="M49" s="27"/>
      <c r="N49" s="27"/>
      <c r="O49" s="27"/>
      <c r="P49" s="27"/>
      <c r="Q49" s="27"/>
      <c r="R49" s="27"/>
      <c r="S49" s="27"/>
      <c r="T49" s="27"/>
      <c r="U49" s="27"/>
      <c r="V49" s="27"/>
      <c r="W49" s="27"/>
    </row>
    <row r="50" spans="1:29">
      <c r="A50" s="358"/>
      <c r="B50" s="359"/>
      <c r="C50" s="360"/>
      <c r="D50" s="27"/>
      <c r="E50" s="27"/>
      <c r="F50" s="27"/>
      <c r="G50" s="27"/>
      <c r="H50" s="27"/>
      <c r="I50" s="27"/>
      <c r="J50" s="27"/>
      <c r="K50" s="27"/>
      <c r="L50" s="27"/>
      <c r="M50" s="27"/>
      <c r="N50" s="27"/>
      <c r="O50" s="27"/>
      <c r="P50" s="27"/>
      <c r="Q50" s="27"/>
      <c r="R50" s="27"/>
      <c r="S50" s="27"/>
      <c r="T50" s="27"/>
      <c r="U50" s="27"/>
      <c r="V50" s="27"/>
      <c r="W50" s="27"/>
    </row>
    <row r="51" spans="1:29">
      <c r="A51" s="358"/>
      <c r="B51" s="359"/>
      <c r="C51" s="360"/>
      <c r="D51" s="27"/>
      <c r="E51" s="27"/>
      <c r="F51" s="27"/>
      <c r="G51" s="27"/>
      <c r="H51" s="27"/>
      <c r="I51" s="27"/>
      <c r="J51" s="27"/>
      <c r="K51" s="27"/>
      <c r="L51" s="27"/>
      <c r="M51" s="27"/>
      <c r="N51" s="27"/>
      <c r="O51" s="27"/>
      <c r="P51" s="27"/>
      <c r="Q51" s="27"/>
      <c r="R51" s="27"/>
      <c r="S51" s="27"/>
      <c r="T51" s="27"/>
      <c r="U51" s="27"/>
      <c r="V51" s="27"/>
      <c r="W51" s="27"/>
    </row>
    <row r="52" spans="1:29">
      <c r="A52" s="358"/>
      <c r="B52" s="359"/>
      <c r="C52" s="360"/>
      <c r="D52" s="27"/>
      <c r="E52" s="27"/>
      <c r="F52" s="27"/>
      <c r="G52" s="27"/>
      <c r="H52" s="27"/>
      <c r="I52" s="27"/>
      <c r="J52" s="27"/>
      <c r="K52" s="27"/>
      <c r="L52" s="27"/>
      <c r="M52" s="27"/>
      <c r="N52" s="27"/>
      <c r="O52" s="27"/>
      <c r="P52" s="27"/>
      <c r="Q52" s="27"/>
      <c r="R52" s="27"/>
      <c r="S52" s="27"/>
      <c r="T52" s="27"/>
      <c r="U52" s="27"/>
      <c r="V52" s="27"/>
      <c r="W52" s="27"/>
    </row>
    <row r="53" spans="1:29">
      <c r="A53" s="358"/>
      <c r="B53" s="359"/>
      <c r="C53" s="360"/>
      <c r="D53" s="27"/>
      <c r="E53" s="27"/>
      <c r="F53" s="27"/>
      <c r="G53" s="27"/>
      <c r="H53" s="27"/>
      <c r="I53" s="27"/>
      <c r="J53" s="27"/>
      <c r="K53" s="27"/>
      <c r="L53" s="27"/>
      <c r="M53" s="27"/>
      <c r="N53" s="27"/>
      <c r="O53" s="27"/>
      <c r="P53" s="27"/>
      <c r="Q53" s="27"/>
      <c r="R53" s="27"/>
      <c r="S53" s="27"/>
      <c r="T53" s="27"/>
      <c r="U53" s="27"/>
      <c r="V53" s="27"/>
      <c r="W53" s="27"/>
    </row>
    <row r="54" spans="1:29">
      <c r="A54" s="358"/>
      <c r="B54" s="359"/>
      <c r="C54" s="360"/>
      <c r="D54" s="27"/>
      <c r="E54" s="27"/>
      <c r="F54" s="27"/>
      <c r="G54" s="27"/>
      <c r="H54" s="27"/>
      <c r="I54" s="27"/>
      <c r="J54" s="27"/>
      <c r="K54" s="27"/>
      <c r="L54" s="27"/>
      <c r="M54" s="27"/>
      <c r="N54" s="27"/>
      <c r="O54" s="27"/>
      <c r="P54" s="27"/>
      <c r="Q54" s="27"/>
      <c r="R54" s="27"/>
      <c r="S54" s="27"/>
      <c r="T54" s="27"/>
      <c r="U54" s="27"/>
      <c r="V54" s="27"/>
      <c r="W54" s="27"/>
    </row>
    <row r="55" spans="1:29">
      <c r="A55" s="358"/>
      <c r="B55" s="359"/>
      <c r="C55" s="360"/>
      <c r="D55" s="27"/>
      <c r="E55" s="27"/>
      <c r="F55" s="27"/>
      <c r="G55" s="27"/>
      <c r="H55" s="27"/>
      <c r="I55" s="27"/>
      <c r="J55" s="27"/>
      <c r="K55" s="27"/>
      <c r="L55" s="27"/>
      <c r="M55" s="27"/>
      <c r="N55" s="27"/>
      <c r="O55" s="27"/>
      <c r="P55" s="27"/>
      <c r="Q55" s="27"/>
      <c r="R55" s="27"/>
      <c r="S55" s="27"/>
      <c r="T55" s="27"/>
      <c r="U55" s="27"/>
      <c r="V55" s="27"/>
      <c r="W55" s="27"/>
    </row>
    <row r="56" spans="1:29">
      <c r="A56" s="358"/>
      <c r="B56" s="359"/>
      <c r="C56" s="360"/>
      <c r="D56" s="27"/>
      <c r="E56" s="27"/>
      <c r="F56" s="27"/>
      <c r="G56" s="27"/>
      <c r="H56" s="27"/>
      <c r="I56" s="27"/>
      <c r="J56" s="27"/>
      <c r="K56" s="27"/>
      <c r="L56" s="27"/>
      <c r="M56" s="27"/>
      <c r="N56" s="27"/>
      <c r="O56" s="27"/>
      <c r="P56" s="27"/>
      <c r="Q56" s="27"/>
      <c r="R56" s="27"/>
      <c r="S56" s="27"/>
      <c r="T56" s="27"/>
      <c r="U56" s="27"/>
      <c r="V56" s="27"/>
      <c r="W56" s="27"/>
    </row>
    <row r="57" spans="1:29">
      <c r="A57" s="358"/>
      <c r="B57" s="359"/>
      <c r="C57" s="360"/>
      <c r="D57" s="27"/>
      <c r="E57" s="27"/>
      <c r="F57" s="27"/>
      <c r="G57" s="27"/>
      <c r="H57" s="27"/>
      <c r="I57" s="27"/>
      <c r="J57" s="27"/>
      <c r="K57" s="27"/>
      <c r="L57" s="27"/>
      <c r="M57" s="27"/>
      <c r="N57" s="27"/>
      <c r="O57" s="27"/>
      <c r="P57" s="27"/>
      <c r="Q57" s="27"/>
      <c r="R57" s="27"/>
      <c r="S57" s="27"/>
      <c r="T57" s="27"/>
      <c r="U57" s="27"/>
      <c r="V57" s="27"/>
      <c r="W57" s="27"/>
    </row>
    <row r="58" spans="1:29">
      <c r="A58" s="358"/>
      <c r="B58" s="359"/>
      <c r="C58" s="360"/>
      <c r="D58" s="27"/>
      <c r="E58" s="27"/>
      <c r="F58" s="27"/>
      <c r="G58" s="27"/>
      <c r="H58" s="27"/>
      <c r="I58" s="27"/>
      <c r="J58" s="27"/>
      <c r="K58" s="27"/>
      <c r="L58" s="27"/>
      <c r="M58" s="27"/>
      <c r="N58" s="27"/>
      <c r="O58" s="27"/>
      <c r="P58" s="27"/>
      <c r="Q58" s="27"/>
      <c r="R58" s="27"/>
      <c r="S58" s="27"/>
      <c r="T58" s="27"/>
      <c r="U58" s="27"/>
      <c r="V58" s="27"/>
      <c r="W58" s="27"/>
    </row>
    <row r="59" spans="1:29">
      <c r="A59" s="358"/>
      <c r="B59" s="359"/>
      <c r="C59" s="360"/>
      <c r="D59" s="27"/>
      <c r="E59" s="27"/>
      <c r="F59" s="27"/>
      <c r="G59" s="27"/>
      <c r="H59" s="27"/>
      <c r="I59" s="27"/>
      <c r="J59" s="27"/>
      <c r="K59" s="27"/>
      <c r="L59" s="27"/>
      <c r="M59" s="27"/>
      <c r="N59" s="27"/>
      <c r="O59" s="27"/>
      <c r="P59" s="27"/>
      <c r="Q59" s="27"/>
      <c r="R59" s="27"/>
      <c r="S59" s="27"/>
      <c r="T59" s="27"/>
      <c r="U59" s="27"/>
      <c r="V59" s="27"/>
      <c r="W59" s="27"/>
    </row>
    <row r="60" spans="1:29">
      <c r="A60" s="358"/>
      <c r="B60" s="359"/>
      <c r="C60" s="360"/>
      <c r="D60" s="27"/>
      <c r="E60" s="27"/>
      <c r="F60" s="27"/>
      <c r="G60" s="27"/>
      <c r="H60" s="27"/>
      <c r="I60" s="27"/>
      <c r="J60" s="27"/>
      <c r="K60" s="27"/>
      <c r="L60" s="27"/>
      <c r="M60" s="27"/>
      <c r="N60" s="27"/>
      <c r="O60" s="27"/>
      <c r="P60" s="27"/>
      <c r="Q60" s="27"/>
      <c r="R60" s="27"/>
      <c r="S60" s="27"/>
      <c r="T60" s="27"/>
      <c r="U60" s="27"/>
      <c r="V60" s="27"/>
      <c r="W60" s="27"/>
    </row>
    <row r="61" spans="1:29">
      <c r="A61" s="358"/>
      <c r="B61" s="359"/>
      <c r="C61" s="360"/>
      <c r="D61" s="27"/>
      <c r="E61" s="27"/>
      <c r="F61" s="27"/>
      <c r="G61" s="27"/>
      <c r="H61" s="27"/>
      <c r="I61" s="27"/>
      <c r="J61" s="27"/>
      <c r="K61" s="27"/>
      <c r="L61" s="27"/>
      <c r="M61" s="27"/>
      <c r="N61" s="27"/>
      <c r="O61" s="27"/>
      <c r="P61" s="27"/>
      <c r="Q61" s="27"/>
      <c r="R61" s="27"/>
      <c r="S61" s="27"/>
      <c r="T61" s="27"/>
      <c r="U61" s="27"/>
      <c r="V61" s="27"/>
      <c r="W61" s="27"/>
      <c r="X61" s="27"/>
      <c r="Y61" s="27"/>
      <c r="Z61" s="27"/>
      <c r="AA61" s="27"/>
      <c r="AB61" s="27"/>
      <c r="AC61" s="27"/>
    </row>
    <row r="62" spans="1:29">
      <c r="A62" s="358"/>
      <c r="B62" s="359"/>
      <c r="C62" s="360"/>
      <c r="D62" s="27"/>
      <c r="E62" s="27"/>
      <c r="F62" s="27"/>
      <c r="G62" s="27"/>
      <c r="H62" s="27"/>
      <c r="I62" s="27"/>
      <c r="J62" s="27"/>
      <c r="K62" s="27"/>
      <c r="L62" s="27"/>
      <c r="M62" s="27"/>
      <c r="N62" s="27"/>
      <c r="O62" s="27"/>
      <c r="P62" s="27"/>
      <c r="Q62" s="27"/>
      <c r="R62" s="27"/>
      <c r="S62" s="27"/>
      <c r="T62" s="27"/>
      <c r="U62" s="27"/>
      <c r="V62" s="27"/>
      <c r="W62" s="27"/>
      <c r="X62" s="27"/>
      <c r="Y62" s="27"/>
      <c r="Z62" s="27"/>
      <c r="AA62" s="27"/>
      <c r="AB62" s="27"/>
      <c r="AC62" s="27"/>
    </row>
    <row r="63" spans="1:29">
      <c r="A63" s="358"/>
      <c r="B63" s="359"/>
      <c r="C63" s="360"/>
      <c r="D63" s="27"/>
      <c r="E63" s="27"/>
      <c r="F63" s="27"/>
      <c r="G63" s="27"/>
      <c r="H63" s="27"/>
      <c r="I63" s="27"/>
      <c r="J63" s="27"/>
      <c r="K63" s="27"/>
      <c r="L63" s="27"/>
      <c r="M63" s="27"/>
      <c r="N63" s="27"/>
      <c r="O63" s="27"/>
      <c r="P63" s="27"/>
      <c r="Q63" s="27"/>
      <c r="R63" s="27"/>
      <c r="S63" s="27"/>
      <c r="T63" s="27"/>
      <c r="U63" s="27"/>
      <c r="V63" s="27"/>
      <c r="W63" s="27"/>
      <c r="X63" s="27"/>
      <c r="Y63" s="27"/>
      <c r="Z63" s="27"/>
      <c r="AA63" s="27"/>
      <c r="AB63" s="27"/>
      <c r="AC63" s="27"/>
    </row>
    <row r="64" spans="1:29">
      <c r="A64" s="358"/>
      <c r="B64" s="359"/>
      <c r="C64" s="360"/>
      <c r="D64" s="27"/>
      <c r="E64" s="27"/>
      <c r="F64" s="27"/>
      <c r="G64" s="27"/>
      <c r="H64" s="27"/>
      <c r="I64" s="27"/>
      <c r="J64" s="27"/>
      <c r="K64" s="27"/>
      <c r="L64" s="27"/>
      <c r="M64" s="27"/>
      <c r="N64" s="27"/>
      <c r="O64" s="27"/>
      <c r="P64" s="27"/>
      <c r="Q64" s="27"/>
      <c r="R64" s="27"/>
      <c r="S64" s="27"/>
      <c r="T64" s="27"/>
      <c r="U64" s="27"/>
      <c r="V64" s="27"/>
      <c r="W64" s="27"/>
      <c r="X64" s="27"/>
      <c r="Y64" s="27"/>
      <c r="Z64" s="27"/>
      <c r="AA64" s="27"/>
      <c r="AB64" s="27"/>
      <c r="AC64" s="27"/>
    </row>
    <row r="65" spans="1:29">
      <c r="A65" s="358"/>
      <c r="B65" s="359"/>
      <c r="C65" s="360"/>
      <c r="D65" s="27"/>
      <c r="E65" s="27"/>
      <c r="F65" s="27"/>
      <c r="G65" s="27"/>
      <c r="H65" s="27"/>
      <c r="I65" s="27"/>
      <c r="J65" s="27"/>
      <c r="K65" s="27"/>
      <c r="L65" s="27"/>
      <c r="M65" s="27"/>
      <c r="N65" s="27"/>
      <c r="O65" s="27"/>
      <c r="P65" s="27"/>
      <c r="Q65" s="27"/>
      <c r="R65" s="27"/>
      <c r="S65" s="27"/>
      <c r="T65" s="27"/>
      <c r="U65" s="27"/>
      <c r="V65" s="27"/>
      <c r="W65" s="27"/>
      <c r="X65" s="27"/>
      <c r="Y65" s="27"/>
      <c r="Z65" s="27"/>
      <c r="AA65" s="27"/>
      <c r="AB65" s="27"/>
      <c r="AC65" s="27"/>
    </row>
    <row r="66" spans="1:29">
      <c r="A66" s="358"/>
      <c r="B66" s="359"/>
      <c r="C66" s="360"/>
      <c r="D66" s="27"/>
      <c r="E66" s="27"/>
      <c r="F66" s="27"/>
      <c r="G66" s="27"/>
      <c r="H66" s="27"/>
      <c r="I66" s="27"/>
      <c r="J66" s="27"/>
      <c r="K66" s="27"/>
      <c r="L66" s="27"/>
      <c r="M66" s="27"/>
      <c r="N66" s="27"/>
      <c r="O66" s="27"/>
      <c r="P66" s="27"/>
      <c r="Q66" s="27"/>
      <c r="R66" s="27"/>
      <c r="S66" s="27"/>
      <c r="T66" s="27"/>
      <c r="U66" s="27"/>
      <c r="V66" s="27"/>
      <c r="W66" s="27"/>
      <c r="X66" s="27"/>
      <c r="Y66" s="27"/>
      <c r="Z66" s="27"/>
      <c r="AA66" s="27"/>
      <c r="AB66" s="27"/>
      <c r="AC66" s="27"/>
    </row>
    <row r="67" spans="1:29">
      <c r="A67" s="358"/>
      <c r="B67" s="359"/>
      <c r="C67" s="360"/>
      <c r="D67" s="27"/>
      <c r="E67" s="27"/>
      <c r="F67" s="27"/>
      <c r="G67" s="27"/>
      <c r="H67" s="27"/>
      <c r="I67" s="27"/>
      <c r="J67" s="27"/>
      <c r="K67" s="27"/>
      <c r="L67" s="27"/>
      <c r="M67" s="27"/>
      <c r="N67" s="27"/>
      <c r="O67" s="27"/>
      <c r="P67" s="27"/>
      <c r="Q67" s="27"/>
      <c r="R67" s="27"/>
      <c r="S67" s="27"/>
      <c r="T67" s="27"/>
      <c r="U67" s="27"/>
      <c r="V67" s="27"/>
      <c r="W67" s="27"/>
      <c r="X67" s="27"/>
      <c r="Y67" s="27"/>
      <c r="Z67" s="27"/>
      <c r="AA67" s="27"/>
      <c r="AB67" s="27"/>
      <c r="AC67" s="27"/>
    </row>
    <row r="68" spans="1:29">
      <c r="A68" s="358"/>
      <c r="B68" s="359"/>
      <c r="C68" s="360"/>
      <c r="D68" s="27"/>
      <c r="E68" s="27"/>
      <c r="F68" s="27"/>
      <c r="G68" s="27"/>
      <c r="H68" s="27"/>
      <c r="I68" s="27"/>
      <c r="J68" s="27"/>
      <c r="K68" s="27"/>
      <c r="L68" s="27"/>
      <c r="M68" s="27"/>
      <c r="N68" s="27"/>
      <c r="O68" s="27"/>
      <c r="P68" s="27"/>
      <c r="Q68" s="27"/>
      <c r="R68" s="27"/>
      <c r="S68" s="27"/>
      <c r="T68" s="27"/>
      <c r="U68" s="27"/>
      <c r="V68" s="27"/>
      <c r="W68" s="27"/>
      <c r="X68" s="27"/>
      <c r="Y68" s="27"/>
      <c r="Z68" s="27"/>
      <c r="AA68" s="27"/>
      <c r="AB68" s="27"/>
      <c r="AC68" s="27"/>
    </row>
    <row r="69" spans="1:29">
      <c r="A69" s="358"/>
      <c r="B69" s="359"/>
      <c r="C69" s="360"/>
      <c r="D69" s="27"/>
      <c r="E69" s="27"/>
      <c r="F69" s="27"/>
      <c r="G69" s="27"/>
      <c r="H69" s="27"/>
      <c r="I69" s="27"/>
      <c r="J69" s="27"/>
      <c r="K69" s="27"/>
      <c r="L69" s="27"/>
      <c r="M69" s="27"/>
      <c r="N69" s="27"/>
      <c r="O69" s="27"/>
      <c r="P69" s="27"/>
      <c r="Q69" s="27"/>
      <c r="R69" s="27"/>
      <c r="S69" s="27"/>
      <c r="T69" s="27"/>
      <c r="U69" s="27"/>
      <c r="V69" s="27"/>
      <c r="W69" s="27"/>
      <c r="X69" s="27"/>
      <c r="Y69" s="27"/>
      <c r="Z69" s="27"/>
      <c r="AA69" s="27"/>
      <c r="AB69" s="27"/>
      <c r="AC69" s="27"/>
    </row>
    <row r="70" spans="1:29">
      <c r="A70" s="358"/>
      <c r="B70" s="359"/>
      <c r="C70" s="360"/>
      <c r="D70" s="27"/>
      <c r="E70" s="27"/>
      <c r="F70" s="27"/>
      <c r="G70" s="27"/>
      <c r="H70" s="27"/>
      <c r="I70" s="27"/>
      <c r="J70" s="27"/>
      <c r="K70" s="27"/>
      <c r="L70" s="27"/>
      <c r="M70" s="27"/>
      <c r="N70" s="27"/>
      <c r="O70" s="27"/>
      <c r="P70" s="27"/>
      <c r="Q70" s="27"/>
      <c r="R70" s="27"/>
      <c r="S70" s="27"/>
      <c r="T70" s="27"/>
      <c r="U70" s="27"/>
      <c r="V70" s="27"/>
      <c r="W70" s="27"/>
      <c r="X70" s="27"/>
      <c r="Y70" s="27"/>
      <c r="Z70" s="27"/>
      <c r="AA70" s="27"/>
      <c r="AB70" s="27"/>
      <c r="AC70" s="27"/>
    </row>
    <row r="71" spans="1:29">
      <c r="A71" s="358"/>
      <c r="B71" s="359"/>
      <c r="C71" s="360"/>
      <c r="D71" s="27"/>
      <c r="E71" s="27"/>
      <c r="F71" s="27"/>
      <c r="G71" s="27"/>
      <c r="H71" s="27"/>
      <c r="I71" s="27"/>
      <c r="J71" s="27"/>
      <c r="K71" s="27"/>
      <c r="L71" s="27"/>
      <c r="M71" s="27"/>
      <c r="N71" s="27"/>
      <c r="O71" s="27"/>
      <c r="P71" s="27"/>
      <c r="Q71" s="27"/>
      <c r="R71" s="27"/>
      <c r="S71" s="27"/>
      <c r="T71" s="27"/>
      <c r="U71" s="27"/>
      <c r="V71" s="27"/>
      <c r="W71" s="27"/>
      <c r="X71" s="27"/>
      <c r="Y71" s="27"/>
      <c r="Z71" s="27"/>
      <c r="AA71" s="27"/>
      <c r="AB71" s="27"/>
      <c r="AC71" s="27"/>
    </row>
    <row r="72" spans="1:29">
      <c r="A72" s="358"/>
      <c r="B72" s="359"/>
      <c r="C72" s="360"/>
      <c r="D72" s="27"/>
      <c r="E72" s="27"/>
      <c r="F72" s="27"/>
      <c r="G72" s="27"/>
      <c r="H72" s="27"/>
      <c r="I72" s="27"/>
      <c r="J72" s="27"/>
      <c r="K72" s="27"/>
      <c r="L72" s="27"/>
      <c r="M72" s="27"/>
      <c r="N72" s="27"/>
      <c r="O72" s="27"/>
      <c r="P72" s="27"/>
      <c r="Q72" s="27"/>
      <c r="R72" s="27"/>
      <c r="S72" s="27"/>
      <c r="T72" s="27"/>
      <c r="U72" s="27"/>
      <c r="V72" s="27"/>
      <c r="W72" s="27"/>
      <c r="X72" s="27"/>
      <c r="Y72" s="27"/>
      <c r="Z72" s="27"/>
      <c r="AA72" s="27"/>
      <c r="AB72" s="27"/>
      <c r="AC72" s="27"/>
    </row>
    <row r="73" spans="1:29">
      <c r="A73" s="358"/>
      <c r="B73" s="359"/>
      <c r="C73" s="360"/>
      <c r="D73" s="27"/>
      <c r="E73" s="27"/>
      <c r="F73" s="27"/>
      <c r="G73" s="27"/>
      <c r="H73" s="27"/>
      <c r="I73" s="27"/>
      <c r="J73" s="27"/>
      <c r="K73" s="27"/>
      <c r="L73" s="27"/>
      <c r="M73" s="27"/>
      <c r="N73" s="27"/>
      <c r="O73" s="27"/>
      <c r="P73" s="27"/>
      <c r="Q73" s="27"/>
      <c r="R73" s="27"/>
      <c r="S73" s="27"/>
      <c r="T73" s="27"/>
      <c r="U73" s="27"/>
      <c r="V73" s="27"/>
      <c r="W73" s="27"/>
      <c r="X73" s="27"/>
      <c r="Y73" s="27"/>
      <c r="Z73" s="27"/>
      <c r="AA73" s="27"/>
      <c r="AB73" s="27"/>
      <c r="AC73" s="27"/>
    </row>
    <row r="74" spans="1:29">
      <c r="A74" s="358"/>
      <c r="B74" s="359"/>
      <c r="C74" s="360"/>
      <c r="D74" s="27"/>
      <c r="E74" s="27"/>
      <c r="F74" s="27"/>
      <c r="G74" s="27"/>
      <c r="H74" s="27"/>
      <c r="I74" s="27"/>
      <c r="J74" s="27"/>
      <c r="K74" s="27"/>
      <c r="L74" s="27"/>
      <c r="M74" s="27"/>
      <c r="N74" s="27"/>
      <c r="O74" s="27"/>
      <c r="P74" s="27"/>
      <c r="Q74" s="27"/>
      <c r="R74" s="27"/>
      <c r="S74" s="27"/>
      <c r="T74" s="27"/>
      <c r="U74" s="27"/>
      <c r="V74" s="27"/>
      <c r="W74" s="27"/>
      <c r="X74" s="27"/>
      <c r="Y74" s="27"/>
      <c r="Z74" s="27"/>
      <c r="AA74" s="27"/>
      <c r="AB74" s="27"/>
      <c r="AC74" s="27"/>
    </row>
    <row r="75" spans="1:29">
      <c r="A75" s="358"/>
      <c r="B75" s="359"/>
      <c r="C75" s="360"/>
      <c r="D75" s="27"/>
      <c r="E75" s="27"/>
      <c r="F75" s="27"/>
      <c r="G75" s="27"/>
      <c r="H75" s="27"/>
      <c r="I75" s="27"/>
      <c r="J75" s="27"/>
      <c r="K75" s="27"/>
      <c r="L75" s="27"/>
      <c r="M75" s="27"/>
      <c r="N75" s="27"/>
      <c r="O75" s="27"/>
      <c r="P75" s="27"/>
      <c r="Q75" s="27"/>
      <c r="R75" s="27"/>
      <c r="S75" s="27"/>
      <c r="T75" s="27"/>
      <c r="U75" s="27"/>
      <c r="V75" s="27"/>
      <c r="W75" s="27"/>
      <c r="X75" s="27"/>
      <c r="Y75" s="27"/>
      <c r="Z75" s="27"/>
      <c r="AA75" s="27"/>
      <c r="AB75" s="27"/>
      <c r="AC75" s="27"/>
    </row>
    <row r="76" spans="1:29">
      <c r="A76" s="358"/>
      <c r="B76" s="359"/>
      <c r="C76" s="360"/>
      <c r="D76" s="27"/>
      <c r="E76" s="27"/>
      <c r="F76" s="27"/>
      <c r="G76" s="27"/>
      <c r="H76" s="27"/>
      <c r="I76" s="27"/>
      <c r="J76" s="27"/>
      <c r="K76" s="27"/>
      <c r="L76" s="27"/>
      <c r="M76" s="27"/>
      <c r="N76" s="27"/>
      <c r="O76" s="27"/>
      <c r="P76" s="27"/>
      <c r="Q76" s="27"/>
      <c r="R76" s="27"/>
      <c r="S76" s="27"/>
      <c r="T76" s="27"/>
      <c r="U76" s="27"/>
      <c r="V76" s="27"/>
      <c r="W76" s="27"/>
      <c r="X76" s="27"/>
      <c r="Y76" s="27"/>
      <c r="Z76" s="27"/>
      <c r="AA76" s="27"/>
      <c r="AB76" s="27"/>
      <c r="AC76" s="27"/>
    </row>
    <row r="77" spans="1:29">
      <c r="A77" s="358"/>
      <c r="B77" s="359"/>
      <c r="C77" s="360"/>
      <c r="D77" s="27"/>
      <c r="E77" s="27"/>
      <c r="F77" s="27"/>
      <c r="G77" s="27"/>
      <c r="H77" s="27"/>
      <c r="I77" s="27"/>
      <c r="J77" s="27"/>
      <c r="K77" s="27"/>
      <c r="L77" s="27"/>
      <c r="M77" s="27"/>
      <c r="N77" s="27"/>
      <c r="O77" s="27"/>
      <c r="P77" s="27"/>
      <c r="Q77" s="27"/>
      <c r="R77" s="27"/>
      <c r="S77" s="27"/>
      <c r="T77" s="27"/>
      <c r="U77" s="27"/>
      <c r="V77" s="27"/>
      <c r="W77" s="27"/>
      <c r="X77" s="27"/>
      <c r="Y77" s="27"/>
      <c r="Z77" s="27"/>
      <c r="AA77" s="27"/>
      <c r="AB77" s="27"/>
      <c r="AC77" s="27"/>
    </row>
    <row r="78" spans="1:29">
      <c r="A78" s="358"/>
      <c r="B78" s="359"/>
      <c r="C78" s="360"/>
      <c r="D78" s="27"/>
      <c r="E78" s="27"/>
      <c r="F78" s="27"/>
      <c r="G78" s="27"/>
      <c r="H78" s="27"/>
      <c r="I78" s="27"/>
      <c r="J78" s="27"/>
      <c r="K78" s="27"/>
      <c r="L78" s="27"/>
      <c r="M78" s="27"/>
      <c r="N78" s="27"/>
      <c r="O78" s="27"/>
      <c r="P78" s="27"/>
      <c r="Q78" s="27"/>
      <c r="R78" s="27"/>
      <c r="S78" s="27"/>
      <c r="T78" s="27"/>
      <c r="U78" s="27"/>
      <c r="V78" s="27"/>
      <c r="W78" s="27"/>
      <c r="X78" s="27"/>
      <c r="Y78" s="27"/>
      <c r="Z78" s="27"/>
      <c r="AA78" s="27"/>
      <c r="AB78" s="27"/>
      <c r="AC78" s="27"/>
    </row>
    <row r="79" spans="1:29">
      <c r="A79" s="358"/>
      <c r="B79" s="359"/>
      <c r="C79" s="360"/>
      <c r="D79" s="27"/>
      <c r="E79" s="27"/>
      <c r="F79" s="27"/>
      <c r="G79" s="27"/>
      <c r="H79" s="27"/>
      <c r="I79" s="27"/>
      <c r="J79" s="27"/>
      <c r="K79" s="27"/>
      <c r="L79" s="27"/>
      <c r="M79" s="27"/>
      <c r="N79" s="27"/>
      <c r="O79" s="27"/>
      <c r="P79" s="27"/>
      <c r="Q79" s="27"/>
      <c r="R79" s="27"/>
      <c r="S79" s="27"/>
      <c r="T79" s="27"/>
      <c r="U79" s="27"/>
      <c r="V79" s="27"/>
      <c r="W79" s="27"/>
      <c r="X79" s="27"/>
      <c r="Y79" s="27"/>
      <c r="Z79" s="27"/>
      <c r="AA79" s="27"/>
      <c r="AB79" s="27"/>
      <c r="AC79" s="27"/>
    </row>
    <row r="80" spans="1:29">
      <c r="A80" s="358"/>
      <c r="B80" s="359"/>
      <c r="C80" s="360"/>
      <c r="D80" s="27"/>
      <c r="E80" s="27"/>
      <c r="F80" s="27"/>
      <c r="G80" s="27"/>
      <c r="H80" s="27"/>
      <c r="I80" s="27"/>
      <c r="J80" s="27"/>
      <c r="K80" s="27"/>
      <c r="L80" s="27"/>
      <c r="M80" s="27"/>
      <c r="N80" s="27"/>
      <c r="O80" s="27"/>
      <c r="P80" s="27"/>
      <c r="Q80" s="27"/>
      <c r="R80" s="27"/>
      <c r="S80" s="27"/>
      <c r="T80" s="27"/>
      <c r="U80" s="27"/>
      <c r="V80" s="27"/>
      <c r="W80" s="27"/>
      <c r="X80" s="27"/>
      <c r="Y80" s="27"/>
      <c r="Z80" s="27"/>
      <c r="AA80" s="27"/>
      <c r="AB80" s="27"/>
      <c r="AC80" s="27"/>
    </row>
    <row r="81" spans="1:29">
      <c r="A81" s="358"/>
      <c r="B81" s="359"/>
      <c r="C81" s="360"/>
      <c r="D81" s="27"/>
      <c r="E81" s="27"/>
      <c r="F81" s="27"/>
      <c r="G81" s="27"/>
      <c r="H81" s="27"/>
      <c r="I81" s="27"/>
      <c r="J81" s="27"/>
      <c r="K81" s="27"/>
      <c r="L81" s="27"/>
      <c r="M81" s="27"/>
      <c r="N81" s="27"/>
      <c r="O81" s="27"/>
      <c r="P81" s="27"/>
      <c r="Q81" s="27"/>
      <c r="R81" s="27"/>
      <c r="S81" s="27"/>
      <c r="T81" s="27"/>
      <c r="U81" s="27"/>
      <c r="V81" s="27"/>
      <c r="W81" s="27"/>
      <c r="X81" s="27"/>
      <c r="Y81" s="27"/>
      <c r="Z81" s="27"/>
      <c r="AA81" s="27"/>
      <c r="AB81" s="27"/>
      <c r="AC81" s="27"/>
    </row>
    <row r="82" spans="1:29">
      <c r="A82" s="358"/>
      <c r="B82" s="359"/>
      <c r="C82" s="360"/>
      <c r="D82" s="27"/>
      <c r="E82" s="27"/>
      <c r="F82" s="27"/>
      <c r="G82" s="27"/>
      <c r="H82" s="27"/>
      <c r="I82" s="27"/>
      <c r="J82" s="27"/>
      <c r="K82" s="27"/>
      <c r="L82" s="27"/>
      <c r="M82" s="27"/>
      <c r="N82" s="27"/>
      <c r="O82" s="27"/>
      <c r="P82" s="27"/>
      <c r="Q82" s="27"/>
      <c r="R82" s="27"/>
      <c r="S82" s="27"/>
      <c r="T82" s="27"/>
      <c r="U82" s="27"/>
      <c r="V82" s="27"/>
      <c r="W82" s="27"/>
      <c r="X82" s="27"/>
      <c r="Y82" s="27"/>
      <c r="Z82" s="27"/>
      <c r="AA82" s="27"/>
      <c r="AB82" s="27"/>
      <c r="AC82" s="27"/>
    </row>
    <row r="83" spans="1:29">
      <c r="A83" s="358"/>
      <c r="B83" s="359"/>
      <c r="C83" s="360"/>
      <c r="D83" s="27"/>
      <c r="E83" s="27"/>
      <c r="F83" s="27"/>
      <c r="G83" s="27"/>
      <c r="H83" s="27"/>
      <c r="I83" s="27"/>
      <c r="J83" s="27"/>
      <c r="K83" s="27"/>
      <c r="L83" s="27"/>
      <c r="M83" s="27"/>
      <c r="N83" s="27"/>
      <c r="O83" s="27"/>
      <c r="P83" s="27"/>
      <c r="Q83" s="27"/>
      <c r="R83" s="27"/>
      <c r="S83" s="27"/>
      <c r="T83" s="27"/>
      <c r="U83" s="27"/>
      <c r="V83" s="27"/>
      <c r="W83" s="27"/>
      <c r="X83" s="27"/>
      <c r="Y83" s="27"/>
      <c r="Z83" s="27"/>
      <c r="AA83" s="27"/>
      <c r="AB83" s="27"/>
      <c r="AC83" s="27"/>
    </row>
    <row r="84" spans="1:29">
      <c r="A84" s="358"/>
      <c r="B84" s="359"/>
      <c r="C84" s="360"/>
      <c r="D84" s="27"/>
      <c r="E84" s="27"/>
      <c r="F84" s="27"/>
      <c r="G84" s="27"/>
      <c r="H84" s="27"/>
      <c r="I84" s="27"/>
      <c r="J84" s="27"/>
      <c r="K84" s="27"/>
      <c r="L84" s="27"/>
      <c r="M84" s="27"/>
      <c r="N84" s="27"/>
      <c r="O84" s="27"/>
      <c r="P84" s="27"/>
      <c r="Q84" s="27"/>
      <c r="R84" s="27"/>
      <c r="S84" s="27"/>
      <c r="T84" s="27"/>
      <c r="U84" s="27"/>
      <c r="V84" s="27"/>
      <c r="W84" s="27"/>
      <c r="X84" s="27"/>
      <c r="Y84" s="27"/>
      <c r="Z84" s="27"/>
      <c r="AA84" s="27"/>
      <c r="AB84" s="27"/>
      <c r="AC84" s="27"/>
    </row>
    <row r="85" spans="1:29">
      <c r="A85" s="358"/>
      <c r="B85" s="359"/>
      <c r="C85" s="360"/>
      <c r="D85" s="27"/>
      <c r="E85" s="27"/>
      <c r="F85" s="27"/>
      <c r="G85" s="27"/>
      <c r="H85" s="27"/>
      <c r="I85" s="27"/>
      <c r="J85" s="27"/>
      <c r="K85" s="27"/>
      <c r="L85" s="27"/>
      <c r="M85" s="27"/>
      <c r="N85" s="27"/>
      <c r="O85" s="27"/>
      <c r="P85" s="27"/>
      <c r="Q85" s="27"/>
      <c r="R85" s="27"/>
      <c r="S85" s="27"/>
      <c r="T85" s="27"/>
      <c r="U85" s="27"/>
      <c r="V85" s="27"/>
      <c r="W85" s="27"/>
      <c r="X85" s="27"/>
      <c r="Y85" s="27"/>
      <c r="Z85" s="27"/>
      <c r="AA85" s="27"/>
      <c r="AB85" s="27"/>
      <c r="AC85" s="27"/>
    </row>
    <row r="86" spans="1:29">
      <c r="A86" s="358"/>
      <c r="B86" s="359"/>
      <c r="C86" s="360"/>
      <c r="D86" s="27"/>
      <c r="E86" s="27"/>
      <c r="F86" s="27"/>
      <c r="G86" s="27"/>
      <c r="H86" s="27"/>
      <c r="I86" s="27"/>
      <c r="J86" s="27"/>
      <c r="K86" s="27"/>
      <c r="L86" s="27"/>
      <c r="M86" s="27"/>
      <c r="N86" s="27"/>
      <c r="O86" s="27"/>
      <c r="P86" s="27"/>
      <c r="Q86" s="27"/>
      <c r="R86" s="27"/>
      <c r="S86" s="27"/>
      <c r="T86" s="27"/>
      <c r="U86" s="27"/>
      <c r="V86" s="27"/>
      <c r="W86" s="27"/>
      <c r="X86" s="27"/>
      <c r="Y86" s="27"/>
      <c r="Z86" s="27"/>
      <c r="AA86" s="27"/>
      <c r="AB86" s="27"/>
      <c r="AC86" s="27"/>
    </row>
    <row r="87" spans="1:29">
      <c r="A87" s="358"/>
      <c r="B87" s="359"/>
      <c r="C87" s="360"/>
      <c r="D87" s="27"/>
      <c r="E87" s="27"/>
      <c r="F87" s="27"/>
      <c r="G87" s="27"/>
      <c r="H87" s="27"/>
      <c r="I87" s="27"/>
      <c r="J87" s="27"/>
      <c r="K87" s="27"/>
      <c r="L87" s="27"/>
      <c r="M87" s="27"/>
      <c r="N87" s="27"/>
      <c r="O87" s="27"/>
      <c r="P87" s="27"/>
      <c r="Q87" s="27"/>
      <c r="R87" s="27"/>
      <c r="S87" s="27"/>
      <c r="T87" s="27"/>
      <c r="U87" s="27"/>
      <c r="V87" s="27"/>
      <c r="W87" s="27"/>
      <c r="X87" s="27"/>
      <c r="Y87" s="27"/>
      <c r="Z87" s="27"/>
      <c r="AA87" s="27"/>
      <c r="AB87" s="27"/>
      <c r="AC87" s="27"/>
    </row>
    <row r="88" spans="1:29">
      <c r="A88" s="358"/>
      <c r="B88" s="359"/>
      <c r="C88" s="360"/>
      <c r="D88" s="27"/>
      <c r="E88" s="27"/>
      <c r="F88" s="27"/>
      <c r="G88" s="27"/>
      <c r="H88" s="27"/>
      <c r="I88" s="27"/>
      <c r="J88" s="27"/>
      <c r="K88" s="27"/>
      <c r="L88" s="27"/>
      <c r="M88" s="27"/>
      <c r="N88" s="27"/>
      <c r="O88" s="27"/>
      <c r="P88" s="27"/>
      <c r="Q88" s="27"/>
      <c r="R88" s="27"/>
      <c r="S88" s="27"/>
      <c r="T88" s="27"/>
      <c r="U88" s="27"/>
      <c r="V88" s="27"/>
      <c r="W88" s="27"/>
      <c r="X88" s="27"/>
      <c r="Y88" s="27"/>
      <c r="Z88" s="27"/>
      <c r="AA88" s="27"/>
      <c r="AB88" s="27"/>
      <c r="AC88" s="27"/>
    </row>
    <row r="89" spans="1:29">
      <c r="A89" s="358"/>
      <c r="B89" s="359"/>
      <c r="C89" s="360"/>
      <c r="D89" s="27"/>
      <c r="E89" s="27"/>
      <c r="F89" s="27"/>
      <c r="G89" s="27"/>
      <c r="H89" s="27"/>
      <c r="I89" s="27"/>
      <c r="J89" s="27"/>
      <c r="K89" s="27"/>
      <c r="L89" s="27"/>
      <c r="M89" s="27"/>
      <c r="N89" s="27"/>
      <c r="O89" s="27"/>
      <c r="P89" s="27"/>
      <c r="Q89" s="27"/>
      <c r="R89" s="27"/>
      <c r="S89" s="27"/>
      <c r="T89" s="27"/>
      <c r="U89" s="27"/>
      <c r="V89" s="27"/>
      <c r="W89" s="27"/>
      <c r="X89" s="27"/>
      <c r="Y89" s="27"/>
      <c r="Z89" s="27"/>
      <c r="AA89" s="27"/>
      <c r="AB89" s="27"/>
      <c r="AC89" s="27"/>
    </row>
    <row r="90" spans="1:29">
      <c r="A90" s="358"/>
      <c r="B90" s="359"/>
      <c r="C90" s="360"/>
      <c r="D90" s="27"/>
      <c r="E90" s="27"/>
      <c r="F90" s="27"/>
      <c r="G90" s="27"/>
      <c r="H90" s="27"/>
      <c r="I90" s="27"/>
      <c r="J90" s="27"/>
      <c r="K90" s="27"/>
      <c r="L90" s="27"/>
      <c r="M90" s="27"/>
      <c r="N90" s="27"/>
      <c r="O90" s="27"/>
      <c r="P90" s="27"/>
      <c r="Q90" s="27"/>
      <c r="R90" s="27"/>
      <c r="S90" s="27"/>
      <c r="T90" s="27"/>
      <c r="U90" s="27"/>
      <c r="V90" s="27"/>
      <c r="W90" s="27"/>
      <c r="X90" s="27"/>
      <c r="Y90" s="27"/>
      <c r="Z90" s="27"/>
      <c r="AA90" s="27"/>
      <c r="AB90" s="27"/>
      <c r="AC90" s="27"/>
    </row>
    <row r="91" spans="1:29">
      <c r="A91" s="358"/>
      <c r="B91" s="359"/>
      <c r="C91" s="360"/>
      <c r="D91" s="27"/>
      <c r="E91" s="27"/>
      <c r="F91" s="27"/>
      <c r="G91" s="27"/>
      <c r="H91" s="27"/>
      <c r="I91" s="27"/>
      <c r="J91" s="27"/>
      <c r="K91" s="27"/>
      <c r="L91" s="27"/>
      <c r="M91" s="27"/>
      <c r="N91" s="27"/>
      <c r="O91" s="27"/>
      <c r="P91" s="27"/>
      <c r="Q91" s="27"/>
      <c r="R91" s="27"/>
      <c r="S91" s="27"/>
      <c r="T91" s="27"/>
      <c r="U91" s="27"/>
      <c r="V91" s="27"/>
      <c r="W91" s="27"/>
      <c r="X91" s="27"/>
      <c r="Y91" s="27"/>
      <c r="Z91" s="27"/>
      <c r="AA91" s="27"/>
      <c r="AB91" s="27"/>
      <c r="AC91" s="27"/>
    </row>
    <row r="92" spans="1:29">
      <c r="A92" s="358"/>
      <c r="B92" s="359"/>
      <c r="C92" s="360"/>
      <c r="D92" s="27"/>
      <c r="E92" s="27"/>
      <c r="F92" s="27"/>
      <c r="G92" s="27"/>
      <c r="H92" s="27"/>
      <c r="I92" s="27"/>
      <c r="J92" s="27"/>
      <c r="K92" s="27"/>
      <c r="L92" s="27"/>
      <c r="M92" s="27"/>
      <c r="N92" s="27"/>
      <c r="O92" s="27"/>
      <c r="P92" s="27"/>
      <c r="Q92" s="27"/>
      <c r="R92" s="27"/>
      <c r="S92" s="27"/>
      <c r="T92" s="27"/>
      <c r="U92" s="27"/>
      <c r="V92" s="27"/>
      <c r="W92" s="27"/>
      <c r="X92" s="27"/>
      <c r="Y92" s="27"/>
      <c r="Z92" s="27"/>
      <c r="AA92" s="27"/>
      <c r="AB92" s="27"/>
      <c r="AC92" s="27"/>
    </row>
    <row r="93" spans="1:29">
      <c r="A93" s="358"/>
      <c r="B93" s="359"/>
      <c r="C93" s="360"/>
      <c r="D93" s="27"/>
      <c r="E93" s="27"/>
      <c r="F93" s="27"/>
      <c r="G93" s="27"/>
      <c r="H93" s="27"/>
      <c r="I93" s="27"/>
      <c r="J93" s="27"/>
      <c r="K93" s="27"/>
      <c r="L93" s="27"/>
      <c r="M93" s="27"/>
      <c r="N93" s="27"/>
      <c r="O93" s="27"/>
      <c r="P93" s="27"/>
      <c r="Q93" s="27"/>
      <c r="R93" s="27"/>
      <c r="S93" s="27"/>
      <c r="T93" s="27"/>
      <c r="U93" s="27"/>
      <c r="V93" s="27"/>
      <c r="W93" s="27"/>
      <c r="X93" s="27"/>
      <c r="Y93" s="27"/>
      <c r="Z93" s="27"/>
      <c r="AA93" s="27"/>
      <c r="AB93" s="27"/>
      <c r="AC93" s="27"/>
    </row>
    <row r="94" spans="1:29">
      <c r="A94" s="358"/>
      <c r="B94" s="359"/>
      <c r="C94" s="360"/>
      <c r="D94" s="27"/>
      <c r="E94" s="27"/>
      <c r="F94" s="27"/>
      <c r="G94" s="27"/>
      <c r="H94" s="27"/>
      <c r="I94" s="27"/>
      <c r="J94" s="27"/>
      <c r="K94" s="27"/>
      <c r="L94" s="27"/>
      <c r="M94" s="27"/>
      <c r="N94" s="27"/>
      <c r="O94" s="27"/>
      <c r="P94" s="27"/>
      <c r="Q94" s="27"/>
      <c r="R94" s="27"/>
      <c r="S94" s="27"/>
      <c r="T94" s="27"/>
      <c r="U94" s="27"/>
      <c r="V94" s="27"/>
      <c r="W94" s="27"/>
      <c r="X94" s="27"/>
      <c r="Y94" s="27"/>
      <c r="Z94" s="27"/>
      <c r="AA94" s="27"/>
      <c r="AB94" s="27"/>
      <c r="AC94" s="27"/>
    </row>
    <row r="95" spans="1:29">
      <c r="A95" s="358"/>
      <c r="B95" s="359"/>
      <c r="C95" s="360"/>
      <c r="D95" s="27"/>
      <c r="E95" s="27"/>
      <c r="F95" s="27"/>
      <c r="G95" s="27"/>
      <c r="H95" s="27"/>
      <c r="I95" s="27"/>
      <c r="J95" s="27"/>
      <c r="K95" s="27"/>
      <c r="L95" s="27"/>
      <c r="M95" s="27"/>
      <c r="N95" s="27"/>
      <c r="O95" s="27"/>
      <c r="P95" s="27"/>
      <c r="Q95" s="27"/>
      <c r="R95" s="27"/>
      <c r="S95" s="27"/>
      <c r="T95" s="27"/>
      <c r="U95" s="27"/>
      <c r="V95" s="27"/>
      <c r="W95" s="27"/>
      <c r="X95" s="27"/>
      <c r="Y95" s="27"/>
      <c r="Z95" s="27"/>
      <c r="AA95" s="27"/>
      <c r="AB95" s="27"/>
      <c r="AC95" s="27"/>
    </row>
    <row r="96" spans="1:29">
      <c r="A96" s="358"/>
      <c r="B96" s="359"/>
      <c r="C96" s="360"/>
      <c r="D96" s="27"/>
      <c r="E96" s="27"/>
      <c r="F96" s="27"/>
      <c r="G96" s="27"/>
      <c r="H96" s="27"/>
      <c r="I96" s="27"/>
      <c r="J96" s="27"/>
      <c r="K96" s="27"/>
      <c r="L96" s="27"/>
      <c r="M96" s="27"/>
      <c r="N96" s="27"/>
      <c r="O96" s="27"/>
      <c r="P96" s="27"/>
      <c r="Q96" s="27"/>
      <c r="R96" s="27"/>
      <c r="S96" s="27"/>
      <c r="T96" s="27"/>
      <c r="U96" s="27"/>
      <c r="V96" s="27"/>
      <c r="W96" s="27"/>
      <c r="X96" s="27"/>
      <c r="Y96" s="27"/>
      <c r="Z96" s="27"/>
      <c r="AA96" s="27"/>
      <c r="AB96" s="27"/>
      <c r="AC96" s="27"/>
    </row>
    <row r="97" spans="1:29">
      <c r="A97" s="358"/>
      <c r="B97" s="359"/>
      <c r="C97" s="360"/>
      <c r="D97" s="27"/>
      <c r="E97" s="27"/>
      <c r="F97" s="27"/>
      <c r="G97" s="27"/>
      <c r="H97" s="27"/>
      <c r="I97" s="27"/>
      <c r="J97" s="27"/>
      <c r="K97" s="27"/>
      <c r="L97" s="27"/>
      <c r="M97" s="27"/>
      <c r="N97" s="27"/>
      <c r="O97" s="27"/>
      <c r="P97" s="27"/>
      <c r="Q97" s="27"/>
      <c r="R97" s="27"/>
      <c r="S97" s="27"/>
      <c r="T97" s="27"/>
      <c r="U97" s="27"/>
      <c r="V97" s="27"/>
      <c r="W97" s="27"/>
      <c r="X97" s="27"/>
      <c r="Y97" s="27"/>
      <c r="Z97" s="27"/>
      <c r="AA97" s="27"/>
      <c r="AB97" s="27"/>
      <c r="AC97" s="27"/>
    </row>
    <row r="98" spans="1:29">
      <c r="A98" s="358"/>
      <c r="B98" s="359"/>
      <c r="C98" s="360"/>
      <c r="D98" s="27"/>
      <c r="E98" s="27"/>
      <c r="F98" s="27"/>
      <c r="G98" s="27"/>
      <c r="H98" s="27"/>
      <c r="I98" s="27"/>
      <c r="J98" s="27"/>
      <c r="K98" s="27"/>
      <c r="L98" s="27"/>
      <c r="M98" s="27"/>
      <c r="N98" s="27"/>
      <c r="O98" s="27"/>
      <c r="P98" s="27"/>
      <c r="Q98" s="27"/>
      <c r="R98" s="27"/>
      <c r="S98" s="27"/>
      <c r="T98" s="27"/>
      <c r="U98" s="27"/>
      <c r="V98" s="27"/>
      <c r="W98" s="27"/>
      <c r="X98" s="27"/>
      <c r="Y98" s="27"/>
      <c r="Z98" s="27"/>
      <c r="AA98" s="27"/>
      <c r="AB98" s="27"/>
      <c r="AC98" s="27"/>
    </row>
    <row r="99" spans="1:29">
      <c r="A99" s="358"/>
      <c r="B99" s="359"/>
      <c r="C99" s="360"/>
      <c r="D99" s="27"/>
      <c r="E99" s="27"/>
      <c r="F99" s="27"/>
      <c r="G99" s="27"/>
      <c r="H99" s="27"/>
      <c r="I99" s="27"/>
      <c r="J99" s="27"/>
      <c r="K99" s="27"/>
      <c r="L99" s="27"/>
      <c r="M99" s="27"/>
      <c r="N99" s="27"/>
      <c r="O99" s="27"/>
      <c r="P99" s="27"/>
      <c r="Q99" s="27"/>
      <c r="R99" s="27"/>
      <c r="S99" s="27"/>
      <c r="T99" s="27"/>
      <c r="U99" s="27"/>
      <c r="V99" s="27"/>
      <c r="W99" s="27"/>
      <c r="X99" s="27"/>
      <c r="Y99" s="27"/>
      <c r="Z99" s="27"/>
      <c r="AA99" s="27"/>
      <c r="AB99" s="27"/>
      <c r="AC99" s="27"/>
    </row>
    <row r="100" spans="1:29">
      <c r="A100" s="358"/>
      <c r="B100" s="359"/>
      <c r="C100" s="360"/>
      <c r="D100" s="27"/>
      <c r="E100" s="27"/>
      <c r="F100" s="27"/>
      <c r="G100" s="27"/>
      <c r="H100" s="27"/>
      <c r="I100" s="27"/>
      <c r="J100" s="27"/>
      <c r="K100" s="27"/>
      <c r="L100" s="27"/>
      <c r="M100" s="27"/>
      <c r="N100" s="27"/>
      <c r="O100" s="27"/>
      <c r="P100" s="27"/>
      <c r="Q100" s="27"/>
      <c r="R100" s="27"/>
      <c r="S100" s="27"/>
      <c r="T100" s="27"/>
      <c r="U100" s="27"/>
      <c r="V100" s="27"/>
      <c r="W100" s="27"/>
      <c r="X100" s="27"/>
      <c r="Y100" s="27"/>
      <c r="Z100" s="27"/>
      <c r="AA100" s="27"/>
      <c r="AB100" s="27"/>
      <c r="AC100" s="27"/>
    </row>
    <row r="101" spans="1:29">
      <c r="A101" s="358"/>
      <c r="B101" s="359"/>
      <c r="C101" s="360"/>
      <c r="D101" s="27"/>
      <c r="E101" s="27"/>
      <c r="F101" s="27"/>
      <c r="G101" s="27"/>
      <c r="H101" s="27"/>
      <c r="I101" s="27"/>
      <c r="J101" s="27"/>
      <c r="K101" s="27"/>
      <c r="L101" s="27"/>
      <c r="M101" s="27"/>
      <c r="N101" s="27"/>
      <c r="O101" s="27"/>
      <c r="P101" s="27"/>
      <c r="Q101" s="27"/>
      <c r="R101" s="27"/>
      <c r="S101" s="27"/>
      <c r="T101" s="27"/>
      <c r="U101" s="27"/>
      <c r="V101" s="27"/>
      <c r="W101" s="27"/>
      <c r="X101" s="27"/>
      <c r="Y101" s="27"/>
      <c r="Z101" s="27"/>
      <c r="AA101" s="27"/>
      <c r="AB101" s="27"/>
      <c r="AC101" s="27"/>
    </row>
    <row r="102" spans="1:29">
      <c r="A102" s="358"/>
      <c r="B102" s="359"/>
      <c r="C102" s="360"/>
      <c r="D102" s="27"/>
      <c r="E102" s="27"/>
      <c r="F102" s="27"/>
      <c r="G102" s="27"/>
      <c r="H102" s="27"/>
      <c r="I102" s="27"/>
      <c r="J102" s="27"/>
      <c r="K102" s="27"/>
      <c r="L102" s="27"/>
      <c r="M102" s="27"/>
      <c r="N102" s="27"/>
      <c r="O102" s="27"/>
      <c r="P102" s="27"/>
      <c r="Q102" s="27"/>
      <c r="R102" s="27"/>
      <c r="S102" s="27"/>
      <c r="T102" s="27"/>
      <c r="U102" s="27"/>
      <c r="V102" s="27"/>
      <c r="W102" s="27"/>
      <c r="X102" s="27"/>
      <c r="Y102" s="27"/>
      <c r="Z102" s="27"/>
      <c r="AA102" s="27"/>
      <c r="AB102" s="27"/>
      <c r="AC102" s="27"/>
    </row>
    <row r="103" spans="1:29">
      <c r="A103" s="358"/>
      <c r="B103" s="359"/>
      <c r="C103" s="360"/>
      <c r="D103" s="27"/>
      <c r="E103" s="27"/>
      <c r="F103" s="27"/>
      <c r="G103" s="27"/>
      <c r="H103" s="27"/>
      <c r="I103" s="27"/>
      <c r="J103" s="27"/>
      <c r="K103" s="27"/>
      <c r="L103" s="27"/>
      <c r="M103" s="27"/>
      <c r="N103" s="27"/>
      <c r="O103" s="27"/>
      <c r="P103" s="27"/>
      <c r="Q103" s="27"/>
      <c r="R103" s="27"/>
      <c r="S103" s="27"/>
      <c r="T103" s="27"/>
      <c r="U103" s="27"/>
      <c r="V103" s="27"/>
      <c r="W103" s="27"/>
      <c r="X103" s="27"/>
      <c r="Y103" s="27"/>
      <c r="Z103" s="27"/>
      <c r="AA103" s="27"/>
      <c r="AB103" s="27"/>
      <c r="AC103" s="27"/>
    </row>
    <row r="104" spans="1:29">
      <c r="A104" s="358"/>
      <c r="B104" s="359"/>
      <c r="C104" s="360"/>
      <c r="D104" s="27"/>
      <c r="E104" s="27"/>
      <c r="F104" s="27"/>
      <c r="G104" s="27"/>
      <c r="H104" s="27"/>
      <c r="I104" s="27"/>
      <c r="J104" s="27"/>
      <c r="K104" s="27"/>
      <c r="L104" s="27"/>
      <c r="M104" s="27"/>
      <c r="N104" s="27"/>
      <c r="O104" s="27"/>
      <c r="P104" s="27"/>
      <c r="Q104" s="27"/>
      <c r="R104" s="27"/>
      <c r="S104" s="27"/>
      <c r="T104" s="27"/>
      <c r="U104" s="27"/>
      <c r="V104" s="27"/>
      <c r="W104" s="27"/>
      <c r="X104" s="27"/>
      <c r="Y104" s="27"/>
      <c r="Z104" s="27"/>
      <c r="AA104" s="27"/>
      <c r="AB104" s="27"/>
      <c r="AC104" s="27"/>
    </row>
    <row r="105" spans="1:29">
      <c r="A105" s="358"/>
      <c r="B105" s="359"/>
      <c r="C105" s="360"/>
      <c r="D105" s="27"/>
      <c r="E105" s="27"/>
      <c r="F105" s="27"/>
      <c r="G105" s="27"/>
      <c r="H105" s="27"/>
      <c r="I105" s="27"/>
      <c r="J105" s="27"/>
      <c r="K105" s="27"/>
      <c r="L105" s="27"/>
      <c r="M105" s="27"/>
      <c r="N105" s="27"/>
      <c r="O105" s="27"/>
      <c r="P105" s="27"/>
      <c r="Q105" s="27"/>
      <c r="R105" s="27"/>
      <c r="S105" s="27"/>
      <c r="T105" s="27"/>
      <c r="U105" s="27"/>
      <c r="V105" s="27"/>
      <c r="W105" s="27"/>
      <c r="X105" s="27"/>
      <c r="Y105" s="27"/>
      <c r="Z105" s="27"/>
      <c r="AA105" s="27"/>
      <c r="AB105" s="27"/>
      <c r="AC105" s="27"/>
    </row>
    <row r="106" spans="1:29">
      <c r="A106" s="358"/>
      <c r="B106" s="359"/>
      <c r="C106" s="360"/>
      <c r="D106" s="27"/>
      <c r="E106" s="27"/>
      <c r="F106" s="27"/>
      <c r="G106" s="27"/>
      <c r="H106" s="27"/>
      <c r="I106" s="27"/>
      <c r="J106" s="27"/>
      <c r="K106" s="27"/>
      <c r="L106" s="27"/>
      <c r="M106" s="27"/>
      <c r="N106" s="27"/>
      <c r="O106" s="27"/>
      <c r="P106" s="27"/>
      <c r="Q106" s="27"/>
      <c r="R106" s="27"/>
      <c r="S106" s="27"/>
      <c r="T106" s="27"/>
      <c r="U106" s="27"/>
      <c r="V106" s="27"/>
      <c r="W106" s="27"/>
      <c r="X106" s="27"/>
      <c r="Y106" s="27"/>
      <c r="Z106" s="27"/>
      <c r="AA106" s="27"/>
      <c r="AB106" s="27"/>
      <c r="AC106" s="27"/>
    </row>
    <row r="107" spans="1:29">
      <c r="A107" s="358"/>
      <c r="B107" s="359"/>
      <c r="C107" s="360"/>
      <c r="D107" s="27"/>
      <c r="E107" s="27"/>
      <c r="F107" s="27"/>
      <c r="G107" s="27"/>
      <c r="H107" s="27"/>
      <c r="I107" s="27"/>
      <c r="J107" s="27"/>
      <c r="K107" s="27"/>
      <c r="L107" s="27"/>
      <c r="M107" s="27"/>
      <c r="N107" s="27"/>
      <c r="O107" s="27"/>
      <c r="P107" s="27"/>
      <c r="Q107" s="27"/>
      <c r="R107" s="27"/>
      <c r="S107" s="27"/>
      <c r="T107" s="27"/>
      <c r="U107" s="27"/>
      <c r="V107" s="27"/>
      <c r="W107" s="27"/>
      <c r="X107" s="27"/>
      <c r="Y107" s="27"/>
      <c r="Z107" s="27"/>
      <c r="AA107" s="27"/>
      <c r="AB107" s="27"/>
      <c r="AC107" s="27"/>
    </row>
    <row r="108" spans="1:29">
      <c r="A108" s="358"/>
      <c r="B108" s="359"/>
      <c r="C108" s="360"/>
      <c r="D108" s="27"/>
      <c r="E108" s="27"/>
      <c r="F108" s="27"/>
      <c r="G108" s="27"/>
      <c r="H108" s="27"/>
      <c r="I108" s="27"/>
      <c r="J108" s="27"/>
      <c r="K108" s="27"/>
      <c r="L108" s="27"/>
      <c r="M108" s="27"/>
      <c r="N108" s="27"/>
      <c r="O108" s="27"/>
      <c r="P108" s="27"/>
      <c r="Q108" s="27"/>
      <c r="R108" s="27"/>
      <c r="S108" s="27"/>
      <c r="T108" s="27"/>
      <c r="U108" s="27"/>
      <c r="V108" s="27"/>
      <c r="W108" s="27"/>
      <c r="X108" s="27"/>
      <c r="Y108" s="27"/>
      <c r="Z108" s="27"/>
      <c r="AA108" s="27"/>
      <c r="AB108" s="27"/>
      <c r="AC108" s="27"/>
    </row>
    <row r="109" spans="1:29">
      <c r="A109" s="358"/>
      <c r="B109" s="359"/>
      <c r="C109" s="360"/>
      <c r="D109" s="27"/>
      <c r="E109" s="27"/>
      <c r="F109" s="27"/>
      <c r="G109" s="27"/>
      <c r="H109" s="27"/>
      <c r="I109" s="27"/>
      <c r="J109" s="27"/>
      <c r="K109" s="27"/>
      <c r="L109" s="27"/>
      <c r="M109" s="27"/>
      <c r="N109" s="27"/>
      <c r="O109" s="27"/>
      <c r="P109" s="27"/>
      <c r="Q109" s="27"/>
      <c r="R109" s="27"/>
      <c r="S109" s="27"/>
      <c r="T109" s="27"/>
      <c r="U109" s="27"/>
      <c r="V109" s="27"/>
      <c r="W109" s="27"/>
      <c r="X109" s="27"/>
      <c r="Y109" s="27"/>
      <c r="Z109" s="27"/>
      <c r="AA109" s="27"/>
      <c r="AB109" s="27"/>
      <c r="AC109" s="27"/>
    </row>
    <row r="110" spans="1:29">
      <c r="A110" s="358"/>
      <c r="B110" s="359"/>
      <c r="C110" s="360"/>
      <c r="D110" s="27"/>
      <c r="E110" s="27"/>
      <c r="F110" s="27"/>
      <c r="G110" s="27"/>
      <c r="H110" s="27"/>
      <c r="I110" s="27"/>
      <c r="J110" s="27"/>
      <c r="K110" s="27"/>
      <c r="L110" s="27"/>
      <c r="M110" s="27"/>
      <c r="N110" s="27"/>
      <c r="O110" s="27"/>
      <c r="P110" s="27"/>
      <c r="Q110" s="27"/>
      <c r="R110" s="27"/>
      <c r="S110" s="27"/>
      <c r="T110" s="27"/>
      <c r="U110" s="27"/>
      <c r="V110" s="27"/>
      <c r="W110" s="27"/>
      <c r="X110" s="27"/>
      <c r="Y110" s="27"/>
      <c r="Z110" s="27"/>
      <c r="AA110" s="27"/>
      <c r="AB110" s="27"/>
      <c r="AC110" s="27"/>
    </row>
    <row r="111" spans="1:29">
      <c r="A111" s="358"/>
      <c r="B111" s="359"/>
      <c r="C111" s="360"/>
      <c r="D111" s="27"/>
      <c r="E111" s="27"/>
      <c r="F111" s="27"/>
      <c r="G111" s="27"/>
      <c r="H111" s="27"/>
      <c r="I111" s="27"/>
      <c r="J111" s="27"/>
      <c r="K111" s="27"/>
      <c r="L111" s="27"/>
      <c r="M111" s="27"/>
      <c r="N111" s="27"/>
      <c r="O111" s="27"/>
      <c r="P111" s="27"/>
      <c r="Q111" s="27"/>
      <c r="R111" s="27"/>
      <c r="S111" s="27"/>
      <c r="T111" s="27"/>
      <c r="U111" s="27"/>
      <c r="V111" s="27"/>
      <c r="W111" s="27"/>
      <c r="X111" s="27"/>
      <c r="Y111" s="27"/>
      <c r="Z111" s="27"/>
      <c r="AA111" s="27"/>
      <c r="AB111" s="27"/>
      <c r="AC111" s="27"/>
    </row>
    <row r="112" spans="1:29">
      <c r="A112" s="358"/>
      <c r="B112" s="359"/>
      <c r="C112" s="360"/>
      <c r="D112" s="27"/>
      <c r="E112" s="27"/>
      <c r="F112" s="27"/>
      <c r="G112" s="27"/>
      <c r="H112" s="27"/>
      <c r="I112" s="27"/>
      <c r="J112" s="27"/>
      <c r="K112" s="27"/>
      <c r="L112" s="27"/>
      <c r="M112" s="27"/>
      <c r="N112" s="27"/>
      <c r="O112" s="27"/>
      <c r="P112" s="27"/>
      <c r="Q112" s="27"/>
      <c r="R112" s="27"/>
      <c r="S112" s="27"/>
      <c r="T112" s="27"/>
      <c r="U112" s="27"/>
      <c r="V112" s="27"/>
      <c r="W112" s="27"/>
      <c r="X112" s="27"/>
      <c r="Y112" s="27"/>
      <c r="Z112" s="27"/>
      <c r="AA112" s="27"/>
      <c r="AB112" s="27"/>
      <c r="AC112" s="27"/>
    </row>
    <row r="113" spans="1:29">
      <c r="A113" s="358"/>
      <c r="B113" s="359"/>
      <c r="C113" s="360"/>
      <c r="D113" s="27"/>
      <c r="E113" s="27"/>
      <c r="F113" s="27"/>
      <c r="G113" s="27"/>
      <c r="H113" s="27"/>
      <c r="I113" s="27"/>
      <c r="J113" s="27"/>
      <c r="K113" s="27"/>
      <c r="L113" s="27"/>
      <c r="M113" s="27"/>
      <c r="N113" s="27"/>
      <c r="O113" s="27"/>
      <c r="P113" s="27"/>
      <c r="Q113" s="27"/>
      <c r="R113" s="27"/>
      <c r="S113" s="27"/>
      <c r="T113" s="27"/>
      <c r="U113" s="27"/>
      <c r="V113" s="27"/>
      <c r="W113" s="27"/>
      <c r="X113" s="27"/>
      <c r="Y113" s="27"/>
      <c r="Z113" s="27"/>
      <c r="AA113" s="27"/>
      <c r="AB113" s="27"/>
      <c r="AC113" s="27"/>
    </row>
    <row r="114" spans="1:29">
      <c r="A114" s="358"/>
      <c r="B114" s="359"/>
      <c r="C114" s="360"/>
      <c r="D114" s="27"/>
      <c r="E114" s="27"/>
      <c r="F114" s="27"/>
      <c r="G114" s="27"/>
      <c r="H114" s="27"/>
      <c r="I114" s="27"/>
      <c r="J114" s="27"/>
      <c r="K114" s="27"/>
      <c r="L114" s="27"/>
      <c r="M114" s="27"/>
      <c r="N114" s="27"/>
      <c r="O114" s="27"/>
      <c r="P114" s="27"/>
      <c r="Q114" s="27"/>
      <c r="R114" s="27"/>
      <c r="S114" s="27"/>
      <c r="T114" s="27"/>
      <c r="U114" s="27"/>
      <c r="V114" s="27"/>
      <c r="W114" s="27"/>
      <c r="X114" s="27"/>
      <c r="Y114" s="27"/>
      <c r="Z114" s="27"/>
      <c r="AA114" s="27"/>
      <c r="AB114" s="27"/>
      <c r="AC114" s="27"/>
    </row>
    <row r="115" spans="1:29">
      <c r="A115" s="358"/>
      <c r="B115" s="359"/>
      <c r="C115" s="360"/>
      <c r="D115" s="27"/>
      <c r="E115" s="27"/>
      <c r="F115" s="27"/>
      <c r="G115" s="27"/>
      <c r="H115" s="27"/>
      <c r="I115" s="27"/>
      <c r="J115" s="27"/>
      <c r="K115" s="27"/>
      <c r="L115" s="27"/>
      <c r="M115" s="27"/>
      <c r="N115" s="27"/>
      <c r="O115" s="27"/>
      <c r="P115" s="27"/>
      <c r="Q115" s="27"/>
      <c r="R115" s="27"/>
      <c r="S115" s="27"/>
      <c r="T115" s="27"/>
      <c r="U115" s="27"/>
      <c r="V115" s="27"/>
      <c r="W115" s="27"/>
      <c r="X115" s="27"/>
      <c r="Y115" s="27"/>
      <c r="Z115" s="27"/>
      <c r="AA115" s="27"/>
      <c r="AB115" s="27"/>
      <c r="AC115" s="27"/>
    </row>
    <row r="116" spans="1:29">
      <c r="A116" s="358"/>
      <c r="B116" s="359"/>
      <c r="C116" s="360"/>
      <c r="D116" s="27"/>
      <c r="E116" s="27"/>
      <c r="F116" s="27"/>
      <c r="G116" s="27"/>
      <c r="H116" s="27"/>
      <c r="I116" s="27"/>
      <c r="J116" s="27"/>
      <c r="K116" s="27"/>
      <c r="L116" s="27"/>
      <c r="M116" s="27"/>
      <c r="N116" s="27"/>
      <c r="O116" s="27"/>
      <c r="P116" s="27"/>
      <c r="Q116" s="27"/>
      <c r="R116" s="27"/>
      <c r="S116" s="27"/>
      <c r="T116" s="27"/>
      <c r="U116" s="27"/>
      <c r="V116" s="27"/>
      <c r="W116" s="27"/>
      <c r="X116" s="27"/>
      <c r="Y116" s="27"/>
      <c r="Z116" s="27"/>
      <c r="AA116" s="27"/>
      <c r="AB116" s="27"/>
      <c r="AC116" s="27"/>
    </row>
    <row r="117" spans="1:29">
      <c r="A117" s="358"/>
      <c r="B117" s="359"/>
      <c r="C117" s="360"/>
      <c r="D117" s="27"/>
      <c r="E117" s="27"/>
      <c r="F117" s="27"/>
      <c r="G117" s="27"/>
      <c r="H117" s="27"/>
      <c r="I117" s="27"/>
      <c r="J117" s="27"/>
      <c r="K117" s="27"/>
      <c r="L117" s="27"/>
      <c r="M117" s="27"/>
      <c r="N117" s="27"/>
      <c r="O117" s="27"/>
      <c r="P117" s="27"/>
      <c r="Q117" s="27"/>
      <c r="R117" s="27"/>
      <c r="S117" s="27"/>
      <c r="T117" s="27"/>
      <c r="U117" s="27"/>
      <c r="V117" s="27"/>
      <c r="W117" s="27"/>
      <c r="X117" s="27"/>
      <c r="Y117" s="27"/>
      <c r="Z117" s="27"/>
      <c r="AA117" s="27"/>
      <c r="AB117" s="27"/>
      <c r="AC117" s="27"/>
    </row>
    <row r="118" spans="1:29">
      <c r="A118" s="358"/>
      <c r="B118" s="359"/>
      <c r="C118" s="360"/>
      <c r="D118" s="27"/>
      <c r="E118" s="27"/>
      <c r="F118" s="27"/>
      <c r="G118" s="27"/>
      <c r="H118" s="27"/>
      <c r="I118" s="27"/>
      <c r="J118" s="27"/>
      <c r="K118" s="27"/>
      <c r="L118" s="27"/>
      <c r="M118" s="27"/>
      <c r="N118" s="27"/>
      <c r="O118" s="27"/>
      <c r="P118" s="27"/>
      <c r="Q118" s="27"/>
      <c r="R118" s="27"/>
      <c r="S118" s="27"/>
      <c r="T118" s="27"/>
      <c r="U118" s="27"/>
      <c r="V118" s="27"/>
      <c r="W118" s="27"/>
      <c r="X118" s="27"/>
      <c r="Y118" s="27"/>
      <c r="Z118" s="27"/>
      <c r="AA118" s="27"/>
      <c r="AB118" s="27"/>
      <c r="AC118" s="27"/>
    </row>
    <row r="119" spans="1:29">
      <c r="A119" s="358"/>
      <c r="B119" s="359"/>
      <c r="C119" s="360"/>
      <c r="D119" s="27"/>
      <c r="E119" s="27"/>
      <c r="F119" s="27"/>
      <c r="G119" s="27"/>
      <c r="H119" s="27"/>
      <c r="I119" s="27"/>
      <c r="J119" s="27"/>
      <c r="K119" s="27"/>
      <c r="L119" s="27"/>
      <c r="M119" s="27"/>
      <c r="N119" s="27"/>
      <c r="O119" s="27"/>
      <c r="P119" s="27"/>
      <c r="Q119" s="27"/>
      <c r="R119" s="27"/>
      <c r="S119" s="27"/>
      <c r="T119" s="27"/>
      <c r="U119" s="27"/>
      <c r="V119" s="27"/>
      <c r="W119" s="27"/>
      <c r="X119" s="27"/>
      <c r="Y119" s="27"/>
      <c r="Z119" s="27"/>
      <c r="AA119" s="27"/>
      <c r="AB119" s="27"/>
      <c r="AC119" s="27"/>
    </row>
    <row r="120" spans="1:29">
      <c r="A120" s="358"/>
      <c r="B120" s="359"/>
      <c r="C120" s="360"/>
      <c r="D120" s="27"/>
      <c r="E120" s="27"/>
      <c r="F120" s="27"/>
      <c r="G120" s="27"/>
      <c r="H120" s="27"/>
      <c r="I120" s="27"/>
      <c r="J120" s="27"/>
      <c r="K120" s="27"/>
      <c r="L120" s="27"/>
      <c r="M120" s="27"/>
      <c r="N120" s="27"/>
      <c r="O120" s="27"/>
      <c r="P120" s="27"/>
      <c r="Q120" s="27"/>
      <c r="R120" s="27"/>
      <c r="S120" s="27"/>
      <c r="T120" s="27"/>
      <c r="U120" s="27"/>
      <c r="V120" s="27"/>
      <c r="W120" s="27"/>
      <c r="X120" s="27"/>
      <c r="Y120" s="27"/>
      <c r="Z120" s="27"/>
      <c r="AA120" s="27"/>
      <c r="AB120" s="27"/>
      <c r="AC120" s="27"/>
    </row>
    <row r="121" spans="1:29">
      <c r="A121" s="358"/>
      <c r="B121" s="359"/>
      <c r="C121" s="360"/>
      <c r="D121" s="27"/>
      <c r="E121" s="27"/>
      <c r="F121" s="27"/>
      <c r="G121" s="27"/>
      <c r="H121" s="27"/>
      <c r="I121" s="27"/>
      <c r="J121" s="27"/>
      <c r="K121" s="27"/>
      <c r="L121" s="27"/>
      <c r="M121" s="27"/>
      <c r="N121" s="27"/>
      <c r="O121" s="27"/>
      <c r="P121" s="27"/>
      <c r="Q121" s="27"/>
      <c r="R121" s="27"/>
      <c r="S121" s="27"/>
      <c r="T121" s="27"/>
      <c r="U121" s="27"/>
      <c r="V121" s="27"/>
      <c r="W121" s="27"/>
      <c r="X121" s="27"/>
      <c r="Y121" s="27"/>
      <c r="Z121" s="27"/>
      <c r="AA121" s="27"/>
      <c r="AB121" s="27"/>
      <c r="AC121" s="27"/>
    </row>
    <row r="122" spans="1:29">
      <c r="A122" s="358"/>
      <c r="B122" s="359"/>
      <c r="C122" s="360"/>
      <c r="D122" s="27"/>
      <c r="E122" s="27"/>
      <c r="F122" s="27"/>
      <c r="G122" s="27"/>
      <c r="H122" s="27"/>
      <c r="I122" s="27"/>
      <c r="J122" s="27"/>
      <c r="K122" s="27"/>
      <c r="L122" s="27"/>
      <c r="M122" s="27"/>
      <c r="N122" s="27"/>
      <c r="O122" s="27"/>
      <c r="P122" s="27"/>
      <c r="Q122" s="27"/>
      <c r="R122" s="27"/>
      <c r="S122" s="27"/>
      <c r="T122" s="27"/>
      <c r="U122" s="27"/>
      <c r="V122" s="27"/>
      <c r="W122" s="27"/>
      <c r="X122" s="27"/>
      <c r="Y122" s="27"/>
      <c r="Z122" s="27"/>
      <c r="AA122" s="27"/>
      <c r="AB122" s="27"/>
      <c r="AC122" s="27"/>
    </row>
    <row r="123" spans="1:29">
      <c r="A123" s="358"/>
      <c r="B123" s="359"/>
      <c r="C123" s="360"/>
      <c r="D123" s="27"/>
      <c r="E123" s="27"/>
      <c r="F123" s="27"/>
      <c r="G123" s="27"/>
      <c r="H123" s="27"/>
      <c r="I123" s="27"/>
      <c r="J123" s="27"/>
      <c r="K123" s="27"/>
      <c r="L123" s="27"/>
      <c r="M123" s="27"/>
      <c r="N123" s="27"/>
      <c r="O123" s="27"/>
      <c r="P123" s="27"/>
      <c r="Q123" s="27"/>
      <c r="R123" s="27"/>
      <c r="S123" s="27"/>
      <c r="T123" s="27"/>
      <c r="U123" s="27"/>
      <c r="V123" s="27"/>
      <c r="W123" s="27"/>
      <c r="X123" s="27"/>
      <c r="Y123" s="27"/>
      <c r="Z123" s="27"/>
      <c r="AA123" s="27"/>
      <c r="AB123" s="27"/>
      <c r="AC123" s="27"/>
    </row>
    <row r="124" spans="1:29">
      <c r="A124" s="358"/>
      <c r="B124" s="359"/>
      <c r="C124" s="360"/>
      <c r="D124" s="27"/>
      <c r="E124" s="27"/>
      <c r="F124" s="27"/>
      <c r="G124" s="27"/>
      <c r="H124" s="27"/>
      <c r="I124" s="27"/>
      <c r="J124" s="27"/>
      <c r="K124" s="27"/>
      <c r="L124" s="27"/>
      <c r="M124" s="27"/>
      <c r="N124" s="27"/>
      <c r="O124" s="27"/>
      <c r="P124" s="27"/>
      <c r="Q124" s="27"/>
      <c r="R124" s="27"/>
      <c r="S124" s="27"/>
      <c r="T124" s="27"/>
      <c r="U124" s="27"/>
      <c r="V124" s="27"/>
      <c r="W124" s="27"/>
      <c r="X124" s="27"/>
      <c r="Y124" s="27"/>
      <c r="Z124" s="27"/>
      <c r="AA124" s="27"/>
      <c r="AB124" s="27"/>
      <c r="AC124" s="27"/>
    </row>
    <row r="125" spans="1:29">
      <c r="A125" s="358"/>
      <c r="B125" s="359"/>
      <c r="C125" s="360"/>
      <c r="D125" s="27"/>
      <c r="E125" s="27"/>
      <c r="F125" s="27"/>
      <c r="G125" s="27"/>
      <c r="H125" s="27"/>
      <c r="I125" s="27"/>
      <c r="J125" s="27"/>
      <c r="K125" s="27"/>
      <c r="L125" s="27"/>
      <c r="M125" s="27"/>
      <c r="N125" s="27"/>
      <c r="O125" s="27"/>
      <c r="P125" s="27"/>
      <c r="Q125" s="27"/>
      <c r="R125" s="27"/>
      <c r="S125" s="27"/>
      <c r="T125" s="27"/>
      <c r="U125" s="27"/>
      <c r="V125" s="27"/>
      <c r="W125" s="27"/>
      <c r="X125" s="27"/>
      <c r="Y125" s="27"/>
      <c r="Z125" s="27"/>
      <c r="AA125" s="27"/>
      <c r="AB125" s="27"/>
      <c r="AC125" s="27"/>
    </row>
    <row r="126" spans="1:29">
      <c r="A126" s="358"/>
      <c r="B126" s="359"/>
      <c r="C126" s="360"/>
      <c r="D126" s="27"/>
      <c r="E126" s="27"/>
      <c r="F126" s="27"/>
      <c r="G126" s="27"/>
      <c r="H126" s="27"/>
      <c r="I126" s="27"/>
      <c r="J126" s="27"/>
      <c r="K126" s="27"/>
      <c r="L126" s="27"/>
      <c r="M126" s="27"/>
      <c r="N126" s="27"/>
      <c r="O126" s="27"/>
      <c r="P126" s="27"/>
      <c r="Q126" s="27"/>
      <c r="R126" s="27"/>
      <c r="S126" s="27"/>
      <c r="T126" s="27"/>
      <c r="U126" s="27"/>
      <c r="V126" s="27"/>
      <c r="W126" s="27"/>
      <c r="X126" s="27"/>
      <c r="Y126" s="27"/>
      <c r="Z126" s="27"/>
      <c r="AA126" s="27"/>
      <c r="AB126" s="27"/>
      <c r="AC126" s="27"/>
    </row>
    <row r="127" spans="1:29">
      <c r="A127" s="358"/>
      <c r="B127" s="359"/>
      <c r="C127" s="360"/>
      <c r="D127" s="27"/>
      <c r="E127" s="27"/>
      <c r="F127" s="27"/>
      <c r="G127" s="27"/>
      <c r="H127" s="27"/>
      <c r="I127" s="27"/>
      <c r="J127" s="27"/>
      <c r="K127" s="27"/>
      <c r="L127" s="27"/>
      <c r="M127" s="27"/>
      <c r="N127" s="27"/>
      <c r="O127" s="27"/>
      <c r="P127" s="27"/>
      <c r="Q127" s="27"/>
      <c r="R127" s="27"/>
      <c r="S127" s="27"/>
      <c r="T127" s="27"/>
      <c r="U127" s="27"/>
      <c r="V127" s="27"/>
      <c r="W127" s="27"/>
      <c r="X127" s="27"/>
      <c r="Y127" s="27"/>
      <c r="Z127" s="27"/>
      <c r="AA127" s="27"/>
      <c r="AB127" s="27"/>
      <c r="AC127" s="27"/>
    </row>
    <row r="128" spans="1:29">
      <c r="A128" s="358"/>
      <c r="B128" s="359"/>
      <c r="C128" s="360"/>
      <c r="D128" s="27"/>
      <c r="E128" s="27"/>
      <c r="F128" s="27"/>
      <c r="G128" s="27"/>
      <c r="H128" s="27"/>
      <c r="I128" s="27"/>
      <c r="J128" s="27"/>
      <c r="K128" s="27"/>
      <c r="L128" s="27"/>
      <c r="M128" s="27"/>
      <c r="N128" s="27"/>
      <c r="O128" s="27"/>
      <c r="P128" s="27"/>
      <c r="Q128" s="27"/>
      <c r="R128" s="27"/>
      <c r="S128" s="27"/>
      <c r="T128" s="27"/>
      <c r="U128" s="27"/>
      <c r="V128" s="27"/>
      <c r="W128" s="27"/>
      <c r="X128" s="27"/>
      <c r="Y128" s="27"/>
      <c r="Z128" s="27"/>
      <c r="AA128" s="27"/>
      <c r="AB128" s="27"/>
      <c r="AC128" s="27"/>
    </row>
    <row r="129" spans="1:29">
      <c r="A129" s="358"/>
      <c r="B129" s="359"/>
      <c r="C129" s="360"/>
      <c r="D129" s="27"/>
      <c r="E129" s="27"/>
      <c r="F129" s="27"/>
      <c r="G129" s="27"/>
      <c r="H129" s="27"/>
      <c r="I129" s="27"/>
      <c r="J129" s="27"/>
      <c r="K129" s="27"/>
      <c r="L129" s="27"/>
      <c r="M129" s="27"/>
      <c r="N129" s="27"/>
      <c r="O129" s="27"/>
      <c r="P129" s="27"/>
      <c r="Q129" s="27"/>
      <c r="R129" s="27"/>
      <c r="S129" s="27"/>
      <c r="T129" s="27"/>
      <c r="U129" s="27"/>
      <c r="V129" s="27"/>
      <c r="W129" s="27"/>
      <c r="X129" s="27"/>
      <c r="Y129" s="27"/>
      <c r="Z129" s="27"/>
      <c r="AA129" s="27"/>
      <c r="AB129" s="27"/>
      <c r="AC129" s="27"/>
    </row>
    <row r="130" spans="1:29">
      <c r="A130" s="358"/>
      <c r="B130" s="359"/>
      <c r="C130" s="360"/>
      <c r="D130" s="27"/>
      <c r="E130" s="27"/>
      <c r="F130" s="27"/>
      <c r="G130" s="27"/>
      <c r="H130" s="27"/>
      <c r="I130" s="27"/>
      <c r="J130" s="27"/>
      <c r="K130" s="27"/>
      <c r="L130" s="27"/>
      <c r="M130" s="27"/>
      <c r="N130" s="27"/>
      <c r="O130" s="27"/>
      <c r="P130" s="27"/>
      <c r="Q130" s="27"/>
      <c r="R130" s="27"/>
      <c r="S130" s="27"/>
      <c r="T130" s="27"/>
      <c r="U130" s="27"/>
      <c r="V130" s="27"/>
      <c r="W130" s="27"/>
      <c r="X130" s="27"/>
      <c r="Y130" s="27"/>
      <c r="Z130" s="27"/>
      <c r="AA130" s="27"/>
      <c r="AB130" s="27"/>
      <c r="AC130" s="27"/>
    </row>
    <row r="131" spans="1:29">
      <c r="A131" s="358"/>
      <c r="B131" s="359"/>
      <c r="C131" s="360"/>
      <c r="D131" s="27"/>
      <c r="E131" s="27"/>
      <c r="F131" s="27"/>
      <c r="G131" s="27"/>
      <c r="H131" s="27"/>
      <c r="I131" s="27"/>
      <c r="J131" s="27"/>
      <c r="K131" s="27"/>
      <c r="L131" s="27"/>
      <c r="M131" s="27"/>
      <c r="N131" s="27"/>
      <c r="O131" s="27"/>
      <c r="P131" s="27"/>
      <c r="Q131" s="27"/>
      <c r="R131" s="27"/>
      <c r="S131" s="27"/>
      <c r="T131" s="27"/>
      <c r="U131" s="27"/>
      <c r="V131" s="27"/>
      <c r="W131" s="27"/>
      <c r="X131" s="27"/>
      <c r="Y131" s="27"/>
      <c r="Z131" s="27"/>
      <c r="AA131" s="27"/>
      <c r="AB131" s="27"/>
      <c r="AC131" s="27"/>
    </row>
    <row r="132" spans="1:29">
      <c r="A132" s="358"/>
      <c r="B132" s="359"/>
      <c r="C132" s="360"/>
      <c r="D132" s="27"/>
      <c r="E132" s="27"/>
      <c r="F132" s="27"/>
      <c r="G132" s="27"/>
      <c r="H132" s="27"/>
      <c r="I132" s="27"/>
      <c r="J132" s="27"/>
      <c r="K132" s="27"/>
      <c r="L132" s="27"/>
      <c r="M132" s="27"/>
      <c r="N132" s="27"/>
      <c r="O132" s="27"/>
      <c r="P132" s="27"/>
      <c r="Q132" s="27"/>
      <c r="R132" s="27"/>
      <c r="S132" s="27"/>
      <c r="T132" s="27"/>
      <c r="U132" s="27"/>
      <c r="V132" s="27"/>
      <c r="W132" s="27"/>
      <c r="X132" s="27"/>
      <c r="Y132" s="27"/>
      <c r="Z132" s="27"/>
      <c r="AA132" s="27"/>
      <c r="AB132" s="27"/>
      <c r="AC132" s="27"/>
    </row>
    <row r="133" spans="1:29">
      <c r="A133" s="358"/>
      <c r="B133" s="359"/>
      <c r="C133" s="360"/>
      <c r="D133" s="27"/>
      <c r="E133" s="27"/>
      <c r="F133" s="27"/>
      <c r="G133" s="27"/>
      <c r="H133" s="27"/>
      <c r="I133" s="27"/>
      <c r="J133" s="27"/>
      <c r="K133" s="27"/>
      <c r="L133" s="27"/>
      <c r="M133" s="27"/>
      <c r="N133" s="27"/>
      <c r="O133" s="27"/>
      <c r="P133" s="27"/>
      <c r="Q133" s="27"/>
      <c r="R133" s="27"/>
      <c r="S133" s="27"/>
      <c r="T133" s="27"/>
      <c r="U133" s="27"/>
      <c r="V133" s="27"/>
      <c r="W133" s="27"/>
      <c r="X133" s="27"/>
      <c r="Y133" s="27"/>
      <c r="Z133" s="27"/>
      <c r="AA133" s="27"/>
      <c r="AB133" s="27"/>
      <c r="AC133" s="27"/>
    </row>
    <row r="134" spans="1:29">
      <c r="A134" s="358"/>
      <c r="B134" s="359"/>
      <c r="C134" s="360"/>
      <c r="D134" s="27"/>
      <c r="E134" s="27"/>
      <c r="F134" s="27"/>
      <c r="G134" s="27"/>
      <c r="H134" s="27"/>
      <c r="I134" s="27"/>
      <c r="J134" s="27"/>
      <c r="K134" s="27"/>
      <c r="L134" s="27"/>
      <c r="M134" s="27"/>
      <c r="N134" s="27"/>
      <c r="O134" s="27"/>
      <c r="P134" s="27"/>
      <c r="Q134" s="27"/>
      <c r="R134" s="27"/>
      <c r="S134" s="27"/>
      <c r="T134" s="27"/>
      <c r="U134" s="27"/>
      <c r="V134" s="27"/>
      <c r="W134" s="27"/>
      <c r="X134" s="27"/>
      <c r="Y134" s="27"/>
      <c r="Z134" s="27"/>
      <c r="AA134" s="27"/>
      <c r="AB134" s="27"/>
      <c r="AC134" s="27"/>
    </row>
    <row r="135" spans="1:29">
      <c r="A135" s="358"/>
      <c r="B135" s="359"/>
      <c r="C135" s="360"/>
      <c r="D135" s="27"/>
      <c r="E135" s="27"/>
      <c r="F135" s="27"/>
      <c r="G135" s="27"/>
      <c r="H135" s="27"/>
      <c r="I135" s="27"/>
      <c r="J135" s="27"/>
      <c r="K135" s="27"/>
      <c r="L135" s="27"/>
      <c r="M135" s="27"/>
      <c r="N135" s="27"/>
      <c r="O135" s="27"/>
      <c r="P135" s="27"/>
      <c r="Q135" s="27"/>
      <c r="R135" s="27"/>
      <c r="S135" s="27"/>
      <c r="T135" s="27"/>
      <c r="U135" s="27"/>
      <c r="V135" s="27"/>
      <c r="W135" s="27"/>
      <c r="X135" s="27"/>
      <c r="Y135" s="27"/>
      <c r="Z135" s="27"/>
      <c r="AA135" s="27"/>
      <c r="AB135" s="27"/>
      <c r="AC135" s="27"/>
    </row>
    <row r="136" spans="1:29">
      <c r="A136" s="358"/>
      <c r="B136" s="359"/>
      <c r="C136" s="360"/>
      <c r="D136" s="27"/>
      <c r="E136" s="27"/>
      <c r="F136" s="27"/>
      <c r="G136" s="27"/>
      <c r="H136" s="27"/>
      <c r="I136" s="27"/>
      <c r="J136" s="27"/>
      <c r="K136" s="27"/>
      <c r="L136" s="27"/>
      <c r="M136" s="27"/>
      <c r="N136" s="27"/>
      <c r="O136" s="27"/>
      <c r="P136" s="27"/>
      <c r="Q136" s="27"/>
      <c r="R136" s="27"/>
      <c r="S136" s="27"/>
      <c r="T136" s="27"/>
      <c r="U136" s="27"/>
      <c r="V136" s="27"/>
      <c r="W136" s="27"/>
      <c r="X136" s="27"/>
      <c r="Y136" s="27"/>
      <c r="Z136" s="27"/>
      <c r="AA136" s="27"/>
      <c r="AB136" s="27"/>
      <c r="AC136" s="27"/>
    </row>
    <row r="137" spans="1:29">
      <c r="A137" s="358"/>
      <c r="B137" s="359"/>
      <c r="C137" s="360"/>
      <c r="D137" s="27"/>
      <c r="E137" s="27"/>
      <c r="F137" s="27"/>
      <c r="G137" s="27"/>
      <c r="H137" s="27"/>
      <c r="I137" s="27"/>
      <c r="J137" s="27"/>
      <c r="K137" s="27"/>
      <c r="L137" s="27"/>
      <c r="M137" s="27"/>
      <c r="N137" s="27"/>
      <c r="O137" s="27"/>
      <c r="P137" s="27"/>
      <c r="Q137" s="27"/>
      <c r="R137" s="27"/>
      <c r="S137" s="27"/>
      <c r="T137" s="27"/>
      <c r="U137" s="27"/>
      <c r="V137" s="27"/>
      <c r="W137" s="27"/>
      <c r="X137" s="27"/>
      <c r="Y137" s="27"/>
      <c r="Z137" s="27"/>
      <c r="AA137" s="27"/>
      <c r="AB137" s="27"/>
      <c r="AC137" s="27"/>
    </row>
    <row r="138" spans="1:29">
      <c r="A138" s="358"/>
      <c r="B138" s="359"/>
      <c r="C138" s="360"/>
      <c r="D138" s="27"/>
      <c r="E138" s="27"/>
      <c r="F138" s="27"/>
      <c r="G138" s="27"/>
      <c r="H138" s="27"/>
      <c r="I138" s="27"/>
      <c r="J138" s="27"/>
      <c r="K138" s="27"/>
      <c r="L138" s="27"/>
      <c r="M138" s="27"/>
      <c r="N138" s="27"/>
      <c r="O138" s="27"/>
      <c r="P138" s="27"/>
      <c r="Q138" s="27"/>
      <c r="R138" s="27"/>
      <c r="S138" s="27"/>
      <c r="T138" s="27"/>
      <c r="U138" s="27"/>
      <c r="V138" s="27"/>
      <c r="W138" s="27"/>
      <c r="X138" s="27"/>
      <c r="Y138" s="27"/>
      <c r="Z138" s="27"/>
      <c r="AA138" s="27"/>
      <c r="AB138" s="27"/>
      <c r="AC138" s="27"/>
    </row>
    <row r="139" spans="1:29">
      <c r="A139" s="358"/>
      <c r="B139" s="359"/>
      <c r="C139" s="360"/>
      <c r="D139" s="27"/>
      <c r="E139" s="27"/>
      <c r="F139" s="27"/>
      <c r="G139" s="27"/>
      <c r="H139" s="27"/>
      <c r="I139" s="27"/>
      <c r="J139" s="27"/>
      <c r="K139" s="27"/>
      <c r="L139" s="27"/>
      <c r="M139" s="27"/>
      <c r="N139" s="27"/>
      <c r="O139" s="27"/>
      <c r="P139" s="27"/>
      <c r="Q139" s="27"/>
      <c r="R139" s="27"/>
      <c r="S139" s="27"/>
      <c r="T139" s="27"/>
      <c r="U139" s="27"/>
      <c r="V139" s="27"/>
      <c r="W139" s="27"/>
      <c r="X139" s="27"/>
      <c r="Y139" s="27"/>
      <c r="Z139" s="27"/>
      <c r="AA139" s="27"/>
      <c r="AB139" s="27"/>
      <c r="AC139" s="27"/>
    </row>
    <row r="140" spans="1:29">
      <c r="A140" s="358"/>
      <c r="B140" s="359"/>
      <c r="C140" s="360"/>
      <c r="D140" s="27"/>
      <c r="E140" s="27"/>
      <c r="F140" s="27"/>
      <c r="G140" s="27"/>
      <c r="H140" s="27"/>
      <c r="I140" s="27"/>
      <c r="J140" s="27"/>
      <c r="K140" s="27"/>
      <c r="L140" s="27"/>
      <c r="M140" s="27"/>
      <c r="N140" s="27"/>
      <c r="O140" s="27"/>
      <c r="P140" s="27"/>
      <c r="Q140" s="27"/>
      <c r="R140" s="27"/>
      <c r="S140" s="27"/>
      <c r="T140" s="27"/>
      <c r="U140" s="27"/>
      <c r="V140" s="27"/>
      <c r="W140" s="27"/>
      <c r="X140" s="27"/>
      <c r="Y140" s="27"/>
      <c r="Z140" s="27"/>
      <c r="AA140" s="27"/>
      <c r="AB140" s="27"/>
      <c r="AC140" s="27"/>
    </row>
    <row r="141" spans="1:29">
      <c r="A141" s="358"/>
      <c r="B141" s="359"/>
      <c r="C141" s="360"/>
      <c r="D141" s="27"/>
      <c r="E141" s="27"/>
      <c r="F141" s="27"/>
      <c r="G141" s="27"/>
      <c r="H141" s="27"/>
      <c r="I141" s="27"/>
      <c r="J141" s="27"/>
      <c r="K141" s="27"/>
      <c r="L141" s="27"/>
      <c r="M141" s="27"/>
      <c r="N141" s="27"/>
      <c r="O141" s="27"/>
      <c r="P141" s="27"/>
      <c r="Q141" s="27"/>
      <c r="R141" s="27"/>
      <c r="S141" s="27"/>
      <c r="T141" s="27"/>
      <c r="U141" s="27"/>
      <c r="V141" s="27"/>
      <c r="W141" s="27"/>
      <c r="X141" s="27"/>
      <c r="Y141" s="27"/>
      <c r="Z141" s="27"/>
      <c r="AA141" s="27"/>
      <c r="AB141" s="27"/>
      <c r="AC141" s="27"/>
    </row>
    <row r="142" spans="1:29">
      <c r="A142" s="358"/>
      <c r="B142" s="359"/>
      <c r="C142" s="360"/>
      <c r="D142" s="27"/>
      <c r="E142" s="27"/>
      <c r="F142" s="27"/>
      <c r="G142" s="27"/>
      <c r="H142" s="27"/>
      <c r="I142" s="27"/>
      <c r="J142" s="27"/>
      <c r="K142" s="27"/>
      <c r="L142" s="27"/>
      <c r="M142" s="27"/>
      <c r="N142" s="27"/>
      <c r="O142" s="27"/>
      <c r="P142" s="27"/>
      <c r="Q142" s="27"/>
      <c r="R142" s="27"/>
      <c r="S142" s="27"/>
      <c r="T142" s="27"/>
      <c r="U142" s="27"/>
      <c r="V142" s="27"/>
      <c r="W142" s="27"/>
      <c r="X142" s="27"/>
      <c r="Y142" s="27"/>
      <c r="Z142" s="27"/>
      <c r="AA142" s="27"/>
      <c r="AB142" s="27"/>
      <c r="AC142" s="27"/>
    </row>
    <row r="143" spans="1:29">
      <c r="A143" s="358"/>
      <c r="B143" s="359"/>
      <c r="C143" s="360"/>
      <c r="D143" s="27"/>
      <c r="E143" s="27"/>
      <c r="F143" s="27"/>
      <c r="G143" s="27"/>
      <c r="H143" s="27"/>
      <c r="I143" s="27"/>
      <c r="J143" s="27"/>
      <c r="K143" s="27"/>
      <c r="L143" s="27"/>
      <c r="M143" s="27"/>
      <c r="N143" s="27"/>
      <c r="O143" s="27"/>
      <c r="P143" s="27"/>
      <c r="Q143" s="27"/>
      <c r="R143" s="27"/>
      <c r="S143" s="27"/>
      <c r="T143" s="27"/>
      <c r="U143" s="27"/>
      <c r="V143" s="27"/>
      <c r="W143" s="27"/>
      <c r="X143" s="27"/>
      <c r="Y143" s="27"/>
      <c r="Z143" s="27"/>
      <c r="AA143" s="27"/>
      <c r="AB143" s="27"/>
      <c r="AC143" s="27"/>
    </row>
    <row r="144" spans="1:29">
      <c r="A144" s="358"/>
      <c r="B144" s="359"/>
      <c r="C144" s="360"/>
      <c r="D144" s="27"/>
      <c r="E144" s="27"/>
      <c r="F144" s="27"/>
      <c r="G144" s="27"/>
      <c r="H144" s="27"/>
      <c r="I144" s="27"/>
      <c r="J144" s="27"/>
      <c r="K144" s="27"/>
      <c r="L144" s="27"/>
      <c r="M144" s="27"/>
      <c r="N144" s="27"/>
      <c r="O144" s="27"/>
      <c r="P144" s="27"/>
      <c r="Q144" s="27"/>
      <c r="R144" s="27"/>
      <c r="S144" s="27"/>
      <c r="T144" s="27"/>
      <c r="U144" s="27"/>
      <c r="V144" s="27"/>
      <c r="W144" s="27"/>
      <c r="X144" s="27"/>
      <c r="Y144" s="27"/>
      <c r="Z144" s="27"/>
      <c r="AA144" s="27"/>
      <c r="AB144" s="27"/>
      <c r="AC144" s="27"/>
    </row>
    <row r="145" spans="1:29">
      <c r="A145" s="358"/>
      <c r="B145" s="359"/>
      <c r="C145" s="360"/>
      <c r="D145" s="27"/>
      <c r="E145" s="27"/>
      <c r="F145" s="27"/>
      <c r="G145" s="27"/>
      <c r="H145" s="27"/>
      <c r="I145" s="27"/>
      <c r="J145" s="27"/>
      <c r="K145" s="27"/>
      <c r="L145" s="27"/>
      <c r="M145" s="27"/>
      <c r="N145" s="27"/>
      <c r="O145" s="27"/>
      <c r="P145" s="27"/>
      <c r="Q145" s="27"/>
      <c r="R145" s="27"/>
      <c r="S145" s="27"/>
      <c r="T145" s="27"/>
      <c r="U145" s="27"/>
      <c r="V145" s="27"/>
      <c r="W145" s="27"/>
      <c r="X145" s="27"/>
      <c r="Y145" s="27"/>
      <c r="Z145" s="27"/>
      <c r="AA145" s="27"/>
      <c r="AB145" s="27"/>
      <c r="AC145" s="27"/>
    </row>
    <row r="146" spans="1:29">
      <c r="A146" s="358"/>
      <c r="B146" s="359"/>
      <c r="C146" s="360"/>
      <c r="D146" s="27"/>
      <c r="E146" s="27"/>
      <c r="F146" s="27"/>
      <c r="G146" s="27"/>
      <c r="H146" s="27"/>
      <c r="I146" s="27"/>
      <c r="J146" s="27"/>
      <c r="K146" s="27"/>
      <c r="L146" s="27"/>
      <c r="M146" s="27"/>
      <c r="N146" s="27"/>
      <c r="O146" s="27"/>
      <c r="P146" s="27"/>
      <c r="Q146" s="27"/>
      <c r="R146" s="27"/>
      <c r="S146" s="27"/>
      <c r="T146" s="27"/>
      <c r="U146" s="27"/>
      <c r="V146" s="27"/>
      <c r="W146" s="27"/>
      <c r="X146" s="27"/>
      <c r="Y146" s="27"/>
      <c r="Z146" s="27"/>
      <c r="AA146" s="27"/>
      <c r="AB146" s="27"/>
      <c r="AC146" s="27"/>
    </row>
    <row r="147" spans="1:29">
      <c r="A147" s="358"/>
      <c r="B147" s="359"/>
      <c r="C147" s="360"/>
      <c r="D147" s="27"/>
      <c r="E147" s="27"/>
      <c r="F147" s="27"/>
      <c r="G147" s="27"/>
      <c r="H147" s="27"/>
      <c r="I147" s="27"/>
      <c r="J147" s="27"/>
      <c r="K147" s="27"/>
      <c r="L147" s="27"/>
      <c r="M147" s="27"/>
      <c r="N147" s="27"/>
      <c r="O147" s="27"/>
      <c r="P147" s="27"/>
      <c r="Q147" s="27"/>
      <c r="R147" s="27"/>
      <c r="S147" s="27"/>
      <c r="T147" s="27"/>
      <c r="U147" s="27"/>
      <c r="V147" s="27"/>
      <c r="W147" s="27"/>
      <c r="X147" s="27"/>
      <c r="Y147" s="27"/>
      <c r="Z147" s="27"/>
      <c r="AA147" s="27"/>
      <c r="AB147" s="27"/>
      <c r="AC147" s="27"/>
    </row>
    <row r="148" spans="1:29">
      <c r="A148" s="358"/>
      <c r="B148" s="359"/>
      <c r="C148" s="360"/>
      <c r="D148" s="27"/>
      <c r="E148" s="27"/>
      <c r="F148" s="27"/>
      <c r="G148" s="27"/>
      <c r="H148" s="27"/>
      <c r="I148" s="27"/>
      <c r="J148" s="27"/>
      <c r="K148" s="27"/>
      <c r="L148" s="27"/>
      <c r="M148" s="27"/>
      <c r="N148" s="27"/>
      <c r="O148" s="27"/>
      <c r="P148" s="27"/>
      <c r="Q148" s="27"/>
      <c r="R148" s="27"/>
      <c r="S148" s="27"/>
      <c r="T148" s="27"/>
      <c r="U148" s="27"/>
      <c r="V148" s="27"/>
      <c r="W148" s="27"/>
      <c r="X148" s="27"/>
      <c r="Y148" s="27"/>
      <c r="Z148" s="27"/>
      <c r="AA148" s="27"/>
      <c r="AB148" s="27"/>
      <c r="AC148" s="27"/>
    </row>
    <row r="149" spans="1:29">
      <c r="A149" s="358"/>
      <c r="B149" s="359"/>
      <c r="C149" s="360"/>
      <c r="D149" s="27"/>
      <c r="E149" s="27"/>
      <c r="F149" s="27"/>
      <c r="G149" s="27"/>
      <c r="H149" s="27"/>
      <c r="I149" s="27"/>
      <c r="J149" s="27"/>
      <c r="K149" s="27"/>
      <c r="L149" s="27"/>
      <c r="M149" s="27"/>
      <c r="N149" s="27"/>
      <c r="O149" s="27"/>
      <c r="P149" s="27"/>
      <c r="Q149" s="27"/>
      <c r="R149" s="27"/>
      <c r="S149" s="27"/>
      <c r="T149" s="27"/>
      <c r="U149" s="27"/>
      <c r="V149" s="27"/>
      <c r="W149" s="27"/>
      <c r="X149" s="27"/>
      <c r="Y149" s="27"/>
      <c r="Z149" s="27"/>
      <c r="AA149" s="27"/>
      <c r="AB149" s="27"/>
      <c r="AC149" s="27"/>
    </row>
    <row r="150" spans="1:29">
      <c r="A150" s="358"/>
      <c r="B150" s="359"/>
      <c r="C150" s="360"/>
      <c r="D150" s="27"/>
      <c r="E150" s="27"/>
      <c r="F150" s="27"/>
      <c r="G150" s="27"/>
      <c r="H150" s="27"/>
      <c r="I150" s="27"/>
      <c r="J150" s="27"/>
      <c r="K150" s="27"/>
      <c r="L150" s="27"/>
      <c r="M150" s="27"/>
      <c r="N150" s="27"/>
      <c r="O150" s="27"/>
      <c r="P150" s="27"/>
      <c r="Q150" s="27"/>
      <c r="R150" s="27"/>
      <c r="S150" s="27"/>
      <c r="T150" s="27"/>
      <c r="U150" s="27"/>
      <c r="V150" s="27"/>
      <c r="W150" s="27"/>
      <c r="X150" s="27"/>
      <c r="Y150" s="27"/>
      <c r="Z150" s="27"/>
      <c r="AA150" s="27"/>
      <c r="AB150" s="27"/>
      <c r="AC150" s="27"/>
    </row>
    <row r="151" spans="1:29">
      <c r="A151" s="358"/>
      <c r="B151" s="359"/>
      <c r="C151" s="360"/>
      <c r="D151" s="27"/>
      <c r="E151" s="27"/>
      <c r="F151" s="27"/>
      <c r="G151" s="27"/>
      <c r="H151" s="27"/>
      <c r="I151" s="27"/>
      <c r="J151" s="27"/>
      <c r="K151" s="27"/>
      <c r="L151" s="27"/>
      <c r="M151" s="27"/>
      <c r="N151" s="27"/>
      <c r="O151" s="27"/>
      <c r="P151" s="27"/>
      <c r="Q151" s="27"/>
      <c r="R151" s="27"/>
      <c r="S151" s="27"/>
      <c r="T151" s="27"/>
      <c r="U151" s="27"/>
      <c r="V151" s="27"/>
      <c r="W151" s="27"/>
      <c r="X151" s="27"/>
      <c r="Y151" s="27"/>
      <c r="Z151" s="27"/>
      <c r="AA151" s="27"/>
      <c r="AB151" s="27"/>
      <c r="AC151" s="27"/>
    </row>
    <row r="152" spans="1:29">
      <c r="A152" s="358"/>
      <c r="B152" s="359"/>
      <c r="C152" s="360"/>
      <c r="D152" s="27"/>
      <c r="E152" s="27"/>
      <c r="F152" s="27"/>
      <c r="G152" s="27"/>
      <c r="H152" s="27"/>
      <c r="I152" s="27"/>
      <c r="J152" s="27"/>
      <c r="K152" s="27"/>
      <c r="L152" s="27"/>
      <c r="M152" s="27"/>
      <c r="N152" s="27"/>
      <c r="O152" s="27"/>
      <c r="P152" s="27"/>
      <c r="Q152" s="27"/>
      <c r="R152" s="27"/>
      <c r="S152" s="27"/>
      <c r="T152" s="27"/>
      <c r="U152" s="27"/>
      <c r="V152" s="27"/>
      <c r="W152" s="27"/>
      <c r="X152" s="27"/>
      <c r="Y152" s="27"/>
      <c r="Z152" s="27"/>
      <c r="AA152" s="27"/>
      <c r="AB152" s="27"/>
      <c r="AC152" s="27"/>
    </row>
    <row r="153" spans="1:29">
      <c r="A153" s="358"/>
      <c r="B153" s="359"/>
      <c r="C153" s="360"/>
      <c r="D153" s="27"/>
      <c r="E153" s="27"/>
      <c r="F153" s="27"/>
      <c r="G153" s="27"/>
      <c r="H153" s="27"/>
      <c r="I153" s="27"/>
      <c r="J153" s="27"/>
      <c r="K153" s="27"/>
      <c r="L153" s="27"/>
      <c r="M153" s="27"/>
      <c r="N153" s="27"/>
      <c r="O153" s="27"/>
      <c r="P153" s="27"/>
      <c r="Q153" s="27"/>
      <c r="R153" s="27"/>
      <c r="S153" s="27"/>
      <c r="T153" s="27"/>
      <c r="U153" s="27"/>
      <c r="V153" s="27"/>
      <c r="W153" s="27"/>
      <c r="X153" s="27"/>
      <c r="Y153" s="27"/>
      <c r="Z153" s="27"/>
      <c r="AA153" s="27"/>
      <c r="AB153" s="27"/>
      <c r="AC153" s="27"/>
    </row>
    <row r="154" spans="1:29">
      <c r="A154" s="358"/>
      <c r="B154" s="359"/>
      <c r="C154" s="360"/>
      <c r="D154" s="27"/>
      <c r="E154" s="27"/>
      <c r="F154" s="27"/>
      <c r="G154" s="27"/>
      <c r="H154" s="27"/>
      <c r="I154" s="27"/>
      <c r="J154" s="27"/>
      <c r="K154" s="27"/>
      <c r="L154" s="27"/>
      <c r="M154" s="27"/>
      <c r="N154" s="27"/>
      <c r="O154" s="27"/>
      <c r="P154" s="27"/>
      <c r="Q154" s="27"/>
      <c r="R154" s="27"/>
      <c r="S154" s="27"/>
      <c r="T154" s="27"/>
      <c r="U154" s="27"/>
      <c r="V154" s="27"/>
      <c r="W154" s="27"/>
      <c r="X154" s="27"/>
      <c r="Y154" s="27"/>
      <c r="Z154" s="27"/>
      <c r="AA154" s="27"/>
      <c r="AB154" s="27"/>
      <c r="AC154" s="27"/>
    </row>
    <row r="155" spans="1:29">
      <c r="A155" s="358"/>
      <c r="B155" s="359"/>
      <c r="C155" s="360"/>
      <c r="D155" s="27"/>
      <c r="E155" s="27"/>
      <c r="F155" s="27"/>
      <c r="G155" s="27"/>
      <c r="H155" s="27"/>
      <c r="I155" s="27"/>
      <c r="J155" s="27"/>
      <c r="K155" s="27"/>
      <c r="L155" s="27"/>
      <c r="M155" s="27"/>
      <c r="N155" s="27"/>
      <c r="O155" s="27"/>
      <c r="P155" s="27"/>
      <c r="Q155" s="27"/>
      <c r="R155" s="27"/>
      <c r="S155" s="27"/>
      <c r="T155" s="27"/>
      <c r="U155" s="27"/>
      <c r="V155" s="27"/>
      <c r="W155" s="27"/>
      <c r="X155" s="27"/>
      <c r="Y155" s="27"/>
      <c r="Z155" s="27"/>
      <c r="AA155" s="27"/>
      <c r="AB155" s="27"/>
      <c r="AC155" s="27"/>
    </row>
    <row r="156" spans="1:29">
      <c r="A156" s="358"/>
      <c r="B156" s="359"/>
      <c r="C156" s="360"/>
      <c r="D156" s="27"/>
      <c r="E156" s="27"/>
      <c r="F156" s="27"/>
      <c r="G156" s="27"/>
      <c r="H156" s="27"/>
      <c r="I156" s="27"/>
      <c r="J156" s="27"/>
      <c r="K156" s="27"/>
      <c r="L156" s="27"/>
      <c r="M156" s="27"/>
      <c r="N156" s="27"/>
      <c r="O156" s="27"/>
      <c r="P156" s="27"/>
      <c r="Q156" s="27"/>
      <c r="R156" s="27"/>
      <c r="S156" s="27"/>
      <c r="T156" s="27"/>
      <c r="U156" s="27"/>
      <c r="V156" s="27"/>
      <c r="W156" s="27"/>
      <c r="X156" s="27"/>
      <c r="Y156" s="27"/>
      <c r="Z156" s="27"/>
      <c r="AA156" s="27"/>
      <c r="AB156" s="27"/>
      <c r="AC156" s="27"/>
    </row>
    <row r="157" spans="1:29">
      <c r="A157" s="358"/>
      <c r="B157" s="359"/>
      <c r="C157" s="360"/>
      <c r="D157" s="27"/>
      <c r="E157" s="27"/>
      <c r="F157" s="27"/>
      <c r="G157" s="27"/>
      <c r="H157" s="27"/>
      <c r="I157" s="27"/>
      <c r="J157" s="27"/>
      <c r="K157" s="27"/>
      <c r="L157" s="27"/>
      <c r="M157" s="27"/>
      <c r="N157" s="27"/>
      <c r="O157" s="27"/>
      <c r="P157" s="27"/>
      <c r="Q157" s="27"/>
      <c r="R157" s="27"/>
      <c r="S157" s="27"/>
      <c r="T157" s="27"/>
      <c r="U157" s="27"/>
      <c r="V157" s="27"/>
      <c r="W157" s="27"/>
      <c r="X157" s="27"/>
      <c r="Y157" s="27"/>
      <c r="Z157" s="27"/>
      <c r="AA157" s="27"/>
      <c r="AB157" s="27"/>
      <c r="AC157" s="27"/>
    </row>
    <row r="158" spans="1:29">
      <c r="A158" s="358"/>
      <c r="B158" s="359"/>
      <c r="C158" s="360"/>
      <c r="D158" s="27"/>
      <c r="E158" s="27"/>
      <c r="F158" s="27"/>
      <c r="G158" s="27"/>
      <c r="H158" s="27"/>
      <c r="I158" s="27"/>
      <c r="J158" s="27"/>
      <c r="K158" s="27"/>
      <c r="L158" s="27"/>
      <c r="M158" s="27"/>
      <c r="N158" s="27"/>
      <c r="O158" s="27"/>
      <c r="P158" s="27"/>
      <c r="Q158" s="27"/>
      <c r="R158" s="27"/>
      <c r="S158" s="27"/>
      <c r="T158" s="27"/>
      <c r="U158" s="27"/>
      <c r="V158" s="27"/>
      <c r="W158" s="27"/>
      <c r="X158" s="27"/>
      <c r="Y158" s="27"/>
      <c r="Z158" s="27"/>
      <c r="AA158" s="27"/>
      <c r="AB158" s="27"/>
      <c r="AC158" s="27"/>
    </row>
    <row r="159" spans="1:29">
      <c r="A159" s="358"/>
      <c r="B159" s="359"/>
      <c r="C159" s="360"/>
      <c r="D159" s="27"/>
      <c r="E159" s="27"/>
      <c r="F159" s="27"/>
      <c r="G159" s="27"/>
      <c r="H159" s="27"/>
      <c r="I159" s="27"/>
      <c r="J159" s="27"/>
      <c r="K159" s="27"/>
      <c r="L159" s="27"/>
      <c r="M159" s="27"/>
      <c r="N159" s="27"/>
      <c r="O159" s="27"/>
      <c r="P159" s="27"/>
      <c r="Q159" s="27"/>
      <c r="R159" s="27"/>
      <c r="S159" s="27"/>
      <c r="T159" s="27"/>
      <c r="U159" s="27"/>
      <c r="V159" s="27"/>
      <c r="W159" s="27"/>
      <c r="X159" s="27"/>
      <c r="Y159" s="27"/>
      <c r="Z159" s="27"/>
      <c r="AA159" s="27"/>
      <c r="AB159" s="27"/>
      <c r="AC159" s="27"/>
    </row>
    <row r="160" spans="1:29">
      <c r="A160" s="358"/>
      <c r="B160" s="359"/>
      <c r="C160" s="360"/>
      <c r="D160" s="27"/>
      <c r="E160" s="27"/>
      <c r="F160" s="27"/>
      <c r="G160" s="27"/>
      <c r="H160" s="27"/>
      <c r="I160" s="27"/>
      <c r="J160" s="27"/>
      <c r="K160" s="27"/>
      <c r="L160" s="27"/>
      <c r="M160" s="27"/>
      <c r="N160" s="27"/>
      <c r="O160" s="27"/>
      <c r="P160" s="27"/>
      <c r="Q160" s="27"/>
      <c r="R160" s="27"/>
      <c r="S160" s="27"/>
      <c r="T160" s="27"/>
      <c r="U160" s="27"/>
      <c r="V160" s="27"/>
      <c r="W160" s="27"/>
      <c r="X160" s="27"/>
      <c r="Y160" s="27"/>
      <c r="Z160" s="27"/>
      <c r="AA160" s="27"/>
      <c r="AB160" s="27"/>
      <c r="AC160" s="27"/>
    </row>
    <row r="161" spans="1:29">
      <c r="A161" s="358"/>
      <c r="B161" s="359"/>
      <c r="C161" s="360"/>
      <c r="D161" s="27"/>
      <c r="E161" s="27"/>
      <c r="F161" s="27"/>
      <c r="G161" s="27"/>
      <c r="H161" s="27"/>
      <c r="I161" s="27"/>
      <c r="J161" s="27"/>
      <c r="K161" s="27"/>
      <c r="L161" s="27"/>
      <c r="M161" s="27"/>
      <c r="N161" s="27"/>
      <c r="O161" s="27"/>
      <c r="P161" s="27"/>
      <c r="Q161" s="27"/>
      <c r="R161" s="27"/>
      <c r="S161" s="27"/>
      <c r="T161" s="27"/>
      <c r="U161" s="27"/>
      <c r="V161" s="27"/>
      <c r="W161" s="27"/>
      <c r="X161" s="27"/>
      <c r="Y161" s="27"/>
      <c r="Z161" s="27"/>
      <c r="AA161" s="27"/>
      <c r="AB161" s="27"/>
      <c r="AC161" s="27"/>
    </row>
    <row r="162" spans="1:29">
      <c r="A162" s="358"/>
      <c r="B162" s="359"/>
      <c r="C162" s="360"/>
      <c r="D162" s="27"/>
      <c r="E162" s="27"/>
      <c r="F162" s="27"/>
      <c r="G162" s="27"/>
      <c r="H162" s="27"/>
      <c r="I162" s="27"/>
      <c r="J162" s="27"/>
      <c r="K162" s="27"/>
      <c r="L162" s="27"/>
      <c r="M162" s="27"/>
      <c r="N162" s="27"/>
      <c r="O162" s="27"/>
      <c r="P162" s="27"/>
      <c r="Q162" s="27"/>
      <c r="R162" s="27"/>
      <c r="S162" s="27"/>
      <c r="T162" s="27"/>
      <c r="U162" s="27"/>
      <c r="V162" s="27"/>
      <c r="W162" s="27"/>
      <c r="X162" s="27"/>
      <c r="Y162" s="27"/>
      <c r="Z162" s="27"/>
      <c r="AA162" s="27"/>
      <c r="AB162" s="27"/>
      <c r="AC162" s="27"/>
    </row>
    <row r="163" spans="1:29">
      <c r="A163" s="358"/>
      <c r="B163" s="359"/>
      <c r="C163" s="360"/>
      <c r="D163" s="27"/>
      <c r="E163" s="27"/>
      <c r="F163" s="27"/>
      <c r="G163" s="27"/>
      <c r="H163" s="27"/>
      <c r="I163" s="27"/>
      <c r="J163" s="27"/>
      <c r="K163" s="27"/>
      <c r="L163" s="27"/>
      <c r="M163" s="27"/>
      <c r="N163" s="27"/>
      <c r="O163" s="27"/>
      <c r="P163" s="27"/>
      <c r="Q163" s="27"/>
      <c r="R163" s="27"/>
      <c r="S163" s="27"/>
      <c r="T163" s="27"/>
      <c r="U163" s="27"/>
      <c r="V163" s="27"/>
      <c r="W163" s="27"/>
      <c r="X163" s="27"/>
      <c r="Y163" s="27"/>
      <c r="Z163" s="27"/>
      <c r="AA163" s="27"/>
      <c r="AB163" s="27"/>
      <c r="AC163" s="27"/>
    </row>
    <row r="164" spans="1:29">
      <c r="A164" s="358"/>
      <c r="B164" s="359"/>
      <c r="C164" s="360"/>
      <c r="D164" s="27"/>
      <c r="E164" s="27"/>
      <c r="F164" s="27"/>
      <c r="G164" s="27"/>
      <c r="H164" s="27"/>
      <c r="I164" s="27"/>
      <c r="J164" s="27"/>
      <c r="K164" s="27"/>
      <c r="L164" s="27"/>
      <c r="M164" s="27"/>
      <c r="N164" s="27"/>
      <c r="O164" s="27"/>
      <c r="P164" s="27"/>
      <c r="Q164" s="27"/>
      <c r="R164" s="27"/>
      <c r="S164" s="27"/>
      <c r="T164" s="27"/>
      <c r="U164" s="27"/>
      <c r="V164" s="27"/>
      <c r="W164" s="27"/>
      <c r="X164" s="27"/>
      <c r="Y164" s="27"/>
      <c r="Z164" s="27"/>
      <c r="AA164" s="27"/>
      <c r="AB164" s="27"/>
      <c r="AC164" s="27"/>
    </row>
    <row r="165" spans="1:29">
      <c r="A165" s="358"/>
      <c r="B165" s="359"/>
      <c r="C165" s="360"/>
      <c r="D165" s="27"/>
      <c r="E165" s="27"/>
      <c r="F165" s="27"/>
      <c r="G165" s="27"/>
      <c r="H165" s="27"/>
      <c r="I165" s="27"/>
      <c r="J165" s="27"/>
      <c r="K165" s="27"/>
      <c r="L165" s="27"/>
      <c r="M165" s="27"/>
      <c r="N165" s="27"/>
      <c r="O165" s="27"/>
      <c r="P165" s="27"/>
      <c r="Q165" s="27"/>
      <c r="R165" s="27"/>
      <c r="S165" s="27"/>
      <c r="T165" s="27"/>
      <c r="U165" s="27"/>
      <c r="V165" s="27"/>
      <c r="W165" s="27"/>
      <c r="X165" s="27"/>
      <c r="Y165" s="27"/>
      <c r="Z165" s="27"/>
      <c r="AA165" s="27"/>
      <c r="AB165" s="27"/>
      <c r="AC165" s="27"/>
    </row>
    <row r="166" spans="1:29">
      <c r="A166" s="358"/>
      <c r="B166" s="359"/>
      <c r="C166" s="360"/>
      <c r="D166" s="27"/>
      <c r="E166" s="27"/>
      <c r="F166" s="27"/>
      <c r="G166" s="27"/>
      <c r="H166" s="27"/>
      <c r="I166" s="27"/>
      <c r="J166" s="27"/>
      <c r="K166" s="27"/>
      <c r="L166" s="27"/>
      <c r="M166" s="27"/>
      <c r="N166" s="27"/>
      <c r="O166" s="27"/>
      <c r="P166" s="27"/>
      <c r="Q166" s="27"/>
      <c r="R166" s="27"/>
      <c r="S166" s="27"/>
      <c r="T166" s="27"/>
      <c r="U166" s="27"/>
      <c r="V166" s="27"/>
      <c r="W166" s="27"/>
      <c r="X166" s="27"/>
      <c r="Y166" s="27"/>
      <c r="Z166" s="27"/>
      <c r="AA166" s="27"/>
      <c r="AB166" s="27"/>
      <c r="AC166" s="27"/>
    </row>
    <row r="167" spans="1:29">
      <c r="A167" s="358"/>
      <c r="B167" s="359"/>
      <c r="C167" s="360"/>
      <c r="D167" s="27"/>
      <c r="E167" s="27"/>
      <c r="F167" s="27"/>
      <c r="G167" s="27"/>
      <c r="H167" s="27"/>
      <c r="I167" s="27"/>
      <c r="J167" s="27"/>
      <c r="K167" s="27"/>
      <c r="L167" s="27"/>
      <c r="M167" s="27"/>
      <c r="N167" s="27"/>
      <c r="O167" s="27"/>
      <c r="P167" s="27"/>
      <c r="Q167" s="27"/>
      <c r="R167" s="27"/>
      <c r="S167" s="27"/>
      <c r="T167" s="27"/>
      <c r="U167" s="27"/>
      <c r="V167" s="27"/>
      <c r="W167" s="27"/>
      <c r="X167" s="27"/>
      <c r="Y167" s="27"/>
      <c r="Z167" s="27"/>
      <c r="AA167" s="27"/>
      <c r="AB167" s="27"/>
      <c r="AC167" s="27"/>
    </row>
    <row r="168" spans="1:29">
      <c r="A168" s="358"/>
      <c r="B168" s="359"/>
      <c r="C168" s="360"/>
      <c r="D168" s="27"/>
      <c r="E168" s="27"/>
      <c r="F168" s="27"/>
      <c r="G168" s="27"/>
      <c r="H168" s="27"/>
      <c r="I168" s="27"/>
      <c r="J168" s="27"/>
      <c r="K168" s="27"/>
      <c r="L168" s="27"/>
      <c r="M168" s="27"/>
      <c r="N168" s="27"/>
      <c r="O168" s="27"/>
      <c r="P168" s="27"/>
      <c r="Q168" s="27"/>
      <c r="R168" s="27"/>
      <c r="S168" s="27"/>
      <c r="T168" s="27"/>
      <c r="U168" s="27"/>
      <c r="V168" s="27"/>
      <c r="W168" s="27"/>
      <c r="X168" s="27"/>
      <c r="Y168" s="27"/>
      <c r="Z168" s="27"/>
      <c r="AA168" s="27"/>
      <c r="AB168" s="27"/>
      <c r="AC168" s="27"/>
    </row>
    <row r="169" spans="1:29">
      <c r="A169" s="358"/>
      <c r="B169" s="359"/>
      <c r="C169" s="360"/>
      <c r="D169" s="27"/>
      <c r="E169" s="27"/>
      <c r="F169" s="27"/>
      <c r="G169" s="27"/>
      <c r="H169" s="27"/>
      <c r="I169" s="27"/>
      <c r="J169" s="27"/>
      <c r="K169" s="27"/>
      <c r="L169" s="27"/>
      <c r="M169" s="27"/>
      <c r="N169" s="27"/>
      <c r="O169" s="27"/>
      <c r="P169" s="27"/>
      <c r="Q169" s="27"/>
      <c r="R169" s="27"/>
      <c r="S169" s="27"/>
      <c r="T169" s="27"/>
      <c r="U169" s="27"/>
      <c r="V169" s="27"/>
      <c r="W169" s="27"/>
      <c r="X169" s="27"/>
      <c r="Y169" s="27"/>
      <c r="Z169" s="27"/>
      <c r="AA169" s="27"/>
      <c r="AB169" s="27"/>
      <c r="AC169" s="27"/>
    </row>
    <row r="170" spans="1:29">
      <c r="A170" s="358"/>
      <c r="B170" s="359"/>
      <c r="C170" s="360"/>
      <c r="D170" s="27"/>
      <c r="E170" s="27"/>
      <c r="F170" s="27"/>
      <c r="G170" s="27"/>
      <c r="H170" s="27"/>
      <c r="I170" s="27"/>
      <c r="J170" s="27"/>
      <c r="K170" s="27"/>
      <c r="L170" s="27"/>
      <c r="M170" s="27"/>
      <c r="N170" s="27"/>
      <c r="O170" s="27"/>
      <c r="P170" s="27"/>
      <c r="Q170" s="27"/>
      <c r="R170" s="27"/>
      <c r="S170" s="27"/>
      <c r="T170" s="27"/>
      <c r="U170" s="27"/>
      <c r="V170" s="27"/>
      <c r="W170" s="27"/>
      <c r="X170" s="27"/>
      <c r="Y170" s="27"/>
      <c r="Z170" s="27"/>
      <c r="AA170" s="27"/>
      <c r="AB170" s="27"/>
      <c r="AC170" s="27"/>
    </row>
    <row r="171" spans="1:29">
      <c r="A171" s="358"/>
      <c r="B171" s="359"/>
      <c r="C171" s="360"/>
      <c r="D171" s="27"/>
      <c r="E171" s="27"/>
      <c r="F171" s="27"/>
      <c r="G171" s="27"/>
      <c r="H171" s="27"/>
      <c r="I171" s="27"/>
      <c r="J171" s="27"/>
      <c r="K171" s="27"/>
      <c r="L171" s="27"/>
      <c r="M171" s="27"/>
      <c r="N171" s="27"/>
      <c r="O171" s="27"/>
      <c r="P171" s="27"/>
      <c r="Q171" s="27"/>
      <c r="R171" s="27"/>
      <c r="S171" s="27"/>
      <c r="T171" s="27"/>
      <c r="U171" s="27"/>
      <c r="V171" s="27"/>
      <c r="W171" s="27"/>
      <c r="X171" s="27"/>
      <c r="Y171" s="27"/>
      <c r="Z171" s="27"/>
      <c r="AA171" s="27"/>
      <c r="AB171" s="27"/>
      <c r="AC171" s="27"/>
    </row>
    <row r="172" spans="1:29">
      <c r="A172" s="358"/>
      <c r="B172" s="359"/>
      <c r="C172" s="360"/>
      <c r="D172" s="27"/>
      <c r="E172" s="27"/>
      <c r="F172" s="27"/>
      <c r="G172" s="27"/>
      <c r="H172" s="27"/>
      <c r="I172" s="27"/>
      <c r="J172" s="27"/>
      <c r="K172" s="27"/>
      <c r="L172" s="27"/>
      <c r="M172" s="27"/>
      <c r="N172" s="27"/>
      <c r="O172" s="27"/>
      <c r="P172" s="27"/>
      <c r="Q172" s="27"/>
      <c r="R172" s="27"/>
      <c r="S172" s="27"/>
      <c r="T172" s="27"/>
      <c r="U172" s="27"/>
      <c r="V172" s="27"/>
      <c r="W172" s="27"/>
      <c r="X172" s="27"/>
      <c r="Y172" s="27"/>
      <c r="Z172" s="27"/>
      <c r="AA172" s="27"/>
      <c r="AB172" s="27"/>
      <c r="AC172" s="27"/>
    </row>
    <row r="173" spans="1:29">
      <c r="A173" s="358"/>
      <c r="B173" s="359"/>
      <c r="C173" s="360"/>
      <c r="D173" s="27"/>
      <c r="E173" s="27"/>
      <c r="F173" s="27"/>
      <c r="G173" s="27"/>
      <c r="H173" s="27"/>
      <c r="I173" s="27"/>
      <c r="J173" s="27"/>
      <c r="K173" s="27"/>
      <c r="L173" s="27"/>
      <c r="M173" s="27"/>
      <c r="N173" s="27"/>
      <c r="O173" s="27"/>
      <c r="P173" s="27"/>
      <c r="Q173" s="27"/>
      <c r="R173" s="27"/>
      <c r="S173" s="27"/>
      <c r="T173" s="27"/>
      <c r="U173" s="27"/>
      <c r="V173" s="27"/>
      <c r="W173" s="27"/>
      <c r="X173" s="27"/>
      <c r="Y173" s="27"/>
      <c r="Z173" s="27"/>
      <c r="AA173" s="27"/>
      <c r="AB173" s="27"/>
      <c r="AC173" s="27"/>
    </row>
    <row r="174" spans="1:29">
      <c r="A174" s="358"/>
      <c r="B174" s="359"/>
      <c r="C174" s="360"/>
      <c r="D174" s="27"/>
      <c r="E174" s="27"/>
      <c r="F174" s="27"/>
      <c r="G174" s="27"/>
      <c r="H174" s="27"/>
      <c r="I174" s="27"/>
      <c r="J174" s="27"/>
      <c r="K174" s="27"/>
      <c r="L174" s="27"/>
      <c r="M174" s="27"/>
      <c r="N174" s="27"/>
      <c r="O174" s="27"/>
      <c r="P174" s="27"/>
      <c r="Q174" s="27"/>
      <c r="R174" s="27"/>
      <c r="S174" s="27"/>
      <c r="T174" s="27"/>
      <c r="U174" s="27"/>
      <c r="V174" s="27"/>
      <c r="W174" s="27"/>
      <c r="X174" s="27"/>
      <c r="Y174" s="27"/>
      <c r="Z174" s="27"/>
      <c r="AA174" s="27"/>
      <c r="AB174" s="27"/>
      <c r="AC174" s="27"/>
    </row>
    <row r="175" spans="1:29">
      <c r="A175" s="358"/>
      <c r="B175" s="359"/>
      <c r="C175" s="360"/>
      <c r="D175" s="27"/>
      <c r="E175" s="27"/>
      <c r="F175" s="27"/>
      <c r="G175" s="27"/>
      <c r="H175" s="27"/>
      <c r="I175" s="27"/>
      <c r="J175" s="27"/>
      <c r="K175" s="27"/>
      <c r="L175" s="27"/>
      <c r="M175" s="27"/>
      <c r="N175" s="27"/>
      <c r="O175" s="27"/>
      <c r="P175" s="27"/>
      <c r="Q175" s="27"/>
      <c r="R175" s="27"/>
      <c r="S175" s="27"/>
      <c r="T175" s="27"/>
      <c r="U175" s="27"/>
      <c r="V175" s="27"/>
      <c r="W175" s="27"/>
      <c r="X175" s="27"/>
      <c r="Y175" s="27"/>
      <c r="Z175" s="27"/>
      <c r="AA175" s="27"/>
      <c r="AB175" s="27"/>
      <c r="AC175" s="27"/>
    </row>
    <row r="176" spans="1:29">
      <c r="A176" s="358"/>
      <c r="B176" s="359"/>
      <c r="C176" s="360"/>
      <c r="D176" s="27"/>
      <c r="E176" s="27"/>
      <c r="F176" s="27"/>
      <c r="G176" s="27"/>
      <c r="H176" s="27"/>
      <c r="I176" s="27"/>
      <c r="J176" s="27"/>
      <c r="K176" s="27"/>
      <c r="L176" s="27"/>
      <c r="M176" s="27"/>
      <c r="N176" s="27"/>
      <c r="O176" s="27"/>
      <c r="P176" s="27"/>
      <c r="Q176" s="27"/>
      <c r="R176" s="27"/>
      <c r="S176" s="27"/>
      <c r="T176" s="27"/>
      <c r="U176" s="27"/>
      <c r="V176" s="27"/>
      <c r="W176" s="27"/>
      <c r="X176" s="27"/>
      <c r="Y176" s="27"/>
      <c r="Z176" s="27"/>
      <c r="AA176" s="27"/>
      <c r="AB176" s="27"/>
      <c r="AC176" s="27"/>
    </row>
    <row r="177" spans="1:29">
      <c r="A177" s="358"/>
      <c r="B177" s="359"/>
      <c r="C177" s="360"/>
      <c r="D177" s="27"/>
      <c r="E177" s="27"/>
      <c r="F177" s="27"/>
      <c r="G177" s="27"/>
      <c r="H177" s="27"/>
      <c r="I177" s="27"/>
      <c r="J177" s="27"/>
      <c r="K177" s="27"/>
      <c r="L177" s="27"/>
      <c r="M177" s="27"/>
      <c r="N177" s="27"/>
      <c r="O177" s="27"/>
      <c r="P177" s="27"/>
      <c r="Q177" s="27"/>
      <c r="R177" s="27"/>
      <c r="S177" s="27"/>
      <c r="T177" s="27"/>
      <c r="U177" s="27"/>
      <c r="V177" s="27"/>
      <c r="W177" s="27"/>
      <c r="X177" s="27"/>
      <c r="Y177" s="27"/>
      <c r="Z177" s="27"/>
      <c r="AA177" s="27"/>
      <c r="AB177" s="27"/>
      <c r="AC177" s="27"/>
    </row>
    <row r="178" spans="1:29">
      <c r="A178" s="358"/>
      <c r="B178" s="359"/>
      <c r="C178" s="360"/>
      <c r="D178" s="27"/>
      <c r="E178" s="27"/>
      <c r="F178" s="27"/>
      <c r="G178" s="27"/>
      <c r="H178" s="27"/>
      <c r="I178" s="27"/>
      <c r="J178" s="27"/>
      <c r="K178" s="27"/>
      <c r="L178" s="27"/>
      <c r="M178" s="27"/>
      <c r="N178" s="27"/>
      <c r="O178" s="27"/>
      <c r="P178" s="27"/>
      <c r="Q178" s="27"/>
      <c r="R178" s="27"/>
      <c r="S178" s="27"/>
      <c r="T178" s="27"/>
      <c r="U178" s="27"/>
      <c r="V178" s="27"/>
      <c r="W178" s="27"/>
      <c r="X178" s="27"/>
      <c r="Y178" s="27"/>
      <c r="Z178" s="27"/>
      <c r="AA178" s="27"/>
      <c r="AB178" s="27"/>
      <c r="AC178" s="27"/>
    </row>
    <row r="179" spans="1:29">
      <c r="A179" s="358"/>
      <c r="B179" s="359"/>
      <c r="C179" s="360"/>
      <c r="D179" s="27"/>
      <c r="E179" s="27"/>
      <c r="F179" s="27"/>
      <c r="G179" s="27"/>
      <c r="H179" s="27"/>
      <c r="I179" s="27"/>
      <c r="J179" s="27"/>
      <c r="K179" s="27"/>
      <c r="L179" s="27"/>
      <c r="M179" s="27"/>
      <c r="N179" s="27"/>
      <c r="O179" s="27"/>
      <c r="P179" s="27"/>
      <c r="Q179" s="27"/>
      <c r="R179" s="27"/>
      <c r="S179" s="27"/>
      <c r="T179" s="27"/>
      <c r="U179" s="27"/>
      <c r="V179" s="27"/>
      <c r="W179" s="27"/>
      <c r="X179" s="27"/>
      <c r="Y179" s="27"/>
      <c r="Z179" s="27"/>
      <c r="AA179" s="27"/>
      <c r="AB179" s="27"/>
      <c r="AC179" s="27"/>
    </row>
    <row r="180" spans="1:29">
      <c r="A180" s="358"/>
      <c r="B180" s="359"/>
      <c r="C180" s="360"/>
      <c r="D180" s="27"/>
      <c r="E180" s="27"/>
      <c r="F180" s="27"/>
      <c r="G180" s="27"/>
      <c r="H180" s="27"/>
      <c r="I180" s="27"/>
      <c r="J180" s="27"/>
      <c r="K180" s="27"/>
      <c r="L180" s="27"/>
      <c r="M180" s="27"/>
      <c r="N180" s="27"/>
      <c r="O180" s="27"/>
      <c r="P180" s="27"/>
      <c r="Q180" s="27"/>
      <c r="R180" s="27"/>
      <c r="S180" s="27"/>
      <c r="T180" s="27"/>
      <c r="U180" s="27"/>
      <c r="V180" s="27"/>
      <c r="W180" s="27"/>
      <c r="X180" s="27"/>
      <c r="Y180" s="27"/>
      <c r="Z180" s="27"/>
      <c r="AA180" s="27"/>
      <c r="AB180" s="27"/>
      <c r="AC180" s="27"/>
    </row>
    <row r="181" spans="1:29">
      <c r="A181" s="358"/>
      <c r="B181" s="359"/>
      <c r="C181" s="360"/>
      <c r="D181" s="27"/>
      <c r="E181" s="27"/>
      <c r="F181" s="27"/>
      <c r="G181" s="27"/>
      <c r="H181" s="27"/>
      <c r="I181" s="27"/>
      <c r="J181" s="27"/>
      <c r="K181" s="27"/>
      <c r="L181" s="27"/>
      <c r="M181" s="27"/>
      <c r="N181" s="27"/>
      <c r="O181" s="27"/>
      <c r="P181" s="27"/>
      <c r="Q181" s="27"/>
      <c r="R181" s="27"/>
      <c r="S181" s="27"/>
      <c r="T181" s="27"/>
      <c r="U181" s="27"/>
      <c r="V181" s="27"/>
      <c r="W181" s="27"/>
      <c r="X181" s="27"/>
      <c r="Y181" s="27"/>
      <c r="Z181" s="27"/>
      <c r="AA181" s="27"/>
      <c r="AB181" s="27"/>
      <c r="AC181" s="27"/>
    </row>
    <row r="182" spans="1:29">
      <c r="A182" s="358"/>
      <c r="B182" s="359"/>
      <c r="C182" s="360"/>
      <c r="D182" s="27"/>
      <c r="E182" s="27"/>
      <c r="F182" s="27"/>
      <c r="G182" s="27"/>
      <c r="H182" s="27"/>
      <c r="I182" s="27"/>
      <c r="J182" s="27"/>
      <c r="K182" s="27"/>
      <c r="L182" s="27"/>
      <c r="M182" s="27"/>
      <c r="N182" s="27"/>
      <c r="O182" s="27"/>
      <c r="P182" s="27"/>
      <c r="Q182" s="27"/>
      <c r="R182" s="27"/>
      <c r="S182" s="27"/>
      <c r="T182" s="27"/>
      <c r="U182" s="27"/>
      <c r="V182" s="27"/>
      <c r="W182" s="27"/>
      <c r="X182" s="27"/>
      <c r="Y182" s="27"/>
      <c r="Z182" s="27"/>
      <c r="AA182" s="27"/>
      <c r="AB182" s="27"/>
      <c r="AC182" s="27"/>
    </row>
    <row r="183" spans="1:29">
      <c r="A183" s="358"/>
      <c r="B183" s="359"/>
      <c r="C183" s="360"/>
      <c r="D183" s="27"/>
      <c r="E183" s="27"/>
      <c r="F183" s="27"/>
      <c r="G183" s="27"/>
      <c r="H183" s="27"/>
      <c r="I183" s="27"/>
      <c r="J183" s="27"/>
      <c r="K183" s="27"/>
      <c r="L183" s="27"/>
      <c r="M183" s="27"/>
      <c r="N183" s="27"/>
      <c r="O183" s="27"/>
      <c r="P183" s="27"/>
      <c r="Q183" s="27"/>
      <c r="R183" s="27"/>
      <c r="S183" s="27"/>
      <c r="T183" s="27"/>
      <c r="U183" s="27"/>
      <c r="V183" s="27"/>
      <c r="W183" s="27"/>
      <c r="X183" s="27"/>
      <c r="Y183" s="27"/>
      <c r="Z183" s="27"/>
      <c r="AA183" s="27"/>
      <c r="AB183" s="27"/>
      <c r="AC183" s="27"/>
    </row>
    <row r="184" spans="1:29">
      <c r="A184" s="358"/>
      <c r="B184" s="359"/>
      <c r="C184" s="360"/>
      <c r="D184" s="27"/>
      <c r="E184" s="27"/>
      <c r="F184" s="27"/>
      <c r="G184" s="27"/>
      <c r="H184" s="27"/>
      <c r="I184" s="27"/>
      <c r="J184" s="27"/>
      <c r="K184" s="27"/>
      <c r="L184" s="27"/>
      <c r="M184" s="27"/>
      <c r="N184" s="27"/>
      <c r="O184" s="27"/>
      <c r="P184" s="27"/>
      <c r="Q184" s="27"/>
      <c r="R184" s="27"/>
      <c r="S184" s="27"/>
      <c r="T184" s="27"/>
      <c r="U184" s="27"/>
      <c r="V184" s="27"/>
      <c r="W184" s="27"/>
      <c r="X184" s="27"/>
      <c r="Y184" s="27"/>
      <c r="Z184" s="27"/>
      <c r="AA184" s="27"/>
      <c r="AB184" s="27"/>
      <c r="AC184" s="27"/>
    </row>
    <row r="185" spans="1:29">
      <c r="A185" s="358"/>
      <c r="B185" s="359"/>
      <c r="C185" s="360"/>
      <c r="D185" s="27"/>
      <c r="E185" s="27"/>
      <c r="F185" s="27"/>
      <c r="G185" s="27"/>
      <c r="H185" s="27"/>
      <c r="I185" s="27"/>
      <c r="J185" s="27"/>
      <c r="K185" s="27"/>
      <c r="L185" s="27"/>
      <c r="M185" s="27"/>
      <c r="N185" s="27"/>
      <c r="O185" s="27"/>
      <c r="P185" s="27"/>
      <c r="Q185" s="27"/>
      <c r="R185" s="27"/>
      <c r="S185" s="27"/>
      <c r="T185" s="27"/>
      <c r="U185" s="27"/>
      <c r="V185" s="27"/>
      <c r="W185" s="27"/>
      <c r="X185" s="27"/>
      <c r="Y185" s="27"/>
      <c r="Z185" s="27"/>
      <c r="AA185" s="27"/>
      <c r="AB185" s="27"/>
      <c r="AC185" s="27"/>
    </row>
    <row r="186" spans="1:29">
      <c r="A186" s="358"/>
      <c r="B186" s="359"/>
      <c r="C186" s="360"/>
      <c r="D186" s="27"/>
      <c r="E186" s="27"/>
      <c r="F186" s="27"/>
      <c r="G186" s="27"/>
      <c r="H186" s="27"/>
      <c r="I186" s="27"/>
      <c r="J186" s="27"/>
      <c r="K186" s="27"/>
      <c r="L186" s="27"/>
      <c r="M186" s="27"/>
      <c r="N186" s="27"/>
      <c r="O186" s="27"/>
      <c r="P186" s="27"/>
      <c r="Q186" s="27"/>
      <c r="R186" s="27"/>
      <c r="S186" s="27"/>
      <c r="T186" s="27"/>
      <c r="U186" s="27"/>
      <c r="V186" s="27"/>
      <c r="W186" s="27"/>
      <c r="X186" s="27"/>
      <c r="Y186" s="27"/>
      <c r="Z186" s="27"/>
      <c r="AA186" s="27"/>
      <c r="AB186" s="27"/>
      <c r="AC186" s="27"/>
    </row>
    <row r="187" spans="1:29">
      <c r="A187" s="358"/>
      <c r="B187" s="359"/>
      <c r="C187" s="360"/>
      <c r="D187" s="27"/>
      <c r="E187" s="27"/>
      <c r="F187" s="27"/>
      <c r="G187" s="27"/>
      <c r="H187" s="27"/>
      <c r="I187" s="27"/>
      <c r="J187" s="27"/>
      <c r="K187" s="27"/>
      <c r="L187" s="27"/>
      <c r="M187" s="27"/>
      <c r="N187" s="27"/>
      <c r="O187" s="27"/>
      <c r="P187" s="27"/>
      <c r="Q187" s="27"/>
      <c r="R187" s="27"/>
      <c r="S187" s="27"/>
      <c r="T187" s="27"/>
      <c r="U187" s="27"/>
      <c r="V187" s="27"/>
      <c r="W187" s="27"/>
      <c r="X187" s="27"/>
      <c r="Y187" s="27"/>
      <c r="Z187" s="27"/>
      <c r="AA187" s="27"/>
      <c r="AB187" s="27"/>
      <c r="AC187" s="27"/>
    </row>
    <row r="188" spans="1:29">
      <c r="A188" s="358"/>
      <c r="B188" s="359"/>
      <c r="C188" s="360"/>
      <c r="D188" s="27"/>
      <c r="E188" s="27"/>
      <c r="F188" s="27"/>
      <c r="G188" s="27"/>
      <c r="H188" s="27"/>
      <c r="I188" s="27"/>
      <c r="J188" s="27"/>
      <c r="K188" s="27"/>
      <c r="L188" s="27"/>
      <c r="M188" s="27"/>
      <c r="N188" s="27"/>
      <c r="O188" s="27"/>
      <c r="P188" s="27"/>
      <c r="Q188" s="27"/>
      <c r="R188" s="27"/>
      <c r="S188" s="27"/>
      <c r="T188" s="27"/>
      <c r="U188" s="27"/>
      <c r="V188" s="27"/>
      <c r="W188" s="27"/>
      <c r="X188" s="27"/>
      <c r="Y188" s="27"/>
      <c r="Z188" s="27"/>
      <c r="AA188" s="27"/>
      <c r="AB188" s="27"/>
      <c r="AC188" s="27"/>
    </row>
    <row r="189" spans="1:29">
      <c r="A189" s="358"/>
      <c r="B189" s="359"/>
      <c r="C189" s="360"/>
      <c r="D189" s="27"/>
      <c r="E189" s="27"/>
      <c r="F189" s="27"/>
      <c r="G189" s="27"/>
      <c r="H189" s="27"/>
      <c r="I189" s="27"/>
      <c r="J189" s="27"/>
      <c r="K189" s="27"/>
      <c r="L189" s="27"/>
      <c r="M189" s="27"/>
      <c r="N189" s="27"/>
      <c r="O189" s="27"/>
      <c r="P189" s="27"/>
      <c r="Q189" s="27"/>
      <c r="R189" s="27"/>
      <c r="S189" s="27"/>
      <c r="T189" s="27"/>
      <c r="U189" s="27"/>
      <c r="V189" s="27"/>
      <c r="W189" s="27"/>
      <c r="X189" s="27"/>
      <c r="Y189" s="27"/>
      <c r="Z189" s="27"/>
      <c r="AA189" s="27"/>
      <c r="AB189" s="27"/>
      <c r="AC189" s="27"/>
    </row>
    <row r="190" spans="1:29">
      <c r="A190" s="358"/>
      <c r="B190" s="359"/>
      <c r="C190" s="360"/>
      <c r="D190" s="27"/>
      <c r="E190" s="27"/>
      <c r="F190" s="27"/>
      <c r="G190" s="27"/>
      <c r="H190" s="27"/>
      <c r="I190" s="27"/>
      <c r="J190" s="27"/>
      <c r="K190" s="27"/>
      <c r="L190" s="27"/>
      <c r="M190" s="27"/>
      <c r="N190" s="27"/>
      <c r="O190" s="27"/>
      <c r="P190" s="27"/>
      <c r="Q190" s="27"/>
      <c r="R190" s="27"/>
      <c r="S190" s="27"/>
      <c r="T190" s="27"/>
      <c r="U190" s="27"/>
      <c r="V190" s="27"/>
      <c r="W190" s="27"/>
      <c r="X190" s="27"/>
      <c r="Y190" s="27"/>
      <c r="Z190" s="27"/>
      <c r="AA190" s="27"/>
      <c r="AB190" s="27"/>
      <c r="AC190" s="27"/>
    </row>
    <row r="191" spans="1:29">
      <c r="A191" s="358"/>
      <c r="B191" s="359"/>
      <c r="C191" s="360"/>
      <c r="D191" s="27"/>
      <c r="E191" s="27"/>
      <c r="F191" s="27"/>
      <c r="G191" s="27"/>
      <c r="H191" s="27"/>
      <c r="I191" s="27"/>
      <c r="J191" s="27"/>
      <c r="K191" s="27"/>
      <c r="L191" s="27"/>
      <c r="M191" s="27"/>
      <c r="N191" s="27"/>
      <c r="O191" s="27"/>
      <c r="P191" s="27"/>
      <c r="Q191" s="27"/>
      <c r="R191" s="27"/>
      <c r="S191" s="27"/>
      <c r="T191" s="27"/>
      <c r="U191" s="27"/>
      <c r="V191" s="27"/>
      <c r="W191" s="27"/>
      <c r="X191" s="27"/>
      <c r="Y191" s="27"/>
      <c r="Z191" s="27"/>
      <c r="AA191" s="27"/>
      <c r="AB191" s="27"/>
      <c r="AC191" s="27"/>
    </row>
    <row r="192" spans="1:29">
      <c r="A192" s="358"/>
      <c r="B192" s="359"/>
      <c r="C192" s="360"/>
      <c r="D192" s="27"/>
      <c r="E192" s="27"/>
      <c r="F192" s="27"/>
      <c r="G192" s="27"/>
      <c r="H192" s="27"/>
      <c r="I192" s="27"/>
      <c r="J192" s="27"/>
      <c r="K192" s="27"/>
      <c r="L192" s="27"/>
      <c r="M192" s="27"/>
      <c r="N192" s="27"/>
      <c r="O192" s="27"/>
      <c r="P192" s="27"/>
      <c r="Q192" s="27"/>
      <c r="R192" s="27"/>
      <c r="S192" s="27"/>
      <c r="T192" s="27"/>
      <c r="U192" s="27"/>
      <c r="V192" s="27"/>
      <c r="W192" s="27"/>
      <c r="X192" s="27"/>
      <c r="Y192" s="27"/>
      <c r="Z192" s="27"/>
      <c r="AA192" s="27"/>
      <c r="AB192" s="27"/>
      <c r="AC192" s="27"/>
    </row>
    <row r="193" spans="1:29">
      <c r="A193" s="358"/>
      <c r="B193" s="359"/>
      <c r="C193" s="360"/>
      <c r="D193" s="27"/>
      <c r="E193" s="27"/>
      <c r="F193" s="27"/>
      <c r="G193" s="27"/>
      <c r="H193" s="27"/>
      <c r="I193" s="27"/>
      <c r="J193" s="27"/>
      <c r="K193" s="27"/>
      <c r="L193" s="27"/>
      <c r="M193" s="27"/>
      <c r="N193" s="27"/>
      <c r="O193" s="27"/>
      <c r="P193" s="27"/>
      <c r="Q193" s="27"/>
      <c r="R193" s="27"/>
      <c r="S193" s="27"/>
      <c r="T193" s="27"/>
      <c r="U193" s="27"/>
      <c r="V193" s="27"/>
      <c r="W193" s="27"/>
      <c r="X193" s="27"/>
      <c r="Y193" s="27"/>
      <c r="Z193" s="27"/>
      <c r="AA193" s="27"/>
      <c r="AB193" s="27"/>
      <c r="AC193" s="27"/>
    </row>
    <row r="194" spans="1:29">
      <c r="A194" s="358"/>
      <c r="B194" s="359"/>
      <c r="C194" s="360"/>
      <c r="D194" s="27"/>
      <c r="E194" s="27"/>
      <c r="F194" s="27"/>
      <c r="G194" s="27"/>
      <c r="H194" s="27"/>
      <c r="I194" s="27"/>
      <c r="J194" s="27"/>
      <c r="K194" s="27"/>
      <c r="L194" s="27"/>
      <c r="M194" s="27"/>
      <c r="N194" s="27"/>
      <c r="O194" s="27"/>
      <c r="P194" s="27"/>
      <c r="Q194" s="27"/>
      <c r="R194" s="27"/>
      <c r="S194" s="27"/>
      <c r="T194" s="27"/>
      <c r="U194" s="27"/>
      <c r="V194" s="27"/>
      <c r="W194" s="27"/>
      <c r="X194" s="27"/>
      <c r="Y194" s="27"/>
      <c r="Z194" s="27"/>
      <c r="AA194" s="27"/>
      <c r="AB194" s="27"/>
      <c r="AC194" s="27"/>
    </row>
    <row r="195" spans="1:29">
      <c r="A195" s="358"/>
      <c r="B195" s="359"/>
      <c r="C195" s="360"/>
      <c r="D195" s="27"/>
      <c r="E195" s="27"/>
      <c r="F195" s="27"/>
      <c r="G195" s="27"/>
      <c r="H195" s="27"/>
      <c r="I195" s="27"/>
      <c r="J195" s="27"/>
      <c r="K195" s="27"/>
      <c r="L195" s="27"/>
      <c r="M195" s="27"/>
      <c r="N195" s="27"/>
      <c r="O195" s="27"/>
      <c r="P195" s="27"/>
      <c r="Q195" s="27"/>
      <c r="R195" s="27"/>
      <c r="S195" s="27"/>
      <c r="T195" s="27"/>
      <c r="U195" s="27"/>
      <c r="V195" s="27"/>
      <c r="W195" s="27"/>
      <c r="X195" s="27"/>
      <c r="Y195" s="27"/>
      <c r="Z195" s="27"/>
      <c r="AA195" s="27"/>
      <c r="AB195" s="27"/>
      <c r="AC195" s="27"/>
    </row>
    <row r="196" spans="1:29">
      <c r="A196" s="358"/>
      <c r="B196" s="359"/>
      <c r="C196" s="360"/>
      <c r="D196" s="27"/>
      <c r="E196" s="27"/>
      <c r="F196" s="27"/>
      <c r="G196" s="27"/>
      <c r="H196" s="27"/>
      <c r="I196" s="27"/>
      <c r="J196" s="27"/>
      <c r="K196" s="27"/>
      <c r="L196" s="27"/>
      <c r="M196" s="27"/>
      <c r="N196" s="27"/>
      <c r="O196" s="27"/>
      <c r="P196" s="27"/>
      <c r="Q196" s="27"/>
      <c r="R196" s="27"/>
      <c r="S196" s="27"/>
      <c r="T196" s="27"/>
      <c r="U196" s="27"/>
      <c r="V196" s="27"/>
      <c r="W196" s="27"/>
      <c r="X196" s="27"/>
      <c r="Y196" s="27"/>
      <c r="Z196" s="27"/>
      <c r="AA196" s="27"/>
      <c r="AB196" s="27"/>
      <c r="AC196" s="27"/>
    </row>
    <row r="197" spans="1:29">
      <c r="A197" s="358"/>
      <c r="B197" s="359"/>
      <c r="C197" s="360"/>
      <c r="D197" s="27"/>
      <c r="E197" s="27"/>
      <c r="F197" s="27"/>
      <c r="G197" s="27"/>
      <c r="H197" s="27"/>
      <c r="I197" s="27"/>
      <c r="J197" s="27"/>
      <c r="K197" s="27"/>
      <c r="L197" s="27"/>
      <c r="M197" s="27"/>
      <c r="N197" s="27"/>
      <c r="O197" s="27"/>
      <c r="P197" s="27"/>
      <c r="Q197" s="27"/>
      <c r="R197" s="27"/>
      <c r="S197" s="27"/>
      <c r="T197" s="27"/>
      <c r="U197" s="27"/>
      <c r="V197" s="27"/>
      <c r="W197" s="27"/>
      <c r="X197" s="27"/>
      <c r="Y197" s="27"/>
      <c r="Z197" s="27"/>
      <c r="AA197" s="27"/>
      <c r="AB197" s="27"/>
      <c r="AC197" s="27"/>
    </row>
    <row r="198" spans="1:29">
      <c r="A198" s="358"/>
      <c r="B198" s="359"/>
      <c r="C198" s="360"/>
      <c r="D198" s="27"/>
      <c r="E198" s="27"/>
      <c r="F198" s="27"/>
      <c r="G198" s="27"/>
      <c r="H198" s="27"/>
      <c r="I198" s="27"/>
      <c r="J198" s="27"/>
      <c r="K198" s="27"/>
      <c r="L198" s="27"/>
      <c r="M198" s="27"/>
      <c r="N198" s="27"/>
      <c r="O198" s="27"/>
      <c r="P198" s="27"/>
      <c r="Q198" s="27"/>
      <c r="R198" s="27"/>
      <c r="S198" s="27"/>
      <c r="T198" s="27"/>
      <c r="U198" s="27"/>
      <c r="V198" s="27"/>
      <c r="W198" s="27"/>
      <c r="X198" s="27"/>
      <c r="Y198" s="27"/>
      <c r="Z198" s="27"/>
      <c r="AA198" s="27"/>
      <c r="AB198" s="27"/>
      <c r="AC198" s="27"/>
    </row>
    <row r="199" spans="1:29">
      <c r="A199" s="358"/>
      <c r="B199" s="359"/>
      <c r="C199" s="360"/>
      <c r="D199" s="27"/>
      <c r="E199" s="27"/>
      <c r="F199" s="27"/>
      <c r="G199" s="27"/>
      <c r="H199" s="27"/>
      <c r="I199" s="27"/>
      <c r="J199" s="27"/>
      <c r="K199" s="27"/>
      <c r="L199" s="27"/>
      <c r="M199" s="27"/>
      <c r="N199" s="27"/>
      <c r="O199" s="27"/>
      <c r="P199" s="27"/>
      <c r="Q199" s="27"/>
      <c r="R199" s="27"/>
      <c r="S199" s="27"/>
      <c r="T199" s="27"/>
      <c r="U199" s="27"/>
      <c r="V199" s="27"/>
      <c r="W199" s="27"/>
      <c r="X199" s="27"/>
      <c r="Y199" s="27"/>
      <c r="Z199" s="27"/>
      <c r="AA199" s="27"/>
      <c r="AB199" s="27"/>
      <c r="AC199" s="27"/>
    </row>
    <row r="200" spans="1:29">
      <c r="A200" s="358"/>
      <c r="B200" s="359"/>
      <c r="C200" s="360"/>
      <c r="D200" s="27"/>
      <c r="E200" s="27"/>
      <c r="F200" s="27"/>
      <c r="G200" s="27"/>
      <c r="H200" s="27"/>
      <c r="I200" s="27"/>
      <c r="J200" s="27"/>
      <c r="K200" s="27"/>
      <c r="L200" s="27"/>
      <c r="M200" s="27"/>
      <c r="N200" s="27"/>
      <c r="O200" s="27"/>
      <c r="P200" s="27"/>
      <c r="Q200" s="27"/>
      <c r="R200" s="27"/>
      <c r="S200" s="27"/>
      <c r="T200" s="27"/>
      <c r="U200" s="27"/>
      <c r="V200" s="27"/>
      <c r="W200" s="27"/>
      <c r="X200" s="27"/>
      <c r="Y200" s="27"/>
      <c r="Z200" s="27"/>
      <c r="AA200" s="27"/>
      <c r="AB200" s="27"/>
      <c r="AC200" s="27"/>
    </row>
    <row r="201" spans="1:29">
      <c r="A201" s="358"/>
      <c r="B201" s="359"/>
      <c r="C201" s="360"/>
      <c r="D201" s="27"/>
      <c r="E201" s="27"/>
      <c r="F201" s="27"/>
      <c r="G201" s="27"/>
      <c r="H201" s="27"/>
      <c r="I201" s="27"/>
      <c r="J201" s="27"/>
      <c r="K201" s="27"/>
      <c r="L201" s="27"/>
      <c r="M201" s="27"/>
      <c r="N201" s="27"/>
      <c r="O201" s="27"/>
      <c r="P201" s="27"/>
      <c r="Q201" s="27"/>
      <c r="R201" s="27"/>
      <c r="S201" s="27"/>
      <c r="T201" s="27"/>
      <c r="U201" s="27"/>
      <c r="V201" s="27"/>
      <c r="W201" s="27"/>
      <c r="X201" s="27"/>
      <c r="Y201" s="27"/>
      <c r="Z201" s="27"/>
      <c r="AA201" s="27"/>
      <c r="AB201" s="27"/>
      <c r="AC201" s="27"/>
    </row>
    <row r="202" spans="1:29">
      <c r="A202" s="358"/>
      <c r="B202" s="359"/>
      <c r="C202" s="360"/>
      <c r="D202" s="27"/>
      <c r="E202" s="27"/>
      <c r="F202" s="27"/>
      <c r="G202" s="27"/>
      <c r="H202" s="27"/>
      <c r="I202" s="27"/>
      <c r="J202" s="27"/>
      <c r="K202" s="27"/>
      <c r="L202" s="27"/>
      <c r="M202" s="27"/>
      <c r="N202" s="27"/>
      <c r="O202" s="27"/>
      <c r="P202" s="27"/>
      <c r="Q202" s="27"/>
      <c r="R202" s="27"/>
      <c r="S202" s="27"/>
      <c r="T202" s="27"/>
      <c r="U202" s="27"/>
      <c r="V202" s="27"/>
      <c r="W202" s="27"/>
      <c r="X202" s="27"/>
      <c r="Y202" s="27"/>
      <c r="Z202" s="27"/>
      <c r="AA202" s="27"/>
      <c r="AB202" s="27"/>
      <c r="AC202" s="27"/>
    </row>
    <row r="203" spans="1:29">
      <c r="A203" s="358"/>
      <c r="B203" s="359"/>
      <c r="C203" s="360"/>
      <c r="D203" s="27"/>
      <c r="E203" s="27"/>
      <c r="F203" s="27"/>
      <c r="G203" s="27"/>
      <c r="H203" s="27"/>
      <c r="I203" s="27"/>
      <c r="J203" s="27"/>
      <c r="K203" s="27"/>
      <c r="L203" s="27"/>
      <c r="M203" s="27"/>
      <c r="N203" s="27"/>
      <c r="O203" s="27"/>
      <c r="P203" s="27"/>
      <c r="Q203" s="27"/>
      <c r="R203" s="27"/>
      <c r="S203" s="27"/>
      <c r="T203" s="27"/>
      <c r="U203" s="27"/>
      <c r="V203" s="27"/>
      <c r="W203" s="27"/>
      <c r="X203" s="27"/>
      <c r="Y203" s="27"/>
      <c r="Z203" s="27"/>
      <c r="AA203" s="27"/>
      <c r="AB203" s="27"/>
      <c r="AC203" s="27"/>
    </row>
    <row r="204" spans="1:29">
      <c r="A204" s="358"/>
      <c r="B204" s="359"/>
      <c r="C204" s="360"/>
      <c r="D204" s="27"/>
      <c r="E204" s="27"/>
      <c r="F204" s="27"/>
      <c r="G204" s="27"/>
      <c r="H204" s="27"/>
      <c r="I204" s="27"/>
      <c r="J204" s="27"/>
      <c r="K204" s="27"/>
      <c r="L204" s="27"/>
      <c r="M204" s="27"/>
      <c r="N204" s="27"/>
      <c r="O204" s="27"/>
      <c r="P204" s="27"/>
      <c r="Q204" s="27"/>
      <c r="R204" s="27"/>
      <c r="S204" s="27"/>
      <c r="T204" s="27"/>
      <c r="U204" s="27"/>
      <c r="V204" s="27"/>
      <c r="W204" s="27"/>
      <c r="X204" s="27"/>
      <c r="Y204" s="27"/>
      <c r="Z204" s="27"/>
      <c r="AA204" s="27"/>
      <c r="AB204" s="27"/>
      <c r="AC204" s="27"/>
    </row>
    <row r="205" spans="1:29">
      <c r="A205" s="358"/>
      <c r="B205" s="359"/>
      <c r="C205" s="360"/>
      <c r="D205" s="27"/>
      <c r="E205" s="27"/>
      <c r="F205" s="27"/>
      <c r="G205" s="27"/>
      <c r="H205" s="27"/>
      <c r="I205" s="27"/>
      <c r="J205" s="27"/>
      <c r="K205" s="27"/>
      <c r="L205" s="27"/>
      <c r="M205" s="27"/>
      <c r="N205" s="27"/>
      <c r="O205" s="27"/>
      <c r="P205" s="27"/>
      <c r="Q205" s="27"/>
      <c r="R205" s="27"/>
      <c r="S205" s="27"/>
      <c r="T205" s="27"/>
      <c r="U205" s="27"/>
      <c r="V205" s="27"/>
      <c r="W205" s="27"/>
      <c r="X205" s="27"/>
      <c r="Y205" s="27"/>
      <c r="Z205" s="27"/>
      <c r="AA205" s="27"/>
      <c r="AB205" s="27"/>
      <c r="AC205" s="27"/>
    </row>
    <row r="206" spans="1:29">
      <c r="A206" s="358"/>
      <c r="B206" s="359"/>
      <c r="C206" s="360"/>
      <c r="D206" s="27"/>
      <c r="E206" s="27"/>
      <c r="F206" s="27"/>
      <c r="G206" s="27"/>
      <c r="H206" s="27"/>
      <c r="I206" s="27"/>
      <c r="J206" s="27"/>
      <c r="K206" s="27"/>
      <c r="L206" s="27"/>
      <c r="M206" s="27"/>
      <c r="N206" s="27"/>
      <c r="O206" s="27"/>
      <c r="P206" s="27"/>
      <c r="Q206" s="27"/>
      <c r="R206" s="27"/>
      <c r="S206" s="27"/>
      <c r="T206" s="27"/>
      <c r="U206" s="27"/>
      <c r="V206" s="27"/>
      <c r="W206" s="27"/>
      <c r="X206" s="27"/>
      <c r="Y206" s="27"/>
      <c r="Z206" s="27"/>
      <c r="AA206" s="27"/>
      <c r="AB206" s="27"/>
      <c r="AC206" s="27"/>
    </row>
    <row r="207" spans="1:29">
      <c r="A207" s="358"/>
      <c r="B207" s="359"/>
      <c r="C207" s="360"/>
      <c r="D207" s="27"/>
      <c r="E207" s="27"/>
      <c r="F207" s="27"/>
      <c r="G207" s="27"/>
      <c r="H207" s="27"/>
      <c r="I207" s="27"/>
      <c r="J207" s="27"/>
      <c r="K207" s="27"/>
      <c r="L207" s="27"/>
      <c r="M207" s="27"/>
      <c r="N207" s="27"/>
      <c r="O207" s="27"/>
      <c r="P207" s="27"/>
      <c r="Q207" s="27"/>
      <c r="R207" s="27"/>
      <c r="S207" s="27"/>
      <c r="T207" s="27"/>
      <c r="U207" s="27"/>
      <c r="V207" s="27"/>
      <c r="W207" s="27"/>
      <c r="X207" s="27"/>
      <c r="Y207" s="27"/>
      <c r="Z207" s="27"/>
      <c r="AA207" s="27"/>
      <c r="AB207" s="27"/>
      <c r="AC207" s="27"/>
    </row>
    <row r="208" spans="1:29">
      <c r="A208" s="358"/>
      <c r="B208" s="359"/>
      <c r="C208" s="360"/>
      <c r="D208" s="27"/>
      <c r="E208" s="27"/>
      <c r="F208" s="27"/>
      <c r="G208" s="27"/>
      <c r="H208" s="27"/>
      <c r="I208" s="27"/>
      <c r="J208" s="27"/>
      <c r="K208" s="27"/>
      <c r="L208" s="27"/>
      <c r="M208" s="27"/>
      <c r="N208" s="27"/>
      <c r="O208" s="27"/>
      <c r="P208" s="27"/>
      <c r="Q208" s="27"/>
      <c r="R208" s="27"/>
      <c r="S208" s="27"/>
      <c r="T208" s="27"/>
      <c r="U208" s="27"/>
      <c r="V208" s="27"/>
      <c r="W208" s="27"/>
      <c r="X208" s="27"/>
      <c r="Y208" s="27"/>
      <c r="Z208" s="27"/>
      <c r="AA208" s="27"/>
      <c r="AB208" s="27"/>
      <c r="AC208" s="27"/>
    </row>
    <row r="209" spans="1:29">
      <c r="A209" s="358"/>
      <c r="B209" s="359"/>
      <c r="C209" s="360"/>
      <c r="D209" s="27"/>
      <c r="E209" s="27"/>
      <c r="F209" s="27"/>
      <c r="G209" s="27"/>
      <c r="H209" s="27"/>
      <c r="I209" s="27"/>
      <c r="J209" s="27"/>
      <c r="K209" s="27"/>
      <c r="L209" s="27"/>
      <c r="M209" s="27"/>
      <c r="N209" s="27"/>
      <c r="O209" s="27"/>
      <c r="P209" s="27"/>
      <c r="Q209" s="27"/>
      <c r="R209" s="27"/>
      <c r="S209" s="27"/>
      <c r="T209" s="27"/>
      <c r="U209" s="27"/>
      <c r="V209" s="27"/>
      <c r="W209" s="27"/>
      <c r="X209" s="27"/>
      <c r="Y209" s="27"/>
      <c r="Z209" s="27"/>
      <c r="AA209" s="27"/>
      <c r="AB209" s="27"/>
      <c r="AC209" s="27"/>
    </row>
    <row r="210" spans="1:29">
      <c r="A210" s="358"/>
      <c r="B210" s="359"/>
      <c r="C210" s="360"/>
      <c r="D210" s="27"/>
      <c r="E210" s="27"/>
      <c r="F210" s="27"/>
      <c r="G210" s="27"/>
      <c r="H210" s="27"/>
      <c r="I210" s="27"/>
      <c r="J210" s="27"/>
      <c r="K210" s="27"/>
      <c r="L210" s="27"/>
      <c r="M210" s="27"/>
      <c r="N210" s="27"/>
      <c r="O210" s="27"/>
      <c r="P210" s="27"/>
      <c r="Q210" s="27"/>
      <c r="R210" s="27"/>
      <c r="S210" s="27"/>
      <c r="T210" s="27"/>
      <c r="U210" s="27"/>
      <c r="V210" s="27"/>
      <c r="W210" s="27"/>
      <c r="X210" s="27"/>
      <c r="Y210" s="27"/>
      <c r="Z210" s="27"/>
      <c r="AA210" s="27"/>
      <c r="AB210" s="27"/>
      <c r="AC210" s="27"/>
    </row>
    <row r="211" spans="1:29">
      <c r="A211" s="358"/>
      <c r="B211" s="359"/>
      <c r="C211" s="360"/>
      <c r="D211" s="27"/>
      <c r="E211" s="27"/>
      <c r="F211" s="27"/>
      <c r="G211" s="27"/>
      <c r="H211" s="27"/>
      <c r="I211" s="27"/>
      <c r="J211" s="27"/>
      <c r="K211" s="27"/>
      <c r="L211" s="27"/>
      <c r="M211" s="27"/>
      <c r="N211" s="27"/>
      <c r="O211" s="27"/>
      <c r="P211" s="27"/>
      <c r="Q211" s="27"/>
      <c r="R211" s="27"/>
      <c r="S211" s="27"/>
      <c r="T211" s="27"/>
      <c r="U211" s="27"/>
      <c r="V211" s="27"/>
      <c r="W211" s="27"/>
      <c r="X211" s="27"/>
      <c r="Y211" s="27"/>
      <c r="Z211" s="27"/>
      <c r="AA211" s="27"/>
      <c r="AB211" s="27"/>
      <c r="AC211" s="27"/>
    </row>
    <row r="212" spans="1:29">
      <c r="A212" s="358"/>
      <c r="B212" s="359"/>
      <c r="C212" s="360"/>
      <c r="D212" s="27"/>
      <c r="E212" s="27"/>
      <c r="F212" s="27"/>
      <c r="G212" s="27"/>
      <c r="H212" s="27"/>
      <c r="I212" s="27"/>
      <c r="J212" s="27"/>
      <c r="K212" s="27"/>
      <c r="L212" s="27"/>
      <c r="M212" s="27"/>
      <c r="N212" s="27"/>
      <c r="O212" s="27"/>
      <c r="P212" s="27"/>
      <c r="Q212" s="27"/>
      <c r="R212" s="27"/>
      <c r="S212" s="27"/>
      <c r="T212" s="27"/>
      <c r="U212" s="27"/>
      <c r="V212" s="27"/>
      <c r="W212" s="27"/>
      <c r="X212" s="27"/>
      <c r="Y212" s="27"/>
      <c r="Z212" s="27"/>
      <c r="AA212" s="27"/>
      <c r="AB212" s="27"/>
      <c r="AC212" s="27"/>
    </row>
    <row r="213" spans="1:29">
      <c r="A213" s="358"/>
      <c r="B213" s="359"/>
      <c r="C213" s="360"/>
      <c r="D213" s="27"/>
      <c r="E213" s="27"/>
      <c r="F213" s="27"/>
      <c r="G213" s="27"/>
      <c r="H213" s="27"/>
      <c r="I213" s="27"/>
      <c r="J213" s="27"/>
      <c r="K213" s="27"/>
      <c r="L213" s="27"/>
      <c r="M213" s="27"/>
      <c r="N213" s="27"/>
      <c r="O213" s="27"/>
      <c r="P213" s="27"/>
      <c r="Q213" s="27"/>
      <c r="R213" s="27"/>
      <c r="S213" s="27"/>
      <c r="T213" s="27"/>
      <c r="U213" s="27"/>
      <c r="V213" s="27"/>
      <c r="W213" s="27"/>
      <c r="X213" s="27"/>
      <c r="Y213" s="27"/>
      <c r="Z213" s="27"/>
      <c r="AA213" s="27"/>
      <c r="AB213" s="27"/>
      <c r="AC213" s="27"/>
    </row>
    <row r="214" spans="1:29">
      <c r="A214" s="358"/>
      <c r="B214" s="359"/>
      <c r="C214" s="360"/>
      <c r="D214" s="27"/>
      <c r="E214" s="27"/>
      <c r="F214" s="27"/>
      <c r="G214" s="27"/>
      <c r="H214" s="27"/>
      <c r="I214" s="27"/>
      <c r="J214" s="27"/>
      <c r="K214" s="27"/>
      <c r="L214" s="27"/>
      <c r="M214" s="27"/>
      <c r="N214" s="27"/>
      <c r="O214" s="27"/>
      <c r="P214" s="27"/>
      <c r="Q214" s="27"/>
      <c r="R214" s="27"/>
      <c r="S214" s="27"/>
      <c r="T214" s="27"/>
      <c r="U214" s="27"/>
      <c r="V214" s="27"/>
      <c r="W214" s="27"/>
      <c r="X214" s="27"/>
      <c r="Y214" s="27"/>
      <c r="Z214" s="27"/>
      <c r="AA214" s="27"/>
      <c r="AB214" s="27"/>
      <c r="AC214" s="27"/>
    </row>
    <row r="215" spans="1:29">
      <c r="A215" s="358"/>
      <c r="B215" s="359"/>
      <c r="C215" s="360"/>
      <c r="D215" s="27"/>
      <c r="E215" s="27"/>
      <c r="F215" s="27"/>
      <c r="G215" s="27"/>
      <c r="H215" s="27"/>
      <c r="I215" s="27"/>
      <c r="J215" s="27"/>
      <c r="K215" s="27"/>
      <c r="L215" s="27"/>
      <c r="M215" s="27"/>
      <c r="N215" s="27"/>
      <c r="O215" s="27"/>
      <c r="P215" s="27"/>
      <c r="Q215" s="27"/>
      <c r="R215" s="27"/>
      <c r="S215" s="27"/>
      <c r="T215" s="27"/>
      <c r="U215" s="27"/>
      <c r="V215" s="27"/>
      <c r="W215" s="27"/>
      <c r="X215" s="27"/>
      <c r="Y215" s="27"/>
      <c r="Z215" s="27"/>
      <c r="AA215" s="27"/>
      <c r="AB215" s="27"/>
      <c r="AC215" s="27"/>
    </row>
    <row r="216" spans="1:29">
      <c r="A216" s="358"/>
      <c r="B216" s="359"/>
      <c r="C216" s="360"/>
      <c r="D216" s="27"/>
      <c r="E216" s="27"/>
      <c r="F216" s="27"/>
      <c r="G216" s="27"/>
      <c r="H216" s="27"/>
      <c r="I216" s="27"/>
      <c r="J216" s="27"/>
      <c r="K216" s="27"/>
      <c r="L216" s="27"/>
      <c r="M216" s="27"/>
      <c r="N216" s="27"/>
      <c r="O216" s="27"/>
      <c r="P216" s="27"/>
      <c r="Q216" s="27"/>
      <c r="R216" s="27"/>
      <c r="S216" s="27"/>
      <c r="T216" s="27"/>
      <c r="U216" s="27"/>
      <c r="V216" s="27"/>
      <c r="W216" s="27"/>
      <c r="X216" s="27"/>
      <c r="Y216" s="27"/>
      <c r="Z216" s="27"/>
      <c r="AA216" s="27"/>
      <c r="AB216" s="27"/>
      <c r="AC216" s="27"/>
    </row>
    <row r="217" spans="1:29">
      <c r="A217" s="358"/>
      <c r="B217" s="359"/>
      <c r="C217" s="360"/>
      <c r="D217" s="27"/>
      <c r="E217" s="27"/>
      <c r="F217" s="27"/>
      <c r="G217" s="27"/>
      <c r="H217" s="27"/>
      <c r="I217" s="27"/>
      <c r="J217" s="27"/>
      <c r="K217" s="27"/>
      <c r="L217" s="27"/>
      <c r="M217" s="27"/>
      <c r="N217" s="27"/>
      <c r="O217" s="27"/>
      <c r="P217" s="27"/>
      <c r="Q217" s="27"/>
      <c r="R217" s="27"/>
      <c r="S217" s="27"/>
      <c r="T217" s="27"/>
      <c r="U217" s="27"/>
      <c r="V217" s="27"/>
      <c r="W217" s="27"/>
      <c r="X217" s="27"/>
      <c r="Y217" s="27"/>
      <c r="Z217" s="27"/>
      <c r="AA217" s="27"/>
      <c r="AB217" s="27"/>
      <c r="AC217" s="27"/>
    </row>
    <row r="218" spans="1:29">
      <c r="A218" s="358"/>
      <c r="B218" s="359"/>
      <c r="C218" s="360"/>
      <c r="D218" s="27"/>
      <c r="E218" s="27"/>
      <c r="F218" s="27"/>
      <c r="G218" s="27"/>
      <c r="H218" s="27"/>
      <c r="I218" s="27"/>
      <c r="J218" s="27"/>
      <c r="K218" s="27"/>
      <c r="L218" s="27"/>
      <c r="M218" s="27"/>
      <c r="N218" s="27"/>
      <c r="O218" s="27"/>
      <c r="P218" s="27"/>
      <c r="Q218" s="27"/>
      <c r="R218" s="27"/>
      <c r="S218" s="27"/>
      <c r="T218" s="27"/>
      <c r="U218" s="27"/>
      <c r="V218" s="27"/>
      <c r="W218" s="27"/>
      <c r="X218" s="27"/>
      <c r="Y218" s="27"/>
      <c r="Z218" s="27"/>
      <c r="AA218" s="27"/>
      <c r="AB218" s="27"/>
      <c r="AC218" s="27"/>
    </row>
    <row r="219" spans="1:29">
      <c r="A219" s="358"/>
      <c r="B219" s="359"/>
      <c r="C219" s="360"/>
      <c r="D219" s="27"/>
      <c r="E219" s="27"/>
      <c r="F219" s="27"/>
      <c r="G219" s="27"/>
      <c r="H219" s="27"/>
      <c r="I219" s="27"/>
      <c r="J219" s="27"/>
      <c r="K219" s="27"/>
      <c r="L219" s="27"/>
      <c r="M219" s="27"/>
      <c r="N219" s="27"/>
      <c r="O219" s="27"/>
      <c r="P219" s="27"/>
      <c r="Q219" s="27"/>
      <c r="R219" s="27"/>
      <c r="S219" s="27"/>
      <c r="T219" s="27"/>
      <c r="U219" s="27"/>
      <c r="V219" s="27"/>
      <c r="W219" s="27"/>
      <c r="X219" s="27"/>
      <c r="Y219" s="27"/>
      <c r="Z219" s="27"/>
      <c r="AA219" s="27"/>
      <c r="AB219" s="27"/>
      <c r="AC219" s="27"/>
    </row>
    <row r="220" spans="1:29">
      <c r="A220" s="358"/>
      <c r="B220" s="359"/>
      <c r="C220" s="360"/>
      <c r="D220" s="27"/>
      <c r="E220" s="27"/>
      <c r="F220" s="27"/>
      <c r="G220" s="27"/>
      <c r="H220" s="27"/>
      <c r="I220" s="27"/>
      <c r="J220" s="27"/>
      <c r="K220" s="27"/>
      <c r="L220" s="27"/>
      <c r="M220" s="27"/>
      <c r="N220" s="27"/>
      <c r="O220" s="27"/>
      <c r="P220" s="27"/>
      <c r="Q220" s="27"/>
      <c r="R220" s="27"/>
      <c r="S220" s="27"/>
      <c r="T220" s="27"/>
      <c r="U220" s="27"/>
      <c r="V220" s="27"/>
      <c r="W220" s="27"/>
      <c r="X220" s="27"/>
      <c r="Y220" s="27"/>
      <c r="Z220" s="27"/>
      <c r="AA220" s="27"/>
      <c r="AB220" s="27"/>
      <c r="AC220" s="27"/>
    </row>
    <row r="221" spans="1:29">
      <c r="A221" s="358"/>
      <c r="B221" s="359"/>
      <c r="C221" s="360"/>
      <c r="D221" s="27"/>
      <c r="E221" s="27"/>
      <c r="F221" s="27"/>
      <c r="G221" s="27"/>
      <c r="H221" s="27"/>
      <c r="I221" s="27"/>
      <c r="J221" s="27"/>
      <c r="K221" s="27"/>
      <c r="L221" s="27"/>
      <c r="M221" s="27"/>
      <c r="N221" s="27"/>
      <c r="O221" s="27"/>
      <c r="P221" s="27"/>
      <c r="Q221" s="27"/>
      <c r="R221" s="27"/>
      <c r="S221" s="27"/>
      <c r="T221" s="27"/>
      <c r="U221" s="27"/>
      <c r="V221" s="27"/>
      <c r="W221" s="27"/>
      <c r="X221" s="27"/>
      <c r="Y221" s="27"/>
      <c r="Z221" s="27"/>
      <c r="AA221" s="27"/>
      <c r="AB221" s="27"/>
      <c r="AC221" s="27"/>
    </row>
    <row r="222" spans="1:29">
      <c r="A222" s="358"/>
      <c r="B222" s="359"/>
      <c r="C222" s="360"/>
      <c r="D222" s="27"/>
      <c r="E222" s="27"/>
      <c r="F222" s="27"/>
      <c r="G222" s="27"/>
      <c r="H222" s="27"/>
      <c r="I222" s="27"/>
      <c r="J222" s="27"/>
      <c r="K222" s="27"/>
      <c r="L222" s="27"/>
      <c r="M222" s="27"/>
      <c r="N222" s="27"/>
      <c r="O222" s="27"/>
      <c r="P222" s="27"/>
      <c r="Q222" s="27"/>
      <c r="R222" s="27"/>
      <c r="S222" s="27"/>
      <c r="T222" s="27"/>
      <c r="U222" s="27"/>
      <c r="V222" s="27"/>
      <c r="W222" s="27"/>
      <c r="X222" s="27"/>
      <c r="Y222" s="27"/>
      <c r="Z222" s="27"/>
      <c r="AA222" s="27"/>
      <c r="AB222" s="27"/>
      <c r="AC222" s="27"/>
    </row>
    <row r="223" spans="1:29">
      <c r="A223" s="358"/>
      <c r="B223" s="359"/>
      <c r="C223" s="360"/>
      <c r="D223" s="27"/>
      <c r="E223" s="27"/>
      <c r="F223" s="27"/>
      <c r="G223" s="27"/>
      <c r="H223" s="27"/>
      <c r="I223" s="27"/>
      <c r="J223" s="27"/>
      <c r="K223" s="27"/>
      <c r="L223" s="27"/>
      <c r="M223" s="27"/>
      <c r="N223" s="27"/>
      <c r="O223" s="27"/>
      <c r="P223" s="27"/>
      <c r="Q223" s="27"/>
      <c r="R223" s="27"/>
      <c r="S223" s="27"/>
      <c r="T223" s="27"/>
      <c r="U223" s="27"/>
      <c r="V223" s="27"/>
      <c r="W223" s="27"/>
      <c r="X223" s="27"/>
      <c r="Y223" s="27"/>
      <c r="Z223" s="27"/>
      <c r="AA223" s="27"/>
      <c r="AB223" s="27"/>
      <c r="AC223" s="27"/>
    </row>
    <row r="224" spans="1:29">
      <c r="A224" s="358"/>
      <c r="B224" s="359"/>
      <c r="C224" s="360"/>
      <c r="D224" s="27"/>
      <c r="E224" s="27"/>
      <c r="F224" s="27"/>
      <c r="G224" s="27"/>
      <c r="H224" s="27"/>
      <c r="I224" s="27"/>
      <c r="J224" s="27"/>
      <c r="K224" s="27"/>
      <c r="L224" s="27"/>
      <c r="M224" s="27"/>
      <c r="N224" s="27"/>
      <c r="O224" s="27"/>
      <c r="P224" s="27"/>
      <c r="Q224" s="27"/>
      <c r="R224" s="27"/>
      <c r="S224" s="27"/>
      <c r="T224" s="27"/>
      <c r="U224" s="27"/>
      <c r="V224" s="27"/>
      <c r="W224" s="27"/>
      <c r="X224" s="27"/>
      <c r="Y224" s="27"/>
      <c r="Z224" s="27"/>
      <c r="AA224" s="27"/>
      <c r="AB224" s="27"/>
      <c r="AC224" s="27"/>
    </row>
    <row r="225" spans="1:29">
      <c r="A225" s="358"/>
      <c r="B225" s="359"/>
      <c r="C225" s="360"/>
      <c r="D225" s="27"/>
      <c r="E225" s="27"/>
      <c r="F225" s="27"/>
      <c r="G225" s="27"/>
      <c r="H225" s="27"/>
      <c r="I225" s="27"/>
      <c r="J225" s="27"/>
      <c r="K225" s="27"/>
      <c r="L225" s="27"/>
      <c r="M225" s="27"/>
      <c r="N225" s="27"/>
      <c r="O225" s="27"/>
      <c r="P225" s="27"/>
      <c r="Q225" s="27"/>
      <c r="R225" s="27"/>
      <c r="S225" s="27"/>
      <c r="T225" s="27"/>
      <c r="U225" s="27"/>
      <c r="V225" s="27"/>
      <c r="W225" s="27"/>
      <c r="X225" s="27"/>
      <c r="Y225" s="27"/>
      <c r="Z225" s="27"/>
      <c r="AA225" s="27"/>
      <c r="AB225" s="27"/>
      <c r="AC225" s="27"/>
    </row>
    <row r="226" spans="1:29">
      <c r="A226" s="358"/>
      <c r="B226" s="359"/>
      <c r="C226" s="360"/>
      <c r="D226" s="27"/>
      <c r="E226" s="27"/>
      <c r="F226" s="27"/>
      <c r="G226" s="27"/>
      <c r="H226" s="27"/>
      <c r="I226" s="27"/>
      <c r="J226" s="27"/>
      <c r="K226" s="27"/>
      <c r="L226" s="27"/>
      <c r="M226" s="27"/>
      <c r="N226" s="27"/>
      <c r="O226" s="27"/>
      <c r="P226" s="27"/>
      <c r="Q226" s="27"/>
      <c r="R226" s="27"/>
      <c r="S226" s="27"/>
      <c r="T226" s="27"/>
      <c r="U226" s="27"/>
      <c r="V226" s="27"/>
      <c r="W226" s="27"/>
      <c r="X226" s="27"/>
      <c r="Y226" s="27"/>
      <c r="Z226" s="27"/>
      <c r="AA226" s="27"/>
      <c r="AB226" s="27"/>
      <c r="AC226" s="27"/>
    </row>
    <row r="227" spans="1:29">
      <c r="A227" s="358"/>
      <c r="B227" s="359"/>
      <c r="C227" s="360"/>
      <c r="D227" s="27"/>
      <c r="E227" s="27"/>
      <c r="F227" s="27"/>
      <c r="G227" s="27"/>
      <c r="H227" s="27"/>
      <c r="I227" s="27"/>
      <c r="J227" s="27"/>
      <c r="K227" s="27"/>
      <c r="L227" s="27"/>
      <c r="M227" s="27"/>
      <c r="N227" s="27"/>
      <c r="O227" s="27"/>
      <c r="P227" s="27"/>
      <c r="Q227" s="27"/>
      <c r="R227" s="27"/>
      <c r="S227" s="27"/>
      <c r="T227" s="27"/>
      <c r="U227" s="27"/>
      <c r="V227" s="27"/>
      <c r="W227" s="27"/>
      <c r="X227" s="27"/>
      <c r="Y227" s="27"/>
      <c r="Z227" s="27"/>
      <c r="AA227" s="27"/>
      <c r="AB227" s="27"/>
      <c r="AC227" s="27"/>
    </row>
    <row r="228" spans="1:29">
      <c r="A228" s="358"/>
      <c r="B228" s="359"/>
      <c r="C228" s="360"/>
      <c r="D228" s="27"/>
      <c r="E228" s="27"/>
      <c r="F228" s="27"/>
      <c r="G228" s="27"/>
      <c r="H228" s="27"/>
      <c r="I228" s="27"/>
      <c r="J228" s="27"/>
      <c r="K228" s="27"/>
      <c r="L228" s="27"/>
      <c r="M228" s="27"/>
      <c r="N228" s="27"/>
      <c r="O228" s="27"/>
      <c r="P228" s="27"/>
      <c r="Q228" s="27"/>
      <c r="R228" s="27"/>
      <c r="S228" s="27"/>
      <c r="T228" s="27"/>
      <c r="U228" s="27"/>
      <c r="V228" s="27"/>
      <c r="W228" s="27"/>
      <c r="X228" s="27"/>
      <c r="Y228" s="27"/>
      <c r="Z228" s="27"/>
      <c r="AA228" s="27"/>
      <c r="AB228" s="27"/>
      <c r="AC228" s="27"/>
    </row>
    <row r="229" spans="1:29">
      <c r="A229" s="358"/>
      <c r="B229" s="359"/>
      <c r="C229" s="360"/>
      <c r="D229" s="27"/>
      <c r="E229" s="27"/>
      <c r="F229" s="27"/>
      <c r="G229" s="27"/>
      <c r="H229" s="27"/>
      <c r="I229" s="27"/>
      <c r="J229" s="27"/>
      <c r="K229" s="27"/>
      <c r="L229" s="27"/>
      <c r="M229" s="27"/>
      <c r="N229" s="27"/>
      <c r="O229" s="27"/>
      <c r="P229" s="27"/>
      <c r="Q229" s="27"/>
      <c r="R229" s="27"/>
      <c r="S229" s="27"/>
      <c r="T229" s="27"/>
      <c r="U229" s="27"/>
      <c r="V229" s="27"/>
      <c r="W229" s="27"/>
      <c r="X229" s="27"/>
      <c r="Y229" s="27"/>
      <c r="Z229" s="27"/>
      <c r="AA229" s="27"/>
      <c r="AB229" s="27"/>
      <c r="AC229" s="27"/>
    </row>
    <row r="230" spans="1:29">
      <c r="A230" s="358"/>
      <c r="B230" s="359"/>
      <c r="C230" s="360"/>
      <c r="D230" s="27"/>
      <c r="E230" s="27"/>
      <c r="F230" s="27"/>
      <c r="G230" s="27"/>
      <c r="H230" s="27"/>
      <c r="I230" s="27"/>
      <c r="J230" s="27"/>
      <c r="K230" s="27"/>
      <c r="L230" s="27"/>
      <c r="M230" s="27"/>
      <c r="N230" s="27"/>
      <c r="O230" s="27"/>
      <c r="P230" s="27"/>
      <c r="Q230" s="27"/>
      <c r="R230" s="27"/>
      <c r="S230" s="27"/>
      <c r="T230" s="27"/>
      <c r="U230" s="27"/>
      <c r="V230" s="27"/>
      <c r="W230" s="27"/>
      <c r="X230" s="27"/>
      <c r="Y230" s="27"/>
      <c r="Z230" s="27"/>
      <c r="AA230" s="27"/>
      <c r="AB230" s="27"/>
      <c r="AC230" s="27"/>
    </row>
    <row r="231" spans="1:29">
      <c r="A231" s="358"/>
      <c r="B231" s="359"/>
      <c r="C231" s="360"/>
      <c r="D231" s="27"/>
      <c r="E231" s="27"/>
      <c r="F231" s="27"/>
      <c r="G231" s="27"/>
      <c r="H231" s="27"/>
      <c r="I231" s="27"/>
      <c r="J231" s="27"/>
      <c r="K231" s="27"/>
      <c r="L231" s="27"/>
      <c r="M231" s="27"/>
      <c r="N231" s="27"/>
      <c r="O231" s="27"/>
      <c r="P231" s="27"/>
      <c r="Q231" s="27"/>
      <c r="R231" s="27"/>
      <c r="S231" s="27"/>
      <c r="T231" s="27"/>
      <c r="U231" s="27"/>
      <c r="V231" s="27"/>
      <c r="W231" s="27"/>
      <c r="X231" s="27"/>
      <c r="Y231" s="27"/>
      <c r="Z231" s="27"/>
      <c r="AA231" s="27"/>
      <c r="AB231" s="27"/>
      <c r="AC231" s="27"/>
    </row>
    <row r="232" spans="1:29">
      <c r="A232" s="358"/>
      <c r="B232" s="359"/>
      <c r="C232" s="360"/>
      <c r="D232" s="27"/>
      <c r="E232" s="27"/>
      <c r="F232" s="27"/>
      <c r="G232" s="27"/>
      <c r="H232" s="27"/>
      <c r="I232" s="27"/>
      <c r="J232" s="27"/>
      <c r="K232" s="27"/>
      <c r="L232" s="27"/>
      <c r="M232" s="27"/>
      <c r="N232" s="27"/>
      <c r="O232" s="27"/>
      <c r="P232" s="27"/>
      <c r="Q232" s="27"/>
      <c r="R232" s="27"/>
      <c r="S232" s="27"/>
      <c r="T232" s="27"/>
      <c r="U232" s="27"/>
      <c r="V232" s="27"/>
      <c r="W232" s="27"/>
      <c r="X232" s="27"/>
      <c r="Y232" s="27"/>
      <c r="Z232" s="27"/>
      <c r="AA232" s="27"/>
      <c r="AB232" s="27"/>
      <c r="AC232" s="27"/>
    </row>
    <row r="233" spans="1:29">
      <c r="A233" s="358"/>
      <c r="B233" s="359"/>
      <c r="C233" s="360"/>
      <c r="D233" s="27"/>
      <c r="E233" s="27"/>
      <c r="F233" s="27"/>
      <c r="G233" s="27"/>
      <c r="H233" s="27"/>
      <c r="I233" s="27"/>
      <c r="J233" s="27"/>
      <c r="K233" s="27"/>
      <c r="L233" s="27"/>
      <c r="M233" s="27"/>
      <c r="N233" s="27"/>
      <c r="O233" s="27"/>
      <c r="P233" s="27"/>
      <c r="Q233" s="27"/>
      <c r="R233" s="27"/>
      <c r="S233" s="27"/>
      <c r="T233" s="27"/>
      <c r="U233" s="27"/>
      <c r="V233" s="27"/>
      <c r="W233" s="27"/>
      <c r="X233" s="27"/>
      <c r="Y233" s="27"/>
      <c r="Z233" s="27"/>
      <c r="AA233" s="27"/>
      <c r="AB233" s="27"/>
      <c r="AC233" s="27"/>
    </row>
    <row r="234" spans="1:29">
      <c r="A234" s="358"/>
      <c r="B234" s="359"/>
      <c r="C234" s="360"/>
      <c r="D234" s="27"/>
      <c r="E234" s="27"/>
      <c r="F234" s="27"/>
      <c r="G234" s="27"/>
      <c r="H234" s="27"/>
      <c r="I234" s="27"/>
      <c r="J234" s="27"/>
      <c r="K234" s="27"/>
      <c r="L234" s="27"/>
      <c r="M234" s="27"/>
      <c r="N234" s="27"/>
      <c r="O234" s="27"/>
      <c r="P234" s="27"/>
      <c r="Q234" s="27"/>
      <c r="R234" s="27"/>
      <c r="S234" s="27"/>
      <c r="T234" s="27"/>
      <c r="U234" s="27"/>
      <c r="V234" s="27"/>
      <c r="W234" s="27"/>
      <c r="X234" s="27"/>
      <c r="Y234" s="27"/>
      <c r="Z234" s="27"/>
      <c r="AA234" s="27"/>
      <c r="AB234" s="27"/>
      <c r="AC234" s="27"/>
    </row>
    <row r="235" spans="1:29">
      <c r="A235" s="358"/>
      <c r="B235" s="359"/>
      <c r="C235" s="360"/>
      <c r="D235" s="27"/>
      <c r="E235" s="27"/>
      <c r="F235" s="27"/>
      <c r="G235" s="27"/>
      <c r="H235" s="27"/>
      <c r="I235" s="27"/>
      <c r="J235" s="27"/>
      <c r="K235" s="27"/>
      <c r="L235" s="27"/>
      <c r="M235" s="27"/>
      <c r="N235" s="27"/>
      <c r="O235" s="27"/>
      <c r="P235" s="27"/>
      <c r="Q235" s="27"/>
      <c r="R235" s="27"/>
      <c r="S235" s="27"/>
      <c r="T235" s="27"/>
      <c r="U235" s="27"/>
      <c r="V235" s="27"/>
      <c r="W235" s="27"/>
      <c r="X235" s="27"/>
      <c r="Y235" s="27"/>
      <c r="Z235" s="27"/>
      <c r="AA235" s="27"/>
      <c r="AB235" s="27"/>
      <c r="AC235" s="27"/>
    </row>
    <row r="236" spans="1:29">
      <c r="A236" s="358"/>
      <c r="B236" s="359"/>
      <c r="C236" s="360"/>
      <c r="D236" s="27"/>
      <c r="E236" s="27"/>
      <c r="F236" s="27"/>
      <c r="G236" s="27"/>
      <c r="H236" s="27"/>
      <c r="I236" s="27"/>
      <c r="J236" s="27"/>
      <c r="K236" s="27"/>
      <c r="L236" s="27"/>
      <c r="M236" s="27"/>
      <c r="N236" s="27"/>
      <c r="O236" s="27"/>
      <c r="P236" s="27"/>
      <c r="Q236" s="27"/>
      <c r="R236" s="27"/>
      <c r="S236" s="27"/>
      <c r="T236" s="27"/>
      <c r="U236" s="27"/>
      <c r="V236" s="27"/>
      <c r="W236" s="27"/>
      <c r="X236" s="27"/>
      <c r="Y236" s="27"/>
      <c r="Z236" s="27"/>
      <c r="AA236" s="27"/>
      <c r="AB236" s="27"/>
      <c r="AC236" s="27"/>
    </row>
    <row r="237" spans="1:29">
      <c r="A237" s="358"/>
      <c r="B237" s="359"/>
      <c r="C237" s="360"/>
      <c r="D237" s="27"/>
      <c r="E237" s="27"/>
      <c r="F237" s="27"/>
      <c r="G237" s="27"/>
      <c r="H237" s="27"/>
      <c r="I237" s="27"/>
      <c r="J237" s="27"/>
      <c r="K237" s="27"/>
      <c r="L237" s="27"/>
      <c r="M237" s="27"/>
      <c r="N237" s="27"/>
      <c r="O237" s="27"/>
      <c r="P237" s="27"/>
      <c r="Q237" s="27"/>
      <c r="R237" s="27"/>
      <c r="S237" s="27"/>
      <c r="T237" s="27"/>
      <c r="U237" s="27"/>
      <c r="V237" s="27"/>
      <c r="W237" s="27"/>
      <c r="X237" s="27"/>
      <c r="Y237" s="27"/>
      <c r="Z237" s="27"/>
      <c r="AA237" s="27"/>
      <c r="AB237" s="27"/>
      <c r="AC237" s="27"/>
    </row>
    <row r="238" spans="1:29">
      <c r="A238" s="358"/>
      <c r="B238" s="359"/>
      <c r="C238" s="360"/>
      <c r="D238" s="27"/>
      <c r="E238" s="27"/>
      <c r="F238" s="27"/>
      <c r="G238" s="27"/>
      <c r="H238" s="27"/>
      <c r="I238" s="27"/>
      <c r="J238" s="27"/>
      <c r="K238" s="27"/>
      <c r="L238" s="27"/>
      <c r="M238" s="27"/>
      <c r="N238" s="27"/>
      <c r="O238" s="27"/>
      <c r="P238" s="27"/>
      <c r="Q238" s="27"/>
      <c r="R238" s="27"/>
      <c r="S238" s="27"/>
      <c r="T238" s="27"/>
      <c r="U238" s="27"/>
      <c r="V238" s="27"/>
      <c r="W238" s="27"/>
      <c r="X238" s="27"/>
      <c r="Y238" s="27"/>
      <c r="Z238" s="27"/>
      <c r="AA238" s="27"/>
      <c r="AB238" s="27"/>
      <c r="AC238" s="27"/>
    </row>
    <row r="239" spans="1:29">
      <c r="A239" s="358"/>
      <c r="B239" s="359"/>
      <c r="C239" s="360"/>
      <c r="D239" s="27"/>
      <c r="E239" s="27"/>
      <c r="F239" s="27"/>
      <c r="G239" s="27"/>
      <c r="H239" s="27"/>
      <c r="I239" s="27"/>
      <c r="J239" s="27"/>
      <c r="K239" s="27"/>
      <c r="L239" s="27"/>
      <c r="M239" s="27"/>
      <c r="N239" s="27"/>
      <c r="O239" s="27"/>
      <c r="P239" s="27"/>
      <c r="Q239" s="27"/>
      <c r="R239" s="27"/>
      <c r="S239" s="27"/>
      <c r="T239" s="27"/>
      <c r="U239" s="27"/>
      <c r="V239" s="27"/>
      <c r="W239" s="27"/>
      <c r="X239" s="27"/>
      <c r="Y239" s="27"/>
      <c r="Z239" s="27"/>
      <c r="AA239" s="27"/>
      <c r="AB239" s="27"/>
      <c r="AC239" s="27"/>
    </row>
    <row r="240" spans="1:29">
      <c r="A240" s="358"/>
      <c r="B240" s="359"/>
      <c r="C240" s="360"/>
      <c r="D240" s="27"/>
      <c r="E240" s="27"/>
      <c r="F240" s="27"/>
      <c r="G240" s="27"/>
      <c r="H240" s="27"/>
      <c r="I240" s="27"/>
      <c r="J240" s="27"/>
      <c r="K240" s="27"/>
      <c r="L240" s="27"/>
      <c r="M240" s="27"/>
      <c r="N240" s="27"/>
      <c r="O240" s="27"/>
      <c r="P240" s="27"/>
      <c r="Q240" s="27"/>
      <c r="R240" s="27"/>
      <c r="S240" s="27"/>
      <c r="T240" s="27"/>
      <c r="U240" s="27"/>
      <c r="V240" s="27"/>
      <c r="W240" s="27"/>
      <c r="X240" s="27"/>
      <c r="Y240" s="27"/>
      <c r="Z240" s="27"/>
      <c r="AA240" s="27"/>
      <c r="AB240" s="27"/>
      <c r="AC240" s="27"/>
    </row>
    <row r="241" spans="1:29">
      <c r="A241" s="358"/>
      <c r="B241" s="359"/>
      <c r="C241" s="360"/>
      <c r="D241" s="27"/>
      <c r="E241" s="27"/>
      <c r="F241" s="27"/>
      <c r="G241" s="27"/>
      <c r="H241" s="27"/>
      <c r="I241" s="27"/>
      <c r="J241" s="27"/>
      <c r="K241" s="27"/>
      <c r="L241" s="27"/>
      <c r="M241" s="27"/>
      <c r="N241" s="27"/>
      <c r="O241" s="27"/>
      <c r="P241" s="27"/>
      <c r="Q241" s="27"/>
      <c r="R241" s="27"/>
      <c r="S241" s="27"/>
      <c r="T241" s="27"/>
      <c r="U241" s="27"/>
      <c r="V241" s="27"/>
      <c r="W241" s="27"/>
      <c r="X241" s="27"/>
      <c r="Y241" s="27"/>
      <c r="Z241" s="27"/>
      <c r="AA241" s="27"/>
      <c r="AB241" s="27"/>
      <c r="AC241" s="27"/>
    </row>
    <row r="242" spans="1:29">
      <c r="A242" s="358"/>
      <c r="B242" s="359"/>
      <c r="C242" s="360"/>
      <c r="D242" s="27"/>
      <c r="E242" s="27"/>
      <c r="F242" s="27"/>
      <c r="G242" s="27"/>
      <c r="H242" s="27"/>
      <c r="I242" s="27"/>
      <c r="J242" s="27"/>
      <c r="K242" s="27"/>
      <c r="L242" s="27"/>
      <c r="M242" s="27"/>
      <c r="N242" s="27"/>
      <c r="O242" s="27"/>
      <c r="P242" s="27"/>
      <c r="Q242" s="27"/>
      <c r="R242" s="27"/>
      <c r="S242" s="27"/>
      <c r="T242" s="27"/>
      <c r="U242" s="27"/>
      <c r="V242" s="27"/>
      <c r="W242" s="27"/>
      <c r="X242" s="27"/>
      <c r="Y242" s="27"/>
      <c r="Z242" s="27"/>
      <c r="AA242" s="27"/>
      <c r="AB242" s="27"/>
      <c r="AC242" s="27"/>
    </row>
    <row r="243" spans="1:29">
      <c r="A243" s="358"/>
      <c r="B243" s="359"/>
      <c r="C243" s="360"/>
      <c r="D243" s="27"/>
      <c r="E243" s="27"/>
      <c r="F243" s="27"/>
      <c r="G243" s="27"/>
      <c r="H243" s="27"/>
      <c r="I243" s="27"/>
      <c r="J243" s="27"/>
      <c r="K243" s="27"/>
      <c r="L243" s="27"/>
      <c r="M243" s="27"/>
      <c r="N243" s="27"/>
      <c r="O243" s="27"/>
      <c r="P243" s="27"/>
      <c r="Q243" s="27"/>
      <c r="R243" s="27"/>
      <c r="S243" s="27"/>
      <c r="T243" s="27"/>
      <c r="U243" s="27"/>
      <c r="V243" s="27"/>
      <c r="W243" s="27"/>
      <c r="X243" s="27"/>
      <c r="Y243" s="27"/>
      <c r="Z243" s="27"/>
      <c r="AA243" s="27"/>
      <c r="AB243" s="27"/>
      <c r="AC243" s="27"/>
    </row>
    <row r="244" spans="1:29">
      <c r="A244" s="358"/>
      <c r="B244" s="359"/>
      <c r="C244" s="360"/>
      <c r="D244" s="27"/>
      <c r="E244" s="27"/>
      <c r="F244" s="27"/>
      <c r="G244" s="27"/>
      <c r="H244" s="27"/>
      <c r="I244" s="27"/>
      <c r="J244" s="27"/>
      <c r="K244" s="27"/>
      <c r="L244" s="27"/>
      <c r="M244" s="27"/>
      <c r="N244" s="27"/>
      <c r="O244" s="27"/>
      <c r="P244" s="27"/>
      <c r="Q244" s="27"/>
      <c r="R244" s="27"/>
      <c r="S244" s="27"/>
      <c r="T244" s="27"/>
      <c r="U244" s="27"/>
      <c r="V244" s="27"/>
      <c r="W244" s="27"/>
      <c r="X244" s="27"/>
      <c r="Y244" s="27"/>
      <c r="Z244" s="27"/>
      <c r="AA244" s="27"/>
      <c r="AB244" s="27"/>
      <c r="AC244" s="27"/>
    </row>
    <row r="245" spans="1:29">
      <c r="A245" s="358"/>
      <c r="B245" s="359"/>
      <c r="C245" s="360"/>
      <c r="D245" s="27"/>
      <c r="E245" s="27"/>
      <c r="F245" s="27"/>
      <c r="G245" s="27"/>
      <c r="H245" s="27"/>
      <c r="I245" s="27"/>
      <c r="J245" s="27"/>
      <c r="K245" s="27"/>
      <c r="L245" s="27"/>
      <c r="M245" s="27"/>
      <c r="N245" s="27"/>
      <c r="O245" s="27"/>
      <c r="P245" s="27"/>
      <c r="Q245" s="27"/>
      <c r="R245" s="27"/>
      <c r="S245" s="27"/>
      <c r="T245" s="27"/>
      <c r="U245" s="27"/>
      <c r="V245" s="27"/>
      <c r="W245" s="27"/>
      <c r="X245" s="27"/>
      <c r="Y245" s="27"/>
      <c r="Z245" s="27"/>
      <c r="AA245" s="27"/>
      <c r="AB245" s="27"/>
      <c r="AC245" s="27"/>
    </row>
    <row r="246" spans="1:29">
      <c r="A246" s="358"/>
      <c r="B246" s="359"/>
      <c r="C246" s="360"/>
      <c r="D246" s="27"/>
      <c r="E246" s="27"/>
      <c r="F246" s="27"/>
      <c r="G246" s="27"/>
      <c r="H246" s="27"/>
      <c r="I246" s="27"/>
      <c r="J246" s="27"/>
      <c r="K246" s="27"/>
      <c r="L246" s="27"/>
      <c r="M246" s="27"/>
      <c r="N246" s="27"/>
      <c r="O246" s="27"/>
      <c r="P246" s="27"/>
      <c r="Q246" s="27"/>
      <c r="R246" s="27"/>
      <c r="S246" s="27"/>
      <c r="T246" s="27"/>
      <c r="U246" s="27"/>
      <c r="V246" s="27"/>
      <c r="W246" s="27"/>
      <c r="X246" s="27"/>
      <c r="Y246" s="27"/>
      <c r="Z246" s="27"/>
      <c r="AA246" s="27"/>
      <c r="AB246" s="27"/>
      <c r="AC246" s="27"/>
    </row>
    <row r="247" spans="1:29">
      <c r="A247" s="358"/>
      <c r="B247" s="359"/>
      <c r="C247" s="360"/>
      <c r="D247" s="27"/>
      <c r="E247" s="27"/>
      <c r="F247" s="27"/>
      <c r="G247" s="27"/>
      <c r="H247" s="27"/>
      <c r="I247" s="27"/>
      <c r="J247" s="27"/>
      <c r="K247" s="27"/>
      <c r="L247" s="27"/>
      <c r="M247" s="27"/>
      <c r="N247" s="27"/>
      <c r="O247" s="27"/>
      <c r="P247" s="27"/>
      <c r="Q247" s="27"/>
      <c r="R247" s="27"/>
      <c r="S247" s="27"/>
      <c r="T247" s="27"/>
      <c r="U247" s="27"/>
      <c r="V247" s="27"/>
      <c r="W247" s="27"/>
      <c r="X247" s="27"/>
      <c r="Y247" s="27"/>
      <c r="Z247" s="27"/>
      <c r="AA247" s="27"/>
      <c r="AB247" s="27"/>
      <c r="AC247" s="27"/>
    </row>
    <row r="248" spans="1:29">
      <c r="A248" s="358"/>
      <c r="B248" s="359"/>
      <c r="C248" s="360"/>
      <c r="D248" s="27"/>
      <c r="E248" s="27"/>
      <c r="F248" s="27"/>
      <c r="G248" s="27"/>
      <c r="H248" s="27"/>
      <c r="I248" s="27"/>
      <c r="J248" s="27"/>
      <c r="K248" s="27"/>
      <c r="L248" s="27"/>
      <c r="M248" s="27"/>
      <c r="N248" s="27"/>
      <c r="O248" s="27"/>
      <c r="P248" s="27"/>
      <c r="Q248" s="27"/>
      <c r="R248" s="27"/>
      <c r="S248" s="27"/>
      <c r="T248" s="27"/>
      <c r="U248" s="27"/>
      <c r="V248" s="27"/>
      <c r="W248" s="27"/>
      <c r="X248" s="27"/>
      <c r="Y248" s="27"/>
      <c r="Z248" s="27"/>
      <c r="AA248" s="27"/>
      <c r="AB248" s="27"/>
      <c r="AC248" s="27"/>
    </row>
    <row r="249" spans="1:29">
      <c r="A249" s="358"/>
      <c r="B249" s="359"/>
      <c r="C249" s="360"/>
      <c r="D249" s="27"/>
      <c r="E249" s="27"/>
      <c r="F249" s="27"/>
      <c r="G249" s="27"/>
      <c r="H249" s="27"/>
      <c r="I249" s="27"/>
      <c r="J249" s="27"/>
      <c r="K249" s="27"/>
      <c r="L249" s="27"/>
      <c r="M249" s="27"/>
      <c r="N249" s="27"/>
      <c r="O249" s="27"/>
      <c r="P249" s="27"/>
      <c r="Q249" s="27"/>
      <c r="R249" s="27"/>
      <c r="S249" s="27"/>
      <c r="T249" s="27"/>
      <c r="U249" s="27"/>
      <c r="V249" s="27"/>
      <c r="W249" s="27"/>
      <c r="X249" s="27"/>
      <c r="Y249" s="27"/>
      <c r="Z249" s="27"/>
      <c r="AA249" s="27"/>
      <c r="AB249" s="27"/>
      <c r="AC249" s="27"/>
    </row>
    <row r="250" spans="1:29">
      <c r="A250" s="358"/>
      <c r="B250" s="359"/>
      <c r="C250" s="360"/>
      <c r="D250" s="27"/>
      <c r="E250" s="27"/>
      <c r="F250" s="27"/>
      <c r="G250" s="27"/>
      <c r="H250" s="27"/>
      <c r="I250" s="27"/>
      <c r="J250" s="27"/>
      <c r="K250" s="27"/>
      <c r="L250" s="27"/>
      <c r="M250" s="27"/>
      <c r="N250" s="27"/>
      <c r="O250" s="27"/>
      <c r="P250" s="27"/>
      <c r="Q250" s="27"/>
      <c r="R250" s="27"/>
      <c r="S250" s="27"/>
      <c r="T250" s="27"/>
      <c r="U250" s="27"/>
      <c r="V250" s="27"/>
      <c r="W250" s="27"/>
      <c r="X250" s="27"/>
      <c r="Y250" s="27"/>
      <c r="Z250" s="27"/>
      <c r="AA250" s="27"/>
      <c r="AB250" s="27"/>
      <c r="AC250" s="27"/>
    </row>
    <row r="251" spans="1:29">
      <c r="A251" s="358"/>
      <c r="B251" s="359"/>
      <c r="C251" s="360"/>
      <c r="D251" s="27"/>
      <c r="E251" s="27"/>
      <c r="F251" s="27"/>
      <c r="G251" s="27"/>
      <c r="H251" s="27"/>
      <c r="I251" s="27"/>
      <c r="J251" s="27"/>
      <c r="K251" s="27"/>
      <c r="L251" s="27"/>
      <c r="M251" s="27"/>
      <c r="N251" s="27"/>
      <c r="O251" s="27"/>
      <c r="P251" s="27"/>
      <c r="Q251" s="27"/>
      <c r="R251" s="27"/>
      <c r="S251" s="27"/>
      <c r="T251" s="27"/>
      <c r="U251" s="27"/>
      <c r="V251" s="27"/>
      <c r="W251" s="27"/>
      <c r="X251" s="27"/>
      <c r="Y251" s="27"/>
      <c r="Z251" s="27"/>
      <c r="AA251" s="27"/>
      <c r="AB251" s="27"/>
      <c r="AC251" s="27"/>
    </row>
    <row r="252" spans="1:29">
      <c r="A252" s="358"/>
      <c r="B252" s="359"/>
      <c r="C252" s="360"/>
      <c r="D252" s="27"/>
      <c r="E252" s="27"/>
      <c r="F252" s="27"/>
      <c r="G252" s="27"/>
      <c r="H252" s="27"/>
      <c r="I252" s="27"/>
      <c r="J252" s="27"/>
      <c r="K252" s="27"/>
      <c r="L252" s="27"/>
      <c r="M252" s="27"/>
      <c r="N252" s="27"/>
      <c r="O252" s="27"/>
      <c r="P252" s="27"/>
      <c r="Q252" s="27"/>
      <c r="R252" s="27"/>
      <c r="S252" s="27"/>
      <c r="T252" s="27"/>
      <c r="U252" s="27"/>
      <c r="V252" s="27"/>
      <c r="W252" s="27"/>
      <c r="X252" s="27"/>
      <c r="Y252" s="27"/>
      <c r="Z252" s="27"/>
      <c r="AA252" s="27"/>
      <c r="AB252" s="27"/>
      <c r="AC252" s="27"/>
    </row>
    <row r="253" spans="1:29">
      <c r="A253" s="358"/>
      <c r="B253" s="359"/>
      <c r="C253" s="360"/>
      <c r="D253" s="27"/>
      <c r="E253" s="27"/>
      <c r="F253" s="27"/>
      <c r="G253" s="27"/>
      <c r="H253" s="27"/>
      <c r="I253" s="27"/>
      <c r="J253" s="27"/>
      <c r="K253" s="27"/>
      <c r="L253" s="27"/>
      <c r="M253" s="27"/>
      <c r="N253" s="27"/>
      <c r="O253" s="27"/>
      <c r="P253" s="27"/>
      <c r="Q253" s="27"/>
      <c r="R253" s="27"/>
      <c r="S253" s="27"/>
      <c r="T253" s="27"/>
      <c r="U253" s="27"/>
      <c r="V253" s="27"/>
      <c r="W253" s="27"/>
      <c r="X253" s="27"/>
      <c r="Y253" s="27"/>
      <c r="Z253" s="27"/>
      <c r="AA253" s="27"/>
      <c r="AB253" s="27"/>
      <c r="AC253" s="27"/>
    </row>
    <row r="254" spans="1:29">
      <c r="A254" s="358"/>
      <c r="B254" s="359"/>
      <c r="C254" s="360"/>
      <c r="D254" s="27"/>
      <c r="E254" s="27"/>
      <c r="F254" s="27"/>
      <c r="G254" s="27"/>
      <c r="H254" s="27"/>
      <c r="I254" s="27"/>
      <c r="J254" s="27"/>
      <c r="K254" s="27"/>
      <c r="L254" s="27"/>
      <c r="M254" s="27"/>
      <c r="N254" s="27"/>
      <c r="O254" s="27"/>
      <c r="P254" s="27"/>
      <c r="Q254" s="27"/>
      <c r="R254" s="27"/>
      <c r="S254" s="27"/>
      <c r="T254" s="27"/>
      <c r="U254" s="27"/>
      <c r="V254" s="27"/>
      <c r="W254" s="27"/>
      <c r="X254" s="27"/>
      <c r="Y254" s="27"/>
      <c r="Z254" s="27"/>
      <c r="AA254" s="27"/>
      <c r="AB254" s="27"/>
      <c r="AC254" s="27"/>
    </row>
    <row r="255" spans="1:29">
      <c r="A255" s="358"/>
      <c r="B255" s="359"/>
      <c r="C255" s="360"/>
      <c r="D255" s="27"/>
      <c r="E255" s="27"/>
      <c r="F255" s="27"/>
      <c r="G255" s="27"/>
      <c r="H255" s="27"/>
      <c r="I255" s="27"/>
      <c r="J255" s="27"/>
      <c r="K255" s="27"/>
      <c r="L255" s="27"/>
      <c r="M255" s="27"/>
      <c r="N255" s="27"/>
      <c r="O255" s="27"/>
      <c r="P255" s="27"/>
      <c r="Q255" s="27"/>
      <c r="R255" s="27"/>
      <c r="S255" s="27"/>
      <c r="T255" s="27"/>
      <c r="U255" s="27"/>
      <c r="V255" s="27"/>
      <c r="W255" s="27"/>
      <c r="X255" s="27"/>
      <c r="Y255" s="27"/>
      <c r="Z255" s="27"/>
      <c r="AA255" s="27"/>
      <c r="AB255" s="27"/>
      <c r="AC255" s="27"/>
    </row>
    <row r="256" spans="1:29">
      <c r="A256" s="358"/>
      <c r="B256" s="359"/>
      <c r="C256" s="360"/>
      <c r="D256" s="27"/>
      <c r="E256" s="27"/>
      <c r="F256" s="27"/>
      <c r="G256" s="27"/>
      <c r="H256" s="27"/>
      <c r="I256" s="27"/>
      <c r="J256" s="27"/>
      <c r="K256" s="27"/>
      <c r="L256" s="27"/>
      <c r="M256" s="27"/>
      <c r="N256" s="27"/>
      <c r="O256" s="27"/>
      <c r="P256" s="27"/>
      <c r="Q256" s="27"/>
      <c r="R256" s="27"/>
      <c r="S256" s="27"/>
      <c r="T256" s="27"/>
      <c r="U256" s="27"/>
      <c r="V256" s="27"/>
      <c r="W256" s="27"/>
      <c r="X256" s="27"/>
      <c r="Y256" s="27"/>
      <c r="Z256" s="27"/>
      <c r="AA256" s="27"/>
      <c r="AB256" s="27"/>
      <c r="AC256" s="27"/>
    </row>
    <row r="257" spans="1:29">
      <c r="A257" s="358"/>
      <c r="B257" s="359"/>
      <c r="C257" s="360"/>
      <c r="D257" s="27"/>
      <c r="E257" s="27"/>
      <c r="F257" s="27"/>
      <c r="G257" s="27"/>
      <c r="H257" s="27"/>
      <c r="I257" s="27"/>
      <c r="J257" s="27"/>
      <c r="K257" s="27"/>
      <c r="L257" s="27"/>
      <c r="M257" s="27"/>
      <c r="N257" s="27"/>
      <c r="O257" s="27"/>
      <c r="P257" s="27"/>
      <c r="Q257" s="27"/>
      <c r="R257" s="27"/>
      <c r="S257" s="27"/>
      <c r="T257" s="27"/>
      <c r="U257" s="27"/>
      <c r="V257" s="27"/>
      <c r="W257" s="27"/>
      <c r="X257" s="27"/>
      <c r="Y257" s="27"/>
      <c r="Z257" s="27"/>
      <c r="AA257" s="27"/>
      <c r="AB257" s="27"/>
      <c r="AC257" s="27"/>
    </row>
    <row r="258" spans="1:29">
      <c r="A258" s="358"/>
      <c r="B258" s="359"/>
      <c r="C258" s="360"/>
      <c r="D258" s="27"/>
      <c r="E258" s="27"/>
      <c r="F258" s="27"/>
      <c r="G258" s="27"/>
      <c r="H258" s="27"/>
      <c r="I258" s="27"/>
      <c r="J258" s="27"/>
      <c r="K258" s="27"/>
      <c r="L258" s="27"/>
      <c r="M258" s="27"/>
      <c r="N258" s="27"/>
      <c r="O258" s="27"/>
      <c r="P258" s="27"/>
      <c r="Q258" s="27"/>
      <c r="R258" s="27"/>
      <c r="S258" s="27"/>
      <c r="T258" s="27"/>
      <c r="U258" s="27"/>
      <c r="V258" s="27"/>
      <c r="W258" s="27"/>
      <c r="X258" s="27"/>
      <c r="Y258" s="27"/>
      <c r="Z258" s="27"/>
      <c r="AA258" s="27"/>
      <c r="AB258" s="27"/>
      <c r="AC258" s="27"/>
    </row>
    <row r="259" spans="1:29">
      <c r="A259" s="358"/>
      <c r="B259" s="359"/>
      <c r="C259" s="360"/>
      <c r="D259" s="27"/>
      <c r="E259" s="27"/>
      <c r="F259" s="27"/>
      <c r="G259" s="27"/>
      <c r="H259" s="27"/>
      <c r="I259" s="27"/>
      <c r="J259" s="27"/>
      <c r="K259" s="27"/>
      <c r="L259" s="27"/>
      <c r="M259" s="27"/>
      <c r="N259" s="27"/>
      <c r="O259" s="27"/>
      <c r="P259" s="27"/>
      <c r="Q259" s="27"/>
      <c r="R259" s="27"/>
      <c r="S259" s="27"/>
      <c r="T259" s="27"/>
      <c r="U259" s="27"/>
      <c r="V259" s="27"/>
      <c r="W259" s="27"/>
      <c r="X259" s="27"/>
      <c r="Y259" s="27"/>
      <c r="Z259" s="27"/>
      <c r="AA259" s="27"/>
      <c r="AB259" s="27"/>
      <c r="AC259" s="27"/>
    </row>
    <row r="260" spans="1:29">
      <c r="A260" s="358"/>
      <c r="B260" s="359"/>
      <c r="C260" s="360"/>
      <c r="D260" s="27"/>
      <c r="E260" s="27"/>
      <c r="F260" s="27"/>
      <c r="G260" s="27"/>
      <c r="H260" s="27"/>
      <c r="I260" s="27"/>
      <c r="J260" s="27"/>
      <c r="K260" s="27"/>
      <c r="L260" s="27"/>
      <c r="M260" s="27"/>
      <c r="N260" s="27"/>
      <c r="O260" s="27"/>
      <c r="P260" s="27"/>
      <c r="Q260" s="27"/>
      <c r="R260" s="27"/>
      <c r="S260" s="27"/>
      <c r="T260" s="27"/>
      <c r="U260" s="27"/>
      <c r="V260" s="27"/>
      <c r="W260" s="27"/>
      <c r="X260" s="27"/>
      <c r="Y260" s="27"/>
      <c r="Z260" s="27"/>
      <c r="AA260" s="27"/>
      <c r="AB260" s="27"/>
      <c r="AC260" s="27"/>
    </row>
    <row r="261" spans="1:29">
      <c r="A261" s="358"/>
      <c r="B261" s="359"/>
      <c r="C261" s="360"/>
      <c r="D261" s="27"/>
      <c r="E261" s="27"/>
      <c r="F261" s="27"/>
      <c r="G261" s="27"/>
      <c r="H261" s="27"/>
      <c r="I261" s="27"/>
      <c r="J261" s="27"/>
      <c r="K261" s="27"/>
      <c r="L261" s="27"/>
      <c r="M261" s="27"/>
      <c r="N261" s="27"/>
      <c r="O261" s="27"/>
      <c r="P261" s="27"/>
      <c r="Q261" s="27"/>
      <c r="R261" s="27"/>
      <c r="S261" s="27"/>
      <c r="T261" s="27"/>
      <c r="U261" s="27"/>
      <c r="V261" s="27"/>
      <c r="W261" s="27"/>
      <c r="X261" s="27"/>
      <c r="Y261" s="27"/>
      <c r="Z261" s="27"/>
      <c r="AA261" s="27"/>
      <c r="AB261" s="27"/>
      <c r="AC261" s="27"/>
    </row>
    <row r="262" spans="1:29">
      <c r="A262" s="358"/>
      <c r="B262" s="359"/>
      <c r="C262" s="360"/>
      <c r="D262" s="27"/>
      <c r="E262" s="27"/>
      <c r="F262" s="27"/>
      <c r="G262" s="27"/>
      <c r="H262" s="27"/>
      <c r="I262" s="27"/>
      <c r="J262" s="27"/>
      <c r="K262" s="27"/>
      <c r="L262" s="27"/>
      <c r="M262" s="27"/>
      <c r="N262" s="27"/>
      <c r="O262" s="27"/>
      <c r="P262" s="27"/>
      <c r="Q262" s="27"/>
      <c r="R262" s="27"/>
      <c r="S262" s="27"/>
      <c r="T262" s="27"/>
      <c r="U262" s="27"/>
      <c r="V262" s="27"/>
      <c r="W262" s="27"/>
      <c r="X262" s="27"/>
      <c r="Y262" s="27"/>
      <c r="Z262" s="27"/>
      <c r="AA262" s="27"/>
      <c r="AB262" s="27"/>
      <c r="AC262" s="27"/>
    </row>
    <row r="263" spans="1:29">
      <c r="A263" s="358"/>
      <c r="B263" s="359"/>
      <c r="C263" s="360"/>
      <c r="D263" s="27"/>
      <c r="E263" s="27"/>
      <c r="F263" s="27"/>
      <c r="G263" s="27"/>
      <c r="H263" s="27"/>
      <c r="I263" s="27"/>
      <c r="J263" s="27"/>
      <c r="K263" s="27"/>
      <c r="L263" s="27"/>
      <c r="M263" s="27"/>
      <c r="N263" s="27"/>
      <c r="O263" s="27"/>
      <c r="P263" s="27"/>
      <c r="Q263" s="27"/>
      <c r="R263" s="27"/>
      <c r="S263" s="27"/>
      <c r="T263" s="27"/>
      <c r="U263" s="27"/>
      <c r="V263" s="27"/>
      <c r="W263" s="27"/>
      <c r="X263" s="27"/>
      <c r="Y263" s="27"/>
      <c r="Z263" s="27"/>
      <c r="AA263" s="27"/>
      <c r="AB263" s="27"/>
      <c r="AC263" s="27"/>
    </row>
    <row r="264" spans="1:29">
      <c r="A264" s="358"/>
      <c r="B264" s="359"/>
      <c r="C264" s="360"/>
      <c r="D264" s="27"/>
      <c r="E264" s="27"/>
      <c r="F264" s="27"/>
      <c r="G264" s="27"/>
      <c r="H264" s="27"/>
      <c r="I264" s="27"/>
      <c r="J264" s="27"/>
      <c r="K264" s="27"/>
      <c r="L264" s="27"/>
      <c r="M264" s="27"/>
      <c r="N264" s="27"/>
      <c r="O264" s="27"/>
      <c r="P264" s="27"/>
      <c r="Q264" s="27"/>
      <c r="R264" s="27"/>
      <c r="S264" s="27"/>
      <c r="T264" s="27"/>
      <c r="U264" s="27"/>
      <c r="V264" s="27"/>
      <c r="W264" s="27"/>
      <c r="X264" s="27"/>
      <c r="Y264" s="27"/>
      <c r="Z264" s="27"/>
      <c r="AA264" s="27"/>
      <c r="AB264" s="27"/>
      <c r="AC264" s="27"/>
    </row>
    <row r="265" spans="1:29">
      <c r="A265" s="358"/>
      <c r="B265" s="359"/>
      <c r="C265" s="360"/>
      <c r="D265" s="27"/>
      <c r="E265" s="27"/>
      <c r="F265" s="27"/>
      <c r="G265" s="27"/>
      <c r="H265" s="27"/>
      <c r="I265" s="27"/>
      <c r="J265" s="27"/>
      <c r="K265" s="27"/>
      <c r="L265" s="27"/>
      <c r="M265" s="27"/>
      <c r="N265" s="27"/>
      <c r="O265" s="27"/>
      <c r="P265" s="27"/>
      <c r="Q265" s="27"/>
      <c r="R265" s="27"/>
      <c r="S265" s="27"/>
      <c r="T265" s="27"/>
      <c r="U265" s="27"/>
      <c r="V265" s="27"/>
      <c r="W265" s="27"/>
      <c r="X265" s="27"/>
      <c r="Y265" s="27"/>
      <c r="Z265" s="27"/>
      <c r="AA265" s="27"/>
      <c r="AB265" s="27"/>
      <c r="AC265" s="27"/>
    </row>
    <row r="266" spans="1:29">
      <c r="A266" s="358"/>
      <c r="B266" s="359"/>
      <c r="C266" s="360"/>
      <c r="D266" s="27"/>
      <c r="E266" s="27"/>
      <c r="F266" s="27"/>
      <c r="G266" s="27"/>
      <c r="H266" s="27"/>
      <c r="I266" s="27"/>
      <c r="J266" s="27"/>
      <c r="K266" s="27"/>
      <c r="L266" s="27"/>
      <c r="M266" s="27"/>
      <c r="N266" s="27"/>
      <c r="O266" s="27"/>
      <c r="P266" s="27"/>
      <c r="Q266" s="27"/>
      <c r="R266" s="27"/>
      <c r="S266" s="27"/>
      <c r="T266" s="27"/>
      <c r="U266" s="27"/>
      <c r="V266" s="27"/>
      <c r="W266" s="27"/>
      <c r="X266" s="27"/>
      <c r="Y266" s="27"/>
      <c r="Z266" s="27"/>
      <c r="AA266" s="27"/>
      <c r="AB266" s="27"/>
      <c r="AC266" s="27"/>
    </row>
    <row r="267" spans="1:29">
      <c r="A267" s="358"/>
      <c r="B267" s="359"/>
      <c r="C267" s="360"/>
      <c r="D267" s="27"/>
      <c r="E267" s="27"/>
      <c r="F267" s="27"/>
      <c r="G267" s="27"/>
      <c r="H267" s="27"/>
      <c r="I267" s="27"/>
      <c r="J267" s="27"/>
      <c r="K267" s="27"/>
      <c r="L267" s="27"/>
      <c r="M267" s="27"/>
      <c r="N267" s="27"/>
      <c r="O267" s="27"/>
      <c r="P267" s="27"/>
      <c r="Q267" s="27"/>
      <c r="R267" s="27"/>
      <c r="S267" s="27"/>
      <c r="T267" s="27"/>
      <c r="U267" s="27"/>
      <c r="V267" s="27"/>
      <c r="W267" s="27"/>
      <c r="X267" s="27"/>
      <c r="Y267" s="27"/>
      <c r="Z267" s="27"/>
      <c r="AA267" s="27"/>
      <c r="AB267" s="27"/>
      <c r="AC267" s="27"/>
    </row>
    <row r="268" spans="1:29">
      <c r="A268" s="358"/>
      <c r="B268" s="359"/>
      <c r="C268" s="360"/>
      <c r="D268" s="27"/>
      <c r="E268" s="27"/>
      <c r="F268" s="27"/>
      <c r="G268" s="27"/>
      <c r="H268" s="27"/>
      <c r="I268" s="27"/>
      <c r="J268" s="27"/>
      <c r="K268" s="27"/>
      <c r="L268" s="27"/>
      <c r="M268" s="27"/>
      <c r="N268" s="27"/>
      <c r="O268" s="27"/>
      <c r="P268" s="27"/>
      <c r="Q268" s="27"/>
      <c r="R268" s="27"/>
      <c r="S268" s="27"/>
      <c r="T268" s="27"/>
      <c r="U268" s="27"/>
      <c r="V268" s="27"/>
      <c r="W268" s="27"/>
      <c r="X268" s="27"/>
      <c r="Y268" s="27"/>
      <c r="Z268" s="27"/>
      <c r="AA268" s="27"/>
      <c r="AB268" s="27"/>
      <c r="AC268" s="27"/>
    </row>
    <row r="269" spans="1:29">
      <c r="A269" s="358"/>
      <c r="B269" s="359"/>
      <c r="C269" s="360"/>
      <c r="D269" s="27"/>
      <c r="E269" s="27"/>
      <c r="F269" s="27"/>
      <c r="G269" s="27"/>
      <c r="H269" s="27"/>
      <c r="I269" s="27"/>
      <c r="J269" s="27"/>
      <c r="K269" s="27"/>
      <c r="L269" s="27"/>
      <c r="M269" s="27"/>
      <c r="N269" s="27"/>
      <c r="O269" s="27"/>
      <c r="P269" s="27"/>
      <c r="Q269" s="27"/>
      <c r="R269" s="27"/>
      <c r="S269" s="27"/>
      <c r="T269" s="27"/>
      <c r="U269" s="27"/>
      <c r="V269" s="27"/>
      <c r="W269" s="27"/>
      <c r="X269" s="27"/>
      <c r="Y269" s="27"/>
      <c r="Z269" s="27"/>
      <c r="AA269" s="27"/>
      <c r="AB269" s="27"/>
      <c r="AC269" s="27"/>
    </row>
    <row r="270" spans="1:29">
      <c r="A270" s="358"/>
      <c r="B270" s="359"/>
      <c r="C270" s="360"/>
      <c r="D270" s="27"/>
      <c r="E270" s="27"/>
      <c r="F270" s="27"/>
      <c r="G270" s="27"/>
      <c r="H270" s="27"/>
      <c r="I270" s="27"/>
      <c r="J270" s="27"/>
      <c r="K270" s="27"/>
      <c r="L270" s="27"/>
      <c r="M270" s="27"/>
      <c r="N270" s="27"/>
      <c r="O270" s="27"/>
      <c r="P270" s="27"/>
      <c r="Q270" s="27"/>
      <c r="R270" s="27"/>
      <c r="S270" s="27"/>
      <c r="T270" s="27"/>
      <c r="U270" s="27"/>
      <c r="V270" s="27"/>
      <c r="W270" s="27"/>
      <c r="X270" s="27"/>
      <c r="Y270" s="27"/>
      <c r="Z270" s="27"/>
      <c r="AA270" s="27"/>
      <c r="AB270" s="27"/>
      <c r="AC270" s="27"/>
    </row>
    <row r="271" spans="1:29">
      <c r="A271" s="358"/>
      <c r="B271" s="359"/>
      <c r="C271" s="360"/>
      <c r="D271" s="27"/>
      <c r="E271" s="27"/>
      <c r="F271" s="27"/>
      <c r="G271" s="27"/>
      <c r="H271" s="27"/>
      <c r="I271" s="27"/>
      <c r="J271" s="27"/>
      <c r="K271" s="27"/>
      <c r="L271" s="27"/>
      <c r="M271" s="27"/>
      <c r="N271" s="27"/>
      <c r="O271" s="27"/>
      <c r="P271" s="27"/>
      <c r="Q271" s="27"/>
      <c r="R271" s="27"/>
      <c r="S271" s="27"/>
      <c r="T271" s="27"/>
      <c r="U271" s="27"/>
      <c r="V271" s="27"/>
      <c r="W271" s="27"/>
      <c r="X271" s="27"/>
      <c r="Y271" s="27"/>
      <c r="Z271" s="27"/>
      <c r="AA271" s="27"/>
      <c r="AB271" s="27"/>
      <c r="AC271" s="27"/>
    </row>
    <row r="272" spans="1:29">
      <c r="A272" s="358"/>
      <c r="B272" s="359"/>
      <c r="C272" s="360"/>
      <c r="D272" s="27"/>
      <c r="E272" s="27"/>
      <c r="F272" s="27"/>
      <c r="G272" s="27"/>
      <c r="H272" s="27"/>
      <c r="I272" s="27"/>
      <c r="J272" s="27"/>
      <c r="K272" s="27"/>
      <c r="L272" s="27"/>
      <c r="M272" s="27"/>
      <c r="N272" s="27"/>
      <c r="O272" s="27"/>
      <c r="P272" s="27"/>
      <c r="Q272" s="27"/>
      <c r="R272" s="27"/>
      <c r="S272" s="27"/>
      <c r="T272" s="27"/>
      <c r="U272" s="27"/>
      <c r="V272" s="27"/>
      <c r="W272" s="27"/>
      <c r="X272" s="27"/>
      <c r="Y272" s="27"/>
      <c r="Z272" s="27"/>
      <c r="AA272" s="27"/>
      <c r="AB272" s="27"/>
      <c r="AC272" s="27"/>
    </row>
    <row r="273" spans="1:29">
      <c r="A273" s="358"/>
      <c r="B273" s="359"/>
      <c r="C273" s="360"/>
      <c r="D273" s="27"/>
      <c r="E273" s="27"/>
      <c r="F273" s="27"/>
      <c r="G273" s="27"/>
      <c r="H273" s="27"/>
      <c r="I273" s="27"/>
      <c r="J273" s="27"/>
      <c r="K273" s="27"/>
      <c r="L273" s="27"/>
      <c r="M273" s="27"/>
      <c r="N273" s="27"/>
      <c r="O273" s="27"/>
      <c r="P273" s="27"/>
      <c r="Q273" s="27"/>
      <c r="R273" s="27"/>
      <c r="S273" s="27"/>
      <c r="T273" s="27"/>
      <c r="U273" s="27"/>
      <c r="V273" s="27"/>
      <c r="W273" s="27"/>
      <c r="X273" s="27"/>
      <c r="Y273" s="27"/>
      <c r="Z273" s="27"/>
      <c r="AA273" s="27"/>
      <c r="AB273" s="27"/>
      <c r="AC273" s="27"/>
    </row>
    <row r="274" spans="1:29">
      <c r="A274" s="358"/>
      <c r="B274" s="359"/>
      <c r="C274" s="360"/>
      <c r="D274" s="27"/>
      <c r="E274" s="27"/>
      <c r="F274" s="27"/>
      <c r="G274" s="27"/>
      <c r="H274" s="27"/>
      <c r="I274" s="27"/>
      <c r="J274" s="27"/>
      <c r="K274" s="27"/>
      <c r="L274" s="27"/>
      <c r="M274" s="27"/>
      <c r="N274" s="27"/>
      <c r="O274" s="27"/>
      <c r="P274" s="27"/>
      <c r="Q274" s="27"/>
      <c r="R274" s="27"/>
      <c r="S274" s="27"/>
      <c r="T274" s="27"/>
      <c r="U274" s="27"/>
      <c r="V274" s="27"/>
      <c r="W274" s="27"/>
      <c r="X274" s="27"/>
      <c r="Y274" s="27"/>
      <c r="Z274" s="27"/>
      <c r="AA274" s="27"/>
      <c r="AB274" s="27"/>
      <c r="AC274" s="27"/>
    </row>
    <row r="275" spans="1:29">
      <c r="A275" s="358"/>
      <c r="B275" s="359"/>
      <c r="C275" s="360"/>
      <c r="D275" s="27"/>
      <c r="E275" s="27"/>
      <c r="F275" s="27"/>
      <c r="G275" s="27"/>
      <c r="H275" s="27"/>
      <c r="I275" s="27"/>
      <c r="J275" s="27"/>
      <c r="K275" s="27"/>
      <c r="L275" s="27"/>
      <c r="M275" s="27"/>
      <c r="N275" s="27"/>
      <c r="O275" s="27"/>
      <c r="P275" s="27"/>
      <c r="Q275" s="27"/>
      <c r="R275" s="27"/>
      <c r="S275" s="27"/>
      <c r="T275" s="27"/>
      <c r="U275" s="27"/>
      <c r="V275" s="27"/>
      <c r="W275" s="27"/>
      <c r="X275" s="27"/>
      <c r="Y275" s="27"/>
      <c r="Z275" s="27"/>
      <c r="AA275" s="27"/>
      <c r="AB275" s="27"/>
      <c r="AC275" s="27"/>
    </row>
    <row r="276" spans="1:29">
      <c r="A276" s="358"/>
      <c r="B276" s="359"/>
      <c r="C276" s="360"/>
      <c r="D276" s="27"/>
      <c r="E276" s="27"/>
      <c r="F276" s="27"/>
      <c r="G276" s="27"/>
      <c r="H276" s="27"/>
      <c r="I276" s="27"/>
      <c r="J276" s="27"/>
      <c r="K276" s="27"/>
      <c r="L276" s="27"/>
      <c r="M276" s="27"/>
      <c r="N276" s="27"/>
      <c r="O276" s="27"/>
      <c r="P276" s="27"/>
      <c r="Q276" s="27"/>
      <c r="R276" s="27"/>
      <c r="S276" s="27"/>
      <c r="T276" s="27"/>
      <c r="U276" s="27"/>
      <c r="V276" s="27"/>
      <c r="W276" s="27"/>
      <c r="X276" s="27"/>
      <c r="Y276" s="27"/>
      <c r="Z276" s="27"/>
      <c r="AA276" s="27"/>
      <c r="AB276" s="27"/>
      <c r="AC276" s="27"/>
    </row>
    <row r="277" spans="1:29">
      <c r="A277" s="358"/>
      <c r="B277" s="359"/>
      <c r="C277" s="360"/>
      <c r="D277" s="27"/>
      <c r="E277" s="27"/>
      <c r="F277" s="27"/>
      <c r="G277" s="27"/>
      <c r="H277" s="27"/>
      <c r="I277" s="27"/>
      <c r="J277" s="27"/>
      <c r="K277" s="27"/>
      <c r="L277" s="27"/>
      <c r="M277" s="27"/>
      <c r="N277" s="27"/>
      <c r="O277" s="27"/>
      <c r="P277" s="27"/>
      <c r="Q277" s="27"/>
      <c r="R277" s="27"/>
      <c r="S277" s="27"/>
      <c r="T277" s="27"/>
      <c r="U277" s="27"/>
      <c r="V277" s="27"/>
      <c r="W277" s="27"/>
      <c r="X277" s="27"/>
      <c r="Y277" s="27"/>
      <c r="Z277" s="27"/>
      <c r="AA277" s="27"/>
      <c r="AB277" s="27"/>
      <c r="AC277" s="27"/>
    </row>
    <row r="278" spans="1:29">
      <c r="A278" s="358"/>
      <c r="B278" s="359"/>
      <c r="C278" s="360"/>
      <c r="D278" s="27"/>
      <c r="E278" s="27"/>
      <c r="F278" s="27"/>
      <c r="G278" s="27"/>
      <c r="H278" s="27"/>
      <c r="I278" s="27"/>
      <c r="J278" s="27"/>
      <c r="K278" s="27"/>
      <c r="L278" s="27"/>
      <c r="M278" s="27"/>
      <c r="N278" s="27"/>
      <c r="O278" s="27"/>
      <c r="P278" s="27"/>
      <c r="Q278" s="27"/>
      <c r="R278" s="27"/>
      <c r="S278" s="27"/>
      <c r="T278" s="27"/>
      <c r="U278" s="27"/>
      <c r="V278" s="27"/>
      <c r="W278" s="27"/>
      <c r="X278" s="27"/>
      <c r="Y278" s="27"/>
      <c r="Z278" s="27"/>
      <c r="AA278" s="27"/>
      <c r="AB278" s="27"/>
      <c r="AC278" s="27"/>
    </row>
    <row r="279" spans="1:29">
      <c r="A279" s="358"/>
      <c r="B279" s="359"/>
      <c r="C279" s="360"/>
      <c r="D279" s="27"/>
      <c r="E279" s="27"/>
      <c r="F279" s="27"/>
      <c r="G279" s="27"/>
      <c r="H279" s="27"/>
      <c r="I279" s="27"/>
      <c r="J279" s="27"/>
      <c r="K279" s="27"/>
      <c r="L279" s="27"/>
      <c r="M279" s="27"/>
      <c r="N279" s="27"/>
      <c r="O279" s="27"/>
      <c r="P279" s="27"/>
      <c r="Q279" s="27"/>
      <c r="R279" s="27"/>
      <c r="S279" s="27"/>
      <c r="T279" s="27"/>
      <c r="U279" s="27"/>
      <c r="V279" s="27"/>
      <c r="W279" s="27"/>
      <c r="X279" s="27"/>
      <c r="Y279" s="27"/>
      <c r="Z279" s="27"/>
      <c r="AA279" s="27"/>
      <c r="AB279" s="27"/>
      <c r="AC279" s="27"/>
    </row>
    <row r="280" spans="1:29">
      <c r="A280" s="358"/>
      <c r="B280" s="359"/>
      <c r="C280" s="360"/>
      <c r="D280" s="27"/>
      <c r="E280" s="27"/>
      <c r="F280" s="27"/>
      <c r="G280" s="27"/>
      <c r="H280" s="27"/>
      <c r="I280" s="27"/>
      <c r="J280" s="27"/>
      <c r="K280" s="27"/>
      <c r="L280" s="27"/>
      <c r="M280" s="27"/>
      <c r="N280" s="27"/>
      <c r="O280" s="27"/>
      <c r="P280" s="27"/>
      <c r="Q280" s="27"/>
      <c r="R280" s="27"/>
      <c r="S280" s="27"/>
      <c r="T280" s="27"/>
      <c r="U280" s="27"/>
      <c r="V280" s="27"/>
      <c r="W280" s="27"/>
      <c r="X280" s="27"/>
      <c r="Y280" s="27"/>
      <c r="Z280" s="27"/>
      <c r="AA280" s="27"/>
      <c r="AB280" s="27"/>
      <c r="AC280" s="27"/>
    </row>
    <row r="281" spans="1:29">
      <c r="A281" s="358"/>
      <c r="B281" s="359"/>
      <c r="C281" s="360"/>
      <c r="D281" s="27"/>
      <c r="E281" s="27"/>
      <c r="F281" s="27"/>
      <c r="G281" s="27"/>
      <c r="H281" s="27"/>
      <c r="I281" s="27"/>
      <c r="J281" s="27"/>
      <c r="K281" s="27"/>
      <c r="L281" s="27"/>
      <c r="M281" s="27"/>
      <c r="N281" s="27"/>
      <c r="O281" s="27"/>
      <c r="P281" s="27"/>
      <c r="Q281" s="27"/>
      <c r="R281" s="27"/>
      <c r="S281" s="27"/>
      <c r="T281" s="27"/>
      <c r="U281" s="27"/>
      <c r="V281" s="27"/>
      <c r="W281" s="27"/>
      <c r="X281" s="27"/>
      <c r="Y281" s="27"/>
      <c r="Z281" s="27"/>
      <c r="AA281" s="27"/>
      <c r="AB281" s="27"/>
      <c r="AC281" s="27"/>
    </row>
    <row r="282" spans="1:29">
      <c r="A282" s="358"/>
      <c r="B282" s="359"/>
      <c r="C282" s="360"/>
      <c r="D282" s="27"/>
      <c r="E282" s="27"/>
      <c r="F282" s="27"/>
      <c r="G282" s="27"/>
      <c r="H282" s="27"/>
      <c r="I282" s="27"/>
      <c r="J282" s="27"/>
      <c r="K282" s="27"/>
      <c r="L282" s="27"/>
      <c r="M282" s="27"/>
      <c r="N282" s="27"/>
      <c r="O282" s="27"/>
      <c r="P282" s="27"/>
      <c r="Q282" s="27"/>
      <c r="R282" s="27"/>
      <c r="S282" s="27"/>
      <c r="T282" s="27"/>
      <c r="U282" s="27"/>
      <c r="V282" s="27"/>
      <c r="W282" s="27"/>
      <c r="X282" s="27"/>
      <c r="Y282" s="27"/>
      <c r="Z282" s="27"/>
      <c r="AA282" s="27"/>
      <c r="AB282" s="27"/>
      <c r="AC282" s="27"/>
    </row>
    <row r="283" spans="1:29">
      <c r="A283" s="358"/>
      <c r="B283" s="359"/>
      <c r="C283" s="360"/>
      <c r="D283" s="27"/>
      <c r="E283" s="27"/>
      <c r="F283" s="27"/>
      <c r="G283" s="27"/>
      <c r="H283" s="27"/>
      <c r="I283" s="27"/>
      <c r="J283" s="27"/>
      <c r="K283" s="27"/>
      <c r="L283" s="27"/>
      <c r="M283" s="27"/>
      <c r="N283" s="27"/>
      <c r="O283" s="27"/>
      <c r="P283" s="27"/>
      <c r="Q283" s="27"/>
      <c r="R283" s="27"/>
      <c r="S283" s="27"/>
      <c r="T283" s="27"/>
      <c r="U283" s="27"/>
      <c r="V283" s="27"/>
      <c r="W283" s="27"/>
      <c r="X283" s="27"/>
      <c r="Y283" s="27"/>
      <c r="Z283" s="27"/>
      <c r="AA283" s="27"/>
      <c r="AB283" s="27"/>
      <c r="AC283" s="27"/>
    </row>
    <row r="284" spans="1:29">
      <c r="A284" s="358"/>
      <c r="B284" s="359"/>
      <c r="C284" s="360"/>
      <c r="D284" s="27"/>
      <c r="E284" s="27"/>
      <c r="F284" s="27"/>
      <c r="G284" s="27"/>
      <c r="H284" s="27"/>
      <c r="I284" s="27"/>
      <c r="J284" s="27"/>
      <c r="K284" s="27"/>
      <c r="L284" s="27"/>
      <c r="M284" s="27"/>
      <c r="N284" s="27"/>
      <c r="O284" s="27"/>
      <c r="P284" s="27"/>
      <c r="Q284" s="27"/>
      <c r="R284" s="27"/>
      <c r="S284" s="27"/>
      <c r="T284" s="27"/>
      <c r="U284" s="27"/>
      <c r="V284" s="27"/>
      <c r="W284" s="27"/>
      <c r="X284" s="27"/>
      <c r="Y284" s="27"/>
      <c r="Z284" s="27"/>
      <c r="AA284" s="27"/>
      <c r="AB284" s="27"/>
      <c r="AC284" s="27"/>
    </row>
    <row r="285" spans="1:29">
      <c r="A285" s="358"/>
      <c r="B285" s="359"/>
      <c r="C285" s="360"/>
      <c r="D285" s="27"/>
      <c r="E285" s="27"/>
      <c r="F285" s="27"/>
      <c r="G285" s="27"/>
      <c r="H285" s="27"/>
      <c r="I285" s="27"/>
      <c r="J285" s="27"/>
      <c r="K285" s="27"/>
      <c r="L285" s="27"/>
      <c r="M285" s="27"/>
      <c r="N285" s="27"/>
      <c r="O285" s="27"/>
      <c r="P285" s="27"/>
      <c r="Q285" s="27"/>
      <c r="R285" s="27"/>
      <c r="S285" s="27"/>
      <c r="T285" s="27"/>
      <c r="U285" s="27"/>
      <c r="V285" s="27"/>
      <c r="W285" s="27"/>
      <c r="X285" s="27"/>
      <c r="Y285" s="27"/>
      <c r="Z285" s="27"/>
      <c r="AA285" s="27"/>
      <c r="AB285" s="27"/>
      <c r="AC285" s="27"/>
    </row>
    <row r="286" spans="1:29">
      <c r="A286" s="358"/>
      <c r="B286" s="359"/>
      <c r="C286" s="360"/>
      <c r="D286" s="27"/>
      <c r="E286" s="27"/>
      <c r="F286" s="27"/>
      <c r="G286" s="27"/>
      <c r="H286" s="27"/>
      <c r="I286" s="27"/>
      <c r="J286" s="27"/>
      <c r="K286" s="27"/>
      <c r="L286" s="27"/>
      <c r="M286" s="27"/>
      <c r="N286" s="27"/>
      <c r="O286" s="27"/>
      <c r="P286" s="27"/>
      <c r="Q286" s="27"/>
      <c r="R286" s="27"/>
      <c r="S286" s="27"/>
      <c r="T286" s="27"/>
      <c r="U286" s="27"/>
      <c r="V286" s="27"/>
      <c r="W286" s="27"/>
      <c r="X286" s="27"/>
      <c r="Y286" s="27"/>
      <c r="Z286" s="27"/>
      <c r="AA286" s="27"/>
      <c r="AB286" s="27"/>
      <c r="AC286" s="27"/>
    </row>
    <row r="287" spans="1:29">
      <c r="A287" s="358"/>
      <c r="B287" s="359"/>
      <c r="C287" s="360"/>
      <c r="D287" s="27"/>
      <c r="E287" s="27"/>
      <c r="F287" s="27"/>
      <c r="G287" s="27"/>
      <c r="H287" s="27"/>
      <c r="I287" s="27"/>
      <c r="J287" s="27"/>
      <c r="K287" s="27"/>
      <c r="L287" s="27"/>
      <c r="M287" s="27"/>
      <c r="N287" s="27"/>
      <c r="O287" s="27"/>
      <c r="P287" s="27"/>
      <c r="Q287" s="27"/>
      <c r="R287" s="27"/>
      <c r="S287" s="27"/>
      <c r="T287" s="27"/>
      <c r="U287" s="27"/>
      <c r="V287" s="27"/>
      <c r="W287" s="27"/>
      <c r="X287" s="27"/>
      <c r="Y287" s="27"/>
      <c r="Z287" s="27"/>
      <c r="AA287" s="27"/>
      <c r="AB287" s="27"/>
      <c r="AC287" s="27"/>
    </row>
    <row r="288" spans="1:29">
      <c r="A288" s="358"/>
      <c r="B288" s="359"/>
      <c r="C288" s="360"/>
      <c r="D288" s="27"/>
      <c r="E288" s="27"/>
      <c r="F288" s="27"/>
      <c r="G288" s="27"/>
      <c r="H288" s="27"/>
      <c r="I288" s="27"/>
      <c r="J288" s="27"/>
      <c r="K288" s="27"/>
      <c r="L288" s="27"/>
      <c r="M288" s="27"/>
      <c r="N288" s="27"/>
      <c r="O288" s="27"/>
      <c r="P288" s="27"/>
      <c r="Q288" s="27"/>
      <c r="R288" s="27"/>
      <c r="S288" s="27"/>
      <c r="T288" s="27"/>
      <c r="U288" s="27"/>
      <c r="V288" s="27"/>
      <c r="W288" s="27"/>
      <c r="X288" s="27"/>
      <c r="Y288" s="27"/>
      <c r="Z288" s="27"/>
      <c r="AA288" s="27"/>
      <c r="AB288" s="27"/>
      <c r="AC288" s="27"/>
    </row>
    <row r="289" spans="1:29">
      <c r="A289" s="358"/>
      <c r="B289" s="359"/>
      <c r="C289" s="360"/>
      <c r="D289" s="27"/>
      <c r="E289" s="27"/>
      <c r="F289" s="27"/>
      <c r="G289" s="27"/>
      <c r="H289" s="27"/>
      <c r="I289" s="27"/>
      <c r="J289" s="27"/>
      <c r="K289" s="27"/>
      <c r="L289" s="27"/>
      <c r="M289" s="27"/>
      <c r="N289" s="27"/>
      <c r="O289" s="27"/>
      <c r="P289" s="27"/>
      <c r="Q289" s="27"/>
      <c r="R289" s="27"/>
      <c r="S289" s="27"/>
      <c r="T289" s="27"/>
      <c r="U289" s="27"/>
      <c r="V289" s="27"/>
      <c r="W289" s="27"/>
      <c r="X289" s="27"/>
      <c r="Y289" s="27"/>
      <c r="Z289" s="27"/>
      <c r="AA289" s="27"/>
      <c r="AB289" s="27"/>
      <c r="AC289" s="27"/>
    </row>
    <row r="290" spans="1:29">
      <c r="A290" s="358"/>
      <c r="B290" s="359"/>
      <c r="C290" s="360"/>
      <c r="D290" s="27"/>
      <c r="E290" s="27"/>
      <c r="F290" s="27"/>
      <c r="G290" s="27"/>
      <c r="H290" s="27"/>
      <c r="I290" s="27"/>
      <c r="J290" s="27"/>
      <c r="K290" s="27"/>
      <c r="L290" s="27"/>
      <c r="M290" s="27"/>
      <c r="N290" s="27"/>
      <c r="O290" s="27"/>
      <c r="P290" s="27"/>
      <c r="Q290" s="27"/>
      <c r="R290" s="27"/>
      <c r="S290" s="27"/>
      <c r="T290" s="27"/>
      <c r="U290" s="27"/>
      <c r="V290" s="27"/>
      <c r="W290" s="27"/>
      <c r="X290" s="27"/>
      <c r="Y290" s="27"/>
      <c r="Z290" s="27"/>
      <c r="AA290" s="27"/>
      <c r="AB290" s="27"/>
      <c r="AC290" s="27"/>
    </row>
    <row r="291" spans="1:29">
      <c r="A291" s="358"/>
      <c r="B291" s="359"/>
      <c r="C291" s="360"/>
      <c r="D291" s="27"/>
      <c r="E291" s="27"/>
      <c r="F291" s="27"/>
      <c r="G291" s="27"/>
      <c r="H291" s="27"/>
      <c r="I291" s="27"/>
      <c r="J291" s="27"/>
      <c r="K291" s="27"/>
      <c r="L291" s="27"/>
      <c r="M291" s="27"/>
      <c r="N291" s="27"/>
      <c r="O291" s="27"/>
      <c r="P291" s="27"/>
      <c r="Q291" s="27"/>
      <c r="R291" s="27"/>
      <c r="S291" s="27"/>
      <c r="T291" s="27"/>
      <c r="U291" s="27"/>
      <c r="V291" s="27"/>
      <c r="W291" s="27"/>
      <c r="X291" s="27"/>
      <c r="Y291" s="27"/>
      <c r="Z291" s="27"/>
      <c r="AA291" s="27"/>
      <c r="AB291" s="27"/>
      <c r="AC291" s="27"/>
    </row>
    <row r="292" spans="1:29">
      <c r="A292" s="358"/>
      <c r="B292" s="359"/>
      <c r="C292" s="360"/>
      <c r="D292" s="27"/>
      <c r="E292" s="27"/>
      <c r="F292" s="27"/>
      <c r="G292" s="27"/>
      <c r="H292" s="27"/>
      <c r="I292" s="27"/>
      <c r="J292" s="27"/>
      <c r="K292" s="27"/>
      <c r="L292" s="27"/>
      <c r="M292" s="27"/>
      <c r="N292" s="27"/>
      <c r="O292" s="27"/>
      <c r="P292" s="27"/>
      <c r="Q292" s="27"/>
      <c r="R292" s="27"/>
      <c r="S292" s="27"/>
      <c r="T292" s="27"/>
      <c r="U292" s="27"/>
      <c r="V292" s="27"/>
      <c r="W292" s="27"/>
      <c r="X292" s="27"/>
      <c r="Y292" s="27"/>
      <c r="Z292" s="27"/>
      <c r="AA292" s="27"/>
      <c r="AB292" s="27"/>
      <c r="AC292" s="27"/>
    </row>
    <row r="293" spans="1:29">
      <c r="A293" s="358"/>
      <c r="B293" s="359"/>
      <c r="C293" s="360"/>
      <c r="D293" s="27"/>
      <c r="E293" s="27"/>
      <c r="F293" s="27"/>
      <c r="G293" s="27"/>
      <c r="H293" s="27"/>
      <c r="I293" s="27"/>
      <c r="J293" s="27"/>
      <c r="K293" s="27"/>
      <c r="L293" s="27"/>
      <c r="M293" s="27"/>
      <c r="N293" s="27"/>
      <c r="O293" s="27"/>
      <c r="P293" s="27"/>
      <c r="Q293" s="27"/>
      <c r="R293" s="27"/>
      <c r="S293" s="27"/>
      <c r="T293" s="27"/>
      <c r="U293" s="27"/>
      <c r="V293" s="27"/>
      <c r="W293" s="27"/>
      <c r="X293" s="27"/>
      <c r="Y293" s="27"/>
      <c r="Z293" s="27"/>
      <c r="AA293" s="27"/>
      <c r="AB293" s="27"/>
      <c r="AC293" s="27"/>
    </row>
    <row r="294" spans="1:29">
      <c r="A294" s="358"/>
      <c r="B294" s="359"/>
      <c r="C294" s="360"/>
      <c r="D294" s="27"/>
      <c r="E294" s="27"/>
      <c r="F294" s="27"/>
      <c r="G294" s="27"/>
      <c r="H294" s="27"/>
      <c r="I294" s="27"/>
      <c r="J294" s="27"/>
      <c r="K294" s="27"/>
      <c r="L294" s="27"/>
      <c r="M294" s="27"/>
      <c r="N294" s="27"/>
      <c r="O294" s="27"/>
      <c r="P294" s="27"/>
      <c r="Q294" s="27"/>
      <c r="R294" s="27"/>
      <c r="S294" s="27"/>
      <c r="T294" s="27"/>
      <c r="U294" s="27"/>
      <c r="V294" s="27"/>
      <c r="W294" s="27"/>
      <c r="X294" s="27"/>
      <c r="Y294" s="27"/>
      <c r="Z294" s="27"/>
      <c r="AA294" s="27"/>
      <c r="AB294" s="27"/>
      <c r="AC294" s="27"/>
    </row>
    <row r="295" spans="1:29">
      <c r="A295" s="358"/>
      <c r="B295" s="359"/>
      <c r="C295" s="360"/>
      <c r="D295" s="27"/>
      <c r="E295" s="27"/>
      <c r="F295" s="27"/>
      <c r="G295" s="27"/>
      <c r="H295" s="27"/>
      <c r="I295" s="27"/>
      <c r="J295" s="27"/>
      <c r="K295" s="27"/>
      <c r="L295" s="27"/>
      <c r="M295" s="27"/>
      <c r="N295" s="27"/>
      <c r="O295" s="27"/>
      <c r="P295" s="27"/>
      <c r="Q295" s="27"/>
      <c r="R295" s="27"/>
      <c r="S295" s="27"/>
      <c r="T295" s="27"/>
      <c r="U295" s="27"/>
      <c r="V295" s="27"/>
      <c r="W295" s="27"/>
      <c r="X295" s="27"/>
      <c r="Y295" s="27"/>
      <c r="Z295" s="27"/>
      <c r="AA295" s="27"/>
      <c r="AB295" s="27"/>
      <c r="AC295" s="27"/>
    </row>
    <row r="296" spans="1:29">
      <c r="A296" s="358"/>
      <c r="B296" s="359"/>
      <c r="C296" s="360"/>
      <c r="D296" s="27"/>
      <c r="E296" s="27"/>
      <c r="F296" s="27"/>
      <c r="G296" s="27"/>
      <c r="H296" s="27"/>
      <c r="I296" s="27"/>
      <c r="J296" s="27"/>
      <c r="K296" s="27"/>
      <c r="L296" s="27"/>
      <c r="M296" s="27"/>
      <c r="N296" s="27"/>
      <c r="O296" s="27"/>
      <c r="P296" s="27"/>
      <c r="Q296" s="27"/>
      <c r="R296" s="27"/>
      <c r="S296" s="27"/>
      <c r="T296" s="27"/>
      <c r="U296" s="27"/>
      <c r="V296" s="27"/>
      <c r="W296" s="27"/>
      <c r="X296" s="27"/>
      <c r="Y296" s="27"/>
      <c r="Z296" s="27"/>
      <c r="AA296" s="27"/>
      <c r="AB296" s="27"/>
      <c r="AC296" s="27"/>
    </row>
    <row r="297" spans="1:29">
      <c r="A297" s="358"/>
      <c r="B297" s="359"/>
      <c r="C297" s="360"/>
      <c r="D297" s="27"/>
      <c r="E297" s="27"/>
      <c r="F297" s="27"/>
      <c r="G297" s="27"/>
      <c r="H297" s="27"/>
      <c r="I297" s="27"/>
      <c r="J297" s="27"/>
      <c r="K297" s="27"/>
      <c r="L297" s="27"/>
      <c r="M297" s="27"/>
      <c r="N297" s="27"/>
      <c r="O297" s="27"/>
      <c r="P297" s="27"/>
      <c r="Q297" s="27"/>
      <c r="R297" s="27"/>
      <c r="S297" s="27"/>
      <c r="T297" s="27"/>
      <c r="U297" s="27"/>
      <c r="V297" s="27"/>
      <c r="W297" s="27"/>
      <c r="X297" s="27"/>
      <c r="Y297" s="27"/>
      <c r="Z297" s="27"/>
      <c r="AA297" s="27"/>
      <c r="AB297" s="27"/>
      <c r="AC297" s="27"/>
    </row>
    <row r="298" spans="1:29">
      <c r="A298" s="358"/>
      <c r="B298" s="359"/>
      <c r="C298" s="360"/>
      <c r="D298" s="27"/>
      <c r="E298" s="27"/>
      <c r="F298" s="27"/>
      <c r="G298" s="27"/>
      <c r="H298" s="27"/>
      <c r="I298" s="27"/>
      <c r="J298" s="27"/>
      <c r="K298" s="27"/>
      <c r="L298" s="27"/>
      <c r="M298" s="27"/>
      <c r="N298" s="27"/>
      <c r="O298" s="27"/>
      <c r="P298" s="27"/>
      <c r="Q298" s="27"/>
      <c r="R298" s="27"/>
      <c r="S298" s="27"/>
      <c r="T298" s="27"/>
      <c r="U298" s="27"/>
      <c r="V298" s="27"/>
      <c r="W298" s="27"/>
      <c r="X298" s="27"/>
      <c r="Y298" s="27"/>
      <c r="Z298" s="27"/>
      <c r="AA298" s="27"/>
      <c r="AB298" s="27"/>
      <c r="AC298" s="27"/>
    </row>
    <row r="299" spans="1:29">
      <c r="A299" s="358"/>
      <c r="B299" s="359"/>
      <c r="C299" s="360"/>
      <c r="D299" s="27"/>
      <c r="E299" s="27"/>
      <c r="F299" s="27"/>
      <c r="G299" s="27"/>
      <c r="H299" s="27"/>
      <c r="I299" s="27"/>
      <c r="J299" s="27"/>
      <c r="K299" s="27"/>
      <c r="L299" s="27"/>
      <c r="M299" s="27"/>
      <c r="N299" s="27"/>
      <c r="O299" s="27"/>
      <c r="P299" s="27"/>
      <c r="Q299" s="27"/>
      <c r="R299" s="27"/>
      <c r="S299" s="27"/>
      <c r="T299" s="27"/>
      <c r="U299" s="27"/>
      <c r="V299" s="27"/>
      <c r="W299" s="27"/>
      <c r="X299" s="27"/>
      <c r="Y299" s="27"/>
      <c r="Z299" s="27"/>
      <c r="AA299" s="27"/>
      <c r="AB299" s="27"/>
      <c r="AC299" s="27"/>
    </row>
    <row r="300" spans="1:29">
      <c r="A300" s="358"/>
      <c r="B300" s="359"/>
      <c r="C300" s="360"/>
      <c r="D300" s="27"/>
      <c r="E300" s="27"/>
      <c r="F300" s="27"/>
      <c r="G300" s="27"/>
      <c r="H300" s="27"/>
      <c r="I300" s="27"/>
      <c r="J300" s="27"/>
      <c r="K300" s="27"/>
      <c r="L300" s="27"/>
      <c r="M300" s="27"/>
      <c r="N300" s="27"/>
      <c r="O300" s="27"/>
      <c r="P300" s="27"/>
      <c r="Q300" s="27"/>
      <c r="R300" s="27"/>
      <c r="S300" s="27"/>
      <c r="T300" s="27"/>
      <c r="U300" s="27"/>
      <c r="V300" s="27"/>
      <c r="W300" s="27"/>
      <c r="X300" s="27"/>
      <c r="Y300" s="27"/>
      <c r="Z300" s="27"/>
      <c r="AA300" s="27"/>
      <c r="AB300" s="27"/>
      <c r="AC300" s="27"/>
    </row>
    <row r="301" spans="1:29">
      <c r="A301" s="358"/>
      <c r="B301" s="359"/>
      <c r="C301" s="360"/>
      <c r="D301" s="27"/>
      <c r="E301" s="27"/>
      <c r="F301" s="27"/>
      <c r="G301" s="27"/>
      <c r="H301" s="27"/>
      <c r="I301" s="27"/>
      <c r="J301" s="27"/>
      <c r="K301" s="27"/>
      <c r="L301" s="27"/>
      <c r="M301" s="27"/>
      <c r="N301" s="27"/>
      <c r="O301" s="27"/>
      <c r="P301" s="27"/>
      <c r="Q301" s="27"/>
      <c r="R301" s="27"/>
      <c r="S301" s="27"/>
      <c r="T301" s="27"/>
      <c r="U301" s="27"/>
      <c r="V301" s="27"/>
      <c r="W301" s="27"/>
      <c r="X301" s="27"/>
      <c r="Y301" s="27"/>
      <c r="Z301" s="27"/>
      <c r="AA301" s="27"/>
      <c r="AB301" s="27"/>
      <c r="AC301" s="27"/>
    </row>
    <row r="302" spans="1:29">
      <c r="A302" s="358"/>
      <c r="B302" s="359"/>
      <c r="C302" s="360"/>
      <c r="D302" s="27"/>
      <c r="E302" s="27"/>
      <c r="F302" s="27"/>
      <c r="G302" s="27"/>
      <c r="H302" s="27"/>
      <c r="I302" s="27"/>
      <c r="J302" s="27"/>
      <c r="K302" s="27"/>
      <c r="L302" s="27"/>
      <c r="M302" s="27"/>
      <c r="N302" s="27"/>
      <c r="O302" s="27"/>
      <c r="P302" s="27"/>
      <c r="Q302" s="27"/>
      <c r="R302" s="27"/>
      <c r="S302" s="27"/>
      <c r="T302" s="27"/>
      <c r="U302" s="27"/>
      <c r="V302" s="27"/>
      <c r="W302" s="27"/>
      <c r="X302" s="27"/>
      <c r="Y302" s="27"/>
      <c r="Z302" s="27"/>
      <c r="AA302" s="27"/>
      <c r="AB302" s="27"/>
      <c r="AC302" s="27"/>
    </row>
    <row r="303" spans="1:29">
      <c r="A303" s="358"/>
      <c r="B303" s="359"/>
      <c r="C303" s="360"/>
      <c r="D303" s="27"/>
      <c r="E303" s="27"/>
      <c r="F303" s="27"/>
      <c r="G303" s="27"/>
      <c r="H303" s="27"/>
      <c r="I303" s="27"/>
      <c r="J303" s="27"/>
      <c r="K303" s="27"/>
      <c r="L303" s="27"/>
      <c r="M303" s="27"/>
      <c r="N303" s="27"/>
      <c r="O303" s="27"/>
      <c r="P303" s="27"/>
      <c r="Q303" s="27"/>
      <c r="R303" s="27"/>
      <c r="S303" s="27"/>
      <c r="T303" s="27"/>
      <c r="U303" s="27"/>
      <c r="V303" s="27"/>
      <c r="W303" s="27"/>
      <c r="X303" s="27"/>
      <c r="Y303" s="27"/>
      <c r="Z303" s="27"/>
      <c r="AA303" s="27"/>
      <c r="AB303" s="27"/>
      <c r="AC303" s="27"/>
    </row>
    <row r="304" spans="1:29">
      <c r="A304" s="358"/>
      <c r="B304" s="359"/>
      <c r="C304" s="360"/>
      <c r="D304" s="27"/>
      <c r="E304" s="27"/>
      <c r="F304" s="27"/>
      <c r="G304" s="27"/>
      <c r="H304" s="27"/>
      <c r="I304" s="27"/>
      <c r="J304" s="27"/>
      <c r="K304" s="27"/>
      <c r="L304" s="27"/>
      <c r="M304" s="27"/>
      <c r="N304" s="27"/>
      <c r="O304" s="27"/>
      <c r="P304" s="27"/>
      <c r="Q304" s="27"/>
      <c r="R304" s="27"/>
      <c r="S304" s="27"/>
      <c r="T304" s="27"/>
      <c r="U304" s="27"/>
      <c r="V304" s="27"/>
      <c r="W304" s="27"/>
      <c r="X304" s="27"/>
      <c r="Y304" s="27"/>
      <c r="Z304" s="27"/>
      <c r="AA304" s="27"/>
      <c r="AB304" s="27"/>
      <c r="AC304" s="27"/>
    </row>
    <row r="305" spans="1:29">
      <c r="A305" s="358"/>
      <c r="B305" s="359"/>
      <c r="C305" s="360"/>
      <c r="D305" s="27"/>
      <c r="E305" s="27"/>
      <c r="F305" s="27"/>
      <c r="G305" s="27"/>
      <c r="H305" s="27"/>
      <c r="I305" s="27"/>
      <c r="J305" s="27"/>
      <c r="K305" s="27"/>
      <c r="L305" s="27"/>
      <c r="M305" s="27"/>
      <c r="N305" s="27"/>
      <c r="O305" s="27"/>
      <c r="P305" s="27"/>
      <c r="Q305" s="27"/>
      <c r="R305" s="27"/>
      <c r="S305" s="27"/>
      <c r="T305" s="27"/>
      <c r="U305" s="27"/>
      <c r="V305" s="27"/>
      <c r="W305" s="27"/>
      <c r="X305" s="27"/>
      <c r="Y305" s="27"/>
      <c r="Z305" s="27"/>
      <c r="AA305" s="27"/>
      <c r="AB305" s="27"/>
      <c r="AC305" s="27"/>
    </row>
    <row r="306" spans="1:29">
      <c r="A306" s="358"/>
      <c r="B306" s="359"/>
      <c r="C306" s="360"/>
      <c r="D306" s="27"/>
      <c r="E306" s="27"/>
      <c r="F306" s="27"/>
      <c r="G306" s="27"/>
      <c r="H306" s="27"/>
      <c r="I306" s="27"/>
      <c r="J306" s="27"/>
      <c r="K306" s="27"/>
      <c r="L306" s="27"/>
      <c r="M306" s="27"/>
      <c r="N306" s="27"/>
      <c r="O306" s="27"/>
      <c r="P306" s="27"/>
      <c r="Q306" s="27"/>
      <c r="R306" s="27"/>
      <c r="S306" s="27"/>
      <c r="T306" s="27"/>
      <c r="U306" s="27"/>
      <c r="V306" s="27"/>
      <c r="W306" s="27"/>
      <c r="X306" s="27"/>
      <c r="Y306" s="27"/>
      <c r="Z306" s="27"/>
      <c r="AA306" s="27"/>
      <c r="AB306" s="27"/>
      <c r="AC306" s="27"/>
    </row>
    <row r="307" spans="1:29">
      <c r="A307" s="358"/>
      <c r="B307" s="359"/>
      <c r="C307" s="360"/>
      <c r="D307" s="27"/>
      <c r="E307" s="27"/>
      <c r="F307" s="27"/>
      <c r="G307" s="27"/>
      <c r="H307" s="27"/>
      <c r="I307" s="27"/>
      <c r="J307" s="27"/>
      <c r="K307" s="27"/>
      <c r="L307" s="27"/>
      <c r="M307" s="27"/>
      <c r="N307" s="27"/>
      <c r="O307" s="27"/>
      <c r="P307" s="27"/>
      <c r="Q307" s="27"/>
      <c r="R307" s="27"/>
      <c r="S307" s="27"/>
      <c r="T307" s="27"/>
      <c r="U307" s="27"/>
      <c r="V307" s="27"/>
      <c r="W307" s="27"/>
      <c r="X307" s="27"/>
      <c r="Y307" s="27"/>
      <c r="Z307" s="27"/>
      <c r="AA307" s="27"/>
      <c r="AB307" s="27"/>
      <c r="AC307" s="27"/>
    </row>
    <row r="308" spans="1:29">
      <c r="A308" s="358"/>
      <c r="B308" s="359"/>
      <c r="C308" s="360"/>
      <c r="D308" s="27"/>
      <c r="E308" s="27"/>
      <c r="F308" s="27"/>
      <c r="G308" s="27"/>
      <c r="H308" s="27"/>
      <c r="I308" s="27"/>
      <c r="J308" s="27"/>
      <c r="K308" s="27"/>
      <c r="L308" s="27"/>
      <c r="M308" s="27"/>
      <c r="N308" s="27"/>
      <c r="O308" s="27"/>
      <c r="P308" s="27"/>
      <c r="Q308" s="27"/>
      <c r="R308" s="27"/>
      <c r="S308" s="27"/>
      <c r="T308" s="27"/>
      <c r="U308" s="27"/>
      <c r="V308" s="27"/>
      <c r="W308" s="27"/>
      <c r="X308" s="27"/>
      <c r="Y308" s="27"/>
      <c r="Z308" s="27"/>
      <c r="AA308" s="27"/>
      <c r="AB308" s="27"/>
      <c r="AC308" s="27"/>
    </row>
    <row r="309" spans="1:29">
      <c r="A309" s="358"/>
      <c r="B309" s="359"/>
      <c r="C309" s="360"/>
      <c r="D309" s="27"/>
      <c r="E309" s="27"/>
      <c r="F309" s="27"/>
      <c r="G309" s="27"/>
      <c r="H309" s="27"/>
      <c r="I309" s="27"/>
      <c r="J309" s="27"/>
      <c r="K309" s="27"/>
      <c r="L309" s="27"/>
      <c r="M309" s="27"/>
      <c r="N309" s="27"/>
      <c r="O309" s="27"/>
      <c r="P309" s="27"/>
      <c r="Q309" s="27"/>
      <c r="R309" s="27"/>
      <c r="S309" s="27"/>
      <c r="T309" s="27"/>
      <c r="U309" s="27"/>
      <c r="V309" s="27"/>
      <c r="W309" s="27"/>
      <c r="X309" s="27"/>
      <c r="Y309" s="27"/>
      <c r="Z309" s="27"/>
      <c r="AA309" s="27"/>
      <c r="AB309" s="27"/>
      <c r="AC309" s="27"/>
    </row>
    <row r="310" spans="1:29">
      <c r="A310" s="358"/>
      <c r="B310" s="359"/>
      <c r="C310" s="360"/>
      <c r="D310" s="27"/>
      <c r="E310" s="27"/>
      <c r="F310" s="27"/>
      <c r="G310" s="27"/>
      <c r="H310" s="27"/>
      <c r="I310" s="27"/>
      <c r="J310" s="27"/>
      <c r="K310" s="27"/>
      <c r="L310" s="27"/>
      <c r="M310" s="27"/>
      <c r="N310" s="27"/>
      <c r="O310" s="27"/>
      <c r="P310" s="27"/>
      <c r="Q310" s="27"/>
      <c r="R310" s="27"/>
      <c r="S310" s="27"/>
      <c r="T310" s="27"/>
      <c r="U310" s="27"/>
      <c r="V310" s="27"/>
      <c r="W310" s="27"/>
      <c r="X310" s="27"/>
      <c r="Y310" s="27"/>
      <c r="Z310" s="27"/>
      <c r="AA310" s="27"/>
      <c r="AB310" s="27"/>
      <c r="AC310" s="27"/>
    </row>
    <row r="311" spans="1:29">
      <c r="A311" s="358"/>
      <c r="B311" s="359"/>
      <c r="C311" s="360"/>
      <c r="D311" s="27"/>
      <c r="E311" s="27"/>
      <c r="F311" s="27"/>
      <c r="G311" s="27"/>
      <c r="H311" s="27"/>
      <c r="I311" s="27"/>
      <c r="J311" s="27"/>
      <c r="K311" s="27"/>
      <c r="L311" s="27"/>
      <c r="M311" s="27"/>
      <c r="N311" s="27"/>
      <c r="O311" s="27"/>
      <c r="P311" s="27"/>
      <c r="Q311" s="27"/>
      <c r="R311" s="27"/>
      <c r="S311" s="27"/>
      <c r="T311" s="27"/>
      <c r="U311" s="27"/>
      <c r="V311" s="27"/>
      <c r="W311" s="27"/>
      <c r="X311" s="27"/>
      <c r="Y311" s="27"/>
      <c r="Z311" s="27"/>
      <c r="AA311" s="27"/>
      <c r="AB311" s="27"/>
      <c r="AC311" s="27"/>
    </row>
    <row r="312" spans="1:29">
      <c r="A312" s="358"/>
      <c r="B312" s="359"/>
      <c r="C312" s="360"/>
      <c r="D312" s="27"/>
      <c r="E312" s="27"/>
      <c r="F312" s="27"/>
      <c r="G312" s="27"/>
      <c r="H312" s="27"/>
      <c r="I312" s="27"/>
      <c r="J312" s="27"/>
      <c r="K312" s="27"/>
      <c r="L312" s="27"/>
      <c r="M312" s="27"/>
      <c r="N312" s="27"/>
      <c r="O312" s="27"/>
      <c r="P312" s="27"/>
      <c r="Q312" s="27"/>
      <c r="R312" s="27"/>
      <c r="S312" s="27"/>
      <c r="T312" s="27"/>
      <c r="U312" s="27"/>
      <c r="V312" s="27"/>
      <c r="W312" s="27"/>
      <c r="X312" s="27"/>
      <c r="Y312" s="27"/>
      <c r="Z312" s="27"/>
      <c r="AA312" s="27"/>
      <c r="AB312" s="27"/>
      <c r="AC312" s="27"/>
    </row>
    <row r="313" spans="1:29">
      <c r="A313" s="358"/>
      <c r="B313" s="359"/>
      <c r="C313" s="360"/>
      <c r="D313" s="27"/>
      <c r="E313" s="27"/>
      <c r="F313" s="27"/>
      <c r="G313" s="27"/>
      <c r="H313" s="27"/>
      <c r="I313" s="27"/>
      <c r="J313" s="27"/>
      <c r="K313" s="27"/>
      <c r="L313" s="27"/>
      <c r="M313" s="27"/>
      <c r="N313" s="27"/>
      <c r="O313" s="27"/>
      <c r="P313" s="27"/>
      <c r="Q313" s="27"/>
      <c r="R313" s="27"/>
      <c r="S313" s="27"/>
      <c r="T313" s="27"/>
      <c r="U313" s="27"/>
      <c r="V313" s="27"/>
      <c r="W313" s="27"/>
      <c r="X313" s="27"/>
      <c r="Y313" s="27"/>
      <c r="Z313" s="27"/>
      <c r="AA313" s="27"/>
      <c r="AB313" s="27"/>
      <c r="AC313" s="27"/>
    </row>
    <row r="314" spans="1:29">
      <c r="A314" s="358"/>
      <c r="B314" s="359"/>
      <c r="C314" s="360"/>
      <c r="D314" s="27"/>
      <c r="E314" s="27"/>
      <c r="F314" s="27"/>
      <c r="G314" s="27"/>
      <c r="H314" s="27"/>
      <c r="I314" s="27"/>
      <c r="J314" s="27"/>
      <c r="K314" s="27"/>
      <c r="L314" s="27"/>
      <c r="M314" s="27"/>
      <c r="N314" s="27"/>
      <c r="O314" s="27"/>
      <c r="P314" s="27"/>
      <c r="Q314" s="27"/>
      <c r="R314" s="27"/>
      <c r="S314" s="27"/>
      <c r="T314" s="27"/>
      <c r="U314" s="27"/>
      <c r="V314" s="27"/>
      <c r="W314" s="27"/>
      <c r="X314" s="27"/>
      <c r="Y314" s="27"/>
      <c r="Z314" s="27"/>
      <c r="AA314" s="27"/>
      <c r="AB314" s="27"/>
      <c r="AC314" s="27"/>
    </row>
    <row r="315" spans="1:29">
      <c r="A315" s="358"/>
      <c r="B315" s="359"/>
      <c r="C315" s="360"/>
      <c r="D315" s="27"/>
      <c r="E315" s="27"/>
      <c r="F315" s="27"/>
      <c r="G315" s="27"/>
      <c r="H315" s="27"/>
      <c r="I315" s="27"/>
      <c r="J315" s="27"/>
      <c r="K315" s="27"/>
      <c r="L315" s="27"/>
      <c r="M315" s="27"/>
      <c r="N315" s="27"/>
      <c r="O315" s="27"/>
      <c r="P315" s="27"/>
      <c r="Q315" s="27"/>
      <c r="R315" s="27"/>
      <c r="S315" s="27"/>
      <c r="T315" s="27"/>
      <c r="U315" s="27"/>
      <c r="V315" s="27"/>
      <c r="W315" s="27"/>
      <c r="X315" s="27"/>
      <c r="Y315" s="27"/>
      <c r="Z315" s="27"/>
      <c r="AA315" s="27"/>
      <c r="AB315" s="27"/>
      <c r="AC315" s="27"/>
    </row>
    <row r="316" spans="1:29">
      <c r="A316" s="358"/>
      <c r="B316" s="359"/>
      <c r="C316" s="360"/>
      <c r="D316" s="27"/>
      <c r="E316" s="27"/>
      <c r="F316" s="27"/>
      <c r="G316" s="27"/>
      <c r="H316" s="27"/>
      <c r="I316" s="27"/>
      <c r="J316" s="27"/>
      <c r="K316" s="27"/>
      <c r="L316" s="27"/>
      <c r="M316" s="27"/>
      <c r="N316" s="27"/>
      <c r="O316" s="27"/>
      <c r="P316" s="27"/>
      <c r="Q316" s="27"/>
      <c r="R316" s="27"/>
      <c r="S316" s="27"/>
      <c r="T316" s="27"/>
      <c r="U316" s="27"/>
      <c r="V316" s="27"/>
      <c r="W316" s="27"/>
      <c r="X316" s="27"/>
      <c r="Y316" s="27"/>
      <c r="Z316" s="27"/>
      <c r="AA316" s="27"/>
      <c r="AB316" s="27"/>
      <c r="AC316" s="27"/>
    </row>
    <row r="317" spans="1:29">
      <c r="A317" s="358"/>
      <c r="B317" s="359"/>
      <c r="C317" s="360"/>
      <c r="D317" s="27"/>
      <c r="E317" s="27"/>
      <c r="F317" s="27"/>
      <c r="G317" s="27"/>
      <c r="H317" s="27"/>
      <c r="I317" s="27"/>
      <c r="J317" s="27"/>
      <c r="K317" s="27"/>
      <c r="L317" s="27"/>
      <c r="M317" s="27"/>
      <c r="N317" s="27"/>
      <c r="O317" s="27"/>
      <c r="P317" s="27"/>
      <c r="Q317" s="27"/>
      <c r="R317" s="27"/>
      <c r="S317" s="27"/>
      <c r="T317" s="27"/>
      <c r="U317" s="27"/>
      <c r="V317" s="27"/>
      <c r="W317" s="27"/>
      <c r="X317" s="27"/>
      <c r="Y317" s="27"/>
      <c r="Z317" s="27"/>
      <c r="AA317" s="27"/>
      <c r="AB317" s="27"/>
      <c r="AC317" s="27"/>
    </row>
    <row r="318" spans="1:29">
      <c r="A318" s="358"/>
      <c r="B318" s="359"/>
      <c r="C318" s="360"/>
      <c r="D318" s="27"/>
      <c r="E318" s="27"/>
      <c r="F318" s="27"/>
      <c r="G318" s="27"/>
      <c r="H318" s="27"/>
      <c r="I318" s="27"/>
      <c r="J318" s="27"/>
      <c r="K318" s="27"/>
      <c r="L318" s="27"/>
      <c r="M318" s="27"/>
      <c r="N318" s="27"/>
      <c r="O318" s="27"/>
      <c r="P318" s="27"/>
      <c r="Q318" s="27"/>
      <c r="R318" s="27"/>
      <c r="S318" s="27"/>
      <c r="T318" s="27"/>
      <c r="U318" s="27"/>
      <c r="V318" s="27"/>
      <c r="W318" s="27"/>
      <c r="X318" s="27"/>
      <c r="Y318" s="27"/>
      <c r="Z318" s="27"/>
      <c r="AA318" s="27"/>
      <c r="AB318" s="27"/>
      <c r="AC318" s="27"/>
    </row>
    <row r="319" spans="1:29">
      <c r="A319" s="358"/>
      <c r="B319" s="359"/>
      <c r="C319" s="360"/>
      <c r="D319" s="27"/>
      <c r="E319" s="27"/>
      <c r="F319" s="27"/>
      <c r="G319" s="27"/>
      <c r="H319" s="27"/>
      <c r="I319" s="27"/>
      <c r="J319" s="27"/>
      <c r="K319" s="27"/>
      <c r="L319" s="27"/>
      <c r="M319" s="27"/>
      <c r="N319" s="27"/>
      <c r="O319" s="27"/>
      <c r="P319" s="27"/>
      <c r="Q319" s="27"/>
      <c r="R319" s="27"/>
      <c r="S319" s="27"/>
      <c r="T319" s="27"/>
      <c r="U319" s="27"/>
      <c r="V319" s="27"/>
      <c r="W319" s="27"/>
      <c r="X319" s="27"/>
      <c r="Y319" s="27"/>
      <c r="Z319" s="27"/>
      <c r="AA319" s="27"/>
      <c r="AB319" s="27"/>
      <c r="AC319" s="27"/>
    </row>
    <row r="320" spans="1:29">
      <c r="A320" s="358"/>
      <c r="B320" s="359"/>
      <c r="C320" s="360"/>
      <c r="D320" s="27"/>
      <c r="E320" s="27"/>
      <c r="F320" s="27"/>
      <c r="G320" s="27"/>
      <c r="H320" s="27"/>
      <c r="I320" s="27"/>
      <c r="J320" s="27"/>
      <c r="K320" s="27"/>
      <c r="L320" s="27"/>
      <c r="M320" s="27"/>
      <c r="N320" s="27"/>
      <c r="O320" s="27"/>
      <c r="P320" s="27"/>
      <c r="Q320" s="27"/>
      <c r="R320" s="27"/>
      <c r="S320" s="27"/>
      <c r="T320" s="27"/>
      <c r="U320" s="27"/>
      <c r="V320" s="27"/>
      <c r="W320" s="27"/>
      <c r="X320" s="27"/>
      <c r="Y320" s="27"/>
      <c r="Z320" s="27"/>
      <c r="AA320" s="27"/>
      <c r="AB320" s="27"/>
      <c r="AC320" s="27"/>
    </row>
    <row r="321" spans="1:29">
      <c r="A321" s="358"/>
      <c r="B321" s="359"/>
      <c r="C321" s="360"/>
      <c r="D321" s="27"/>
      <c r="E321" s="27"/>
      <c r="F321" s="27"/>
      <c r="G321" s="27"/>
      <c r="H321" s="27"/>
      <c r="I321" s="27"/>
      <c r="J321" s="27"/>
      <c r="K321" s="27"/>
      <c r="L321" s="27"/>
      <c r="M321" s="27"/>
      <c r="N321" s="27"/>
      <c r="O321" s="27"/>
      <c r="P321" s="27"/>
      <c r="Q321" s="27"/>
      <c r="R321" s="27"/>
      <c r="S321" s="27"/>
      <c r="T321" s="27"/>
      <c r="U321" s="27"/>
      <c r="V321" s="27"/>
      <c r="W321" s="27"/>
      <c r="X321" s="27"/>
      <c r="Y321" s="27"/>
      <c r="Z321" s="27"/>
      <c r="AA321" s="27"/>
      <c r="AB321" s="27"/>
      <c r="AC321" s="27"/>
    </row>
    <row r="322" spans="1:29">
      <c r="A322" s="358"/>
      <c r="B322" s="359"/>
      <c r="C322" s="360"/>
      <c r="D322" s="27"/>
      <c r="E322" s="27"/>
      <c r="F322" s="27"/>
      <c r="G322" s="27"/>
      <c r="H322" s="27"/>
      <c r="I322" s="27"/>
      <c r="J322" s="27"/>
      <c r="K322" s="27"/>
      <c r="L322" s="27"/>
      <c r="M322" s="27"/>
      <c r="N322" s="27"/>
      <c r="O322" s="27"/>
      <c r="P322" s="27"/>
      <c r="Q322" s="27"/>
      <c r="R322" s="27"/>
      <c r="S322" s="27"/>
      <c r="T322" s="27"/>
      <c r="U322" s="27"/>
      <c r="V322" s="27"/>
      <c r="W322" s="27"/>
      <c r="X322" s="27"/>
      <c r="Y322" s="27"/>
      <c r="Z322" s="27"/>
      <c r="AA322" s="27"/>
      <c r="AB322" s="27"/>
      <c r="AC322" s="27"/>
    </row>
    <row r="323" spans="1:29">
      <c r="A323" s="358"/>
      <c r="B323" s="359"/>
      <c r="C323" s="360"/>
      <c r="D323" s="27"/>
      <c r="E323" s="27"/>
      <c r="F323" s="27"/>
      <c r="G323" s="27"/>
      <c r="H323" s="27"/>
      <c r="I323" s="27"/>
      <c r="J323" s="27"/>
      <c r="K323" s="27"/>
      <c r="L323" s="27"/>
      <c r="M323" s="27"/>
      <c r="N323" s="27"/>
      <c r="O323" s="27"/>
      <c r="P323" s="27"/>
      <c r="Q323" s="27"/>
      <c r="R323" s="27"/>
      <c r="S323" s="27"/>
      <c r="T323" s="27"/>
      <c r="U323" s="27"/>
      <c r="V323" s="27"/>
      <c r="W323" s="27"/>
      <c r="X323" s="27"/>
      <c r="Y323" s="27"/>
      <c r="Z323" s="27"/>
      <c r="AA323" s="27"/>
      <c r="AB323" s="27"/>
      <c r="AC323" s="27"/>
    </row>
    <row r="324" spans="1:29">
      <c r="A324" s="358"/>
      <c r="B324" s="359"/>
      <c r="C324" s="360"/>
      <c r="D324" s="27"/>
      <c r="E324" s="27"/>
      <c r="F324" s="27"/>
      <c r="G324" s="27"/>
      <c r="H324" s="27"/>
      <c r="I324" s="27"/>
      <c r="J324" s="27"/>
      <c r="K324" s="27"/>
      <c r="L324" s="27"/>
      <c r="M324" s="27"/>
      <c r="N324" s="27"/>
      <c r="O324" s="27"/>
      <c r="P324" s="27"/>
      <c r="Q324" s="27"/>
      <c r="R324" s="27"/>
      <c r="S324" s="27"/>
      <c r="T324" s="27"/>
      <c r="U324" s="27"/>
      <c r="V324" s="27"/>
      <c r="W324" s="27"/>
      <c r="X324" s="27"/>
      <c r="Y324" s="27"/>
      <c r="Z324" s="27"/>
      <c r="AA324" s="27"/>
      <c r="AB324" s="27"/>
      <c r="AC324" s="27"/>
    </row>
    <row r="325" spans="1:29">
      <c r="A325" s="358"/>
      <c r="B325" s="359"/>
      <c r="C325" s="360"/>
      <c r="D325" s="27"/>
      <c r="E325" s="27"/>
      <c r="F325" s="27"/>
      <c r="G325" s="27"/>
      <c r="H325" s="27"/>
      <c r="I325" s="27"/>
      <c r="J325" s="27"/>
      <c r="K325" s="27"/>
      <c r="L325" s="27"/>
      <c r="M325" s="27"/>
      <c r="N325" s="27"/>
      <c r="O325" s="27"/>
      <c r="P325" s="27"/>
      <c r="Q325" s="27"/>
      <c r="R325" s="27"/>
      <c r="S325" s="27"/>
      <c r="T325" s="27"/>
      <c r="U325" s="27"/>
      <c r="V325" s="27"/>
      <c r="W325" s="27"/>
      <c r="X325" s="27"/>
      <c r="Y325" s="27"/>
      <c r="Z325" s="27"/>
      <c r="AA325" s="27"/>
      <c r="AB325" s="27"/>
      <c r="AC325" s="27"/>
    </row>
    <row r="326" spans="1:29">
      <c r="A326" s="358"/>
      <c r="B326" s="359"/>
      <c r="C326" s="360"/>
      <c r="D326" s="27"/>
      <c r="E326" s="27"/>
      <c r="F326" s="27"/>
      <c r="G326" s="27"/>
      <c r="H326" s="27"/>
      <c r="I326" s="27"/>
      <c r="J326" s="27"/>
      <c r="K326" s="27"/>
      <c r="L326" s="27"/>
      <c r="M326" s="27"/>
      <c r="N326" s="27"/>
      <c r="O326" s="27"/>
      <c r="P326" s="27"/>
      <c r="Q326" s="27"/>
      <c r="R326" s="27"/>
      <c r="S326" s="27"/>
      <c r="T326" s="27"/>
      <c r="U326" s="27"/>
      <c r="V326" s="27"/>
      <c r="W326" s="27"/>
      <c r="X326" s="27"/>
      <c r="Y326" s="27"/>
      <c r="Z326" s="27"/>
      <c r="AA326" s="27"/>
      <c r="AB326" s="27"/>
      <c r="AC326" s="27"/>
    </row>
    <row r="327" spans="1:29">
      <c r="A327" s="358"/>
      <c r="B327" s="359"/>
      <c r="C327" s="360"/>
      <c r="D327" s="27"/>
      <c r="E327" s="27"/>
      <c r="F327" s="27"/>
      <c r="G327" s="27"/>
      <c r="H327" s="27"/>
      <c r="I327" s="27"/>
      <c r="J327" s="27"/>
      <c r="K327" s="27"/>
      <c r="L327" s="27"/>
      <c r="M327" s="27"/>
      <c r="N327" s="27"/>
      <c r="O327" s="27"/>
      <c r="P327" s="27"/>
      <c r="Q327" s="27"/>
      <c r="R327" s="27"/>
      <c r="S327" s="27"/>
      <c r="T327" s="27"/>
      <c r="U327" s="27"/>
      <c r="V327" s="27"/>
      <c r="W327" s="27"/>
      <c r="X327" s="27"/>
      <c r="Y327" s="27"/>
      <c r="Z327" s="27"/>
      <c r="AA327" s="27"/>
      <c r="AB327" s="27"/>
      <c r="AC327" s="27"/>
    </row>
    <row r="328" spans="1:29">
      <c r="A328" s="358"/>
      <c r="B328" s="359"/>
      <c r="C328" s="360"/>
      <c r="D328" s="27"/>
      <c r="E328" s="27"/>
      <c r="F328" s="27"/>
      <c r="G328" s="27"/>
      <c r="H328" s="27"/>
      <c r="I328" s="27"/>
      <c r="J328" s="27"/>
      <c r="K328" s="27"/>
      <c r="L328" s="27"/>
      <c r="M328" s="27"/>
      <c r="N328" s="27"/>
      <c r="O328" s="27"/>
      <c r="P328" s="27"/>
      <c r="Q328" s="27"/>
      <c r="R328" s="27"/>
      <c r="S328" s="27"/>
      <c r="T328" s="27"/>
      <c r="U328" s="27"/>
      <c r="V328" s="27"/>
      <c r="W328" s="27"/>
      <c r="X328" s="27"/>
      <c r="Y328" s="27"/>
      <c r="Z328" s="27"/>
      <c r="AA328" s="27"/>
      <c r="AB328" s="27"/>
      <c r="AC328" s="27"/>
    </row>
    <row r="329" spans="1:29">
      <c r="A329" s="358"/>
      <c r="B329" s="359"/>
      <c r="C329" s="360"/>
      <c r="D329" s="27"/>
      <c r="E329" s="27"/>
      <c r="F329" s="27"/>
      <c r="G329" s="27"/>
      <c r="H329" s="27"/>
      <c r="I329" s="27"/>
      <c r="J329" s="27"/>
      <c r="K329" s="27"/>
      <c r="L329" s="27"/>
      <c r="M329" s="27"/>
      <c r="N329" s="27"/>
      <c r="O329" s="27"/>
      <c r="P329" s="27"/>
      <c r="Q329" s="27"/>
      <c r="R329" s="27"/>
      <c r="S329" s="27"/>
      <c r="T329" s="27"/>
      <c r="U329" s="27"/>
      <c r="V329" s="27"/>
      <c r="W329" s="27"/>
      <c r="X329" s="27"/>
      <c r="Y329" s="27"/>
      <c r="Z329" s="27"/>
      <c r="AA329" s="27"/>
      <c r="AB329" s="27"/>
      <c r="AC329" s="27"/>
    </row>
    <row r="330" spans="1:29">
      <c r="A330" s="358"/>
      <c r="B330" s="359"/>
      <c r="C330" s="360"/>
      <c r="D330" s="27"/>
      <c r="E330" s="27"/>
      <c r="F330" s="27"/>
      <c r="G330" s="27"/>
      <c r="H330" s="27"/>
      <c r="I330" s="27"/>
      <c r="J330" s="27"/>
      <c r="K330" s="27"/>
      <c r="L330" s="27"/>
      <c r="M330" s="27"/>
      <c r="N330" s="27"/>
      <c r="O330" s="27"/>
      <c r="P330" s="27"/>
      <c r="Q330" s="27"/>
      <c r="R330" s="27"/>
      <c r="S330" s="27"/>
      <c r="T330" s="27"/>
      <c r="U330" s="27"/>
      <c r="V330" s="27"/>
      <c r="W330" s="27"/>
      <c r="X330" s="27"/>
      <c r="Y330" s="27"/>
      <c r="Z330" s="27"/>
      <c r="AA330" s="27"/>
      <c r="AB330" s="27"/>
      <c r="AC330" s="27"/>
    </row>
    <row r="331" spans="1:29">
      <c r="A331" s="358"/>
      <c r="B331" s="359"/>
      <c r="C331" s="360"/>
      <c r="D331" s="27"/>
      <c r="E331" s="27"/>
      <c r="F331" s="27"/>
      <c r="G331" s="27"/>
      <c r="H331" s="27"/>
      <c r="I331" s="27"/>
      <c r="J331" s="27"/>
      <c r="K331" s="27"/>
      <c r="L331" s="27"/>
      <c r="M331" s="27"/>
      <c r="N331" s="27"/>
      <c r="O331" s="27"/>
      <c r="P331" s="27"/>
      <c r="Q331" s="27"/>
      <c r="R331" s="27"/>
      <c r="S331" s="27"/>
      <c r="T331" s="27"/>
      <c r="U331" s="27"/>
      <c r="V331" s="27"/>
      <c r="W331" s="27"/>
      <c r="X331" s="27"/>
      <c r="Y331" s="27"/>
      <c r="Z331" s="27"/>
      <c r="AA331" s="27"/>
      <c r="AB331" s="27"/>
      <c r="AC331" s="27"/>
    </row>
    <row r="332" spans="1:29">
      <c r="A332" s="358"/>
      <c r="B332" s="359"/>
      <c r="C332" s="360"/>
      <c r="D332" s="27"/>
      <c r="E332" s="27"/>
      <c r="F332" s="27"/>
      <c r="G332" s="27"/>
      <c r="H332" s="27"/>
      <c r="I332" s="27"/>
      <c r="J332" s="27"/>
      <c r="K332" s="27"/>
      <c r="L332" s="27"/>
      <c r="M332" s="27"/>
      <c r="N332" s="27"/>
      <c r="O332" s="27"/>
      <c r="P332" s="27"/>
      <c r="Q332" s="27"/>
      <c r="R332" s="27"/>
      <c r="S332" s="27"/>
      <c r="T332" s="27"/>
      <c r="U332" s="27"/>
      <c r="V332" s="27"/>
      <c r="W332" s="27"/>
      <c r="X332" s="27"/>
      <c r="Y332" s="27"/>
      <c r="Z332" s="27"/>
      <c r="AA332" s="27"/>
      <c r="AB332" s="27"/>
      <c r="AC332" s="27"/>
    </row>
    <row r="333" spans="1:29">
      <c r="A333" s="358"/>
      <c r="B333" s="359"/>
      <c r="C333" s="360"/>
      <c r="D333" s="27"/>
      <c r="E333" s="27"/>
      <c r="F333" s="27"/>
      <c r="G333" s="27"/>
      <c r="H333" s="27"/>
      <c r="I333" s="27"/>
      <c r="J333" s="27"/>
      <c r="K333" s="27"/>
      <c r="L333" s="27"/>
      <c r="M333" s="27"/>
      <c r="N333" s="27"/>
      <c r="O333" s="27"/>
      <c r="P333" s="27"/>
      <c r="Q333" s="27"/>
      <c r="R333" s="27"/>
      <c r="S333" s="27"/>
      <c r="T333" s="27"/>
      <c r="U333" s="27"/>
      <c r="V333" s="27"/>
      <c r="W333" s="27"/>
      <c r="X333" s="27"/>
      <c r="Y333" s="27"/>
      <c r="Z333" s="27"/>
      <c r="AA333" s="27"/>
      <c r="AB333" s="27"/>
      <c r="AC333" s="27"/>
    </row>
    <row r="334" spans="1:29">
      <c r="A334" s="358"/>
      <c r="B334" s="359"/>
      <c r="C334" s="360"/>
      <c r="D334" s="27"/>
      <c r="E334" s="27"/>
      <c r="F334" s="27"/>
      <c r="G334" s="27"/>
      <c r="H334" s="27"/>
      <c r="I334" s="27"/>
      <c r="J334" s="27"/>
      <c r="K334" s="27"/>
      <c r="L334" s="27"/>
      <c r="M334" s="27"/>
      <c r="N334" s="27"/>
      <c r="O334" s="27"/>
      <c r="P334" s="27"/>
      <c r="Q334" s="27"/>
      <c r="R334" s="27"/>
      <c r="S334" s="27"/>
      <c r="T334" s="27"/>
      <c r="U334" s="27"/>
      <c r="V334" s="27"/>
      <c r="W334" s="27"/>
      <c r="X334" s="27"/>
      <c r="Y334" s="27"/>
      <c r="Z334" s="27"/>
      <c r="AA334" s="27"/>
      <c r="AB334" s="27"/>
      <c r="AC334" s="27"/>
    </row>
    <row r="335" spans="1:29">
      <c r="A335" s="358"/>
      <c r="B335" s="359"/>
      <c r="C335" s="360"/>
      <c r="D335" s="27"/>
      <c r="E335" s="27"/>
      <c r="F335" s="27"/>
      <c r="G335" s="27"/>
      <c r="H335" s="27"/>
      <c r="I335" s="27"/>
      <c r="J335" s="27"/>
      <c r="K335" s="27"/>
      <c r="L335" s="27"/>
      <c r="M335" s="27"/>
      <c r="N335" s="27"/>
      <c r="O335" s="27"/>
      <c r="P335" s="27"/>
      <c r="Q335" s="27"/>
      <c r="R335" s="27"/>
      <c r="S335" s="27"/>
      <c r="T335" s="27"/>
      <c r="U335" s="27"/>
      <c r="V335" s="27"/>
      <c r="W335" s="27"/>
      <c r="X335" s="27"/>
      <c r="Y335" s="27"/>
      <c r="Z335" s="27"/>
      <c r="AA335" s="27"/>
      <c r="AB335" s="27"/>
      <c r="AC335" s="27"/>
    </row>
    <row r="336" spans="1:29">
      <c r="A336" s="358"/>
      <c r="B336" s="359"/>
      <c r="C336" s="360"/>
      <c r="D336" s="27"/>
      <c r="E336" s="27"/>
      <c r="F336" s="27"/>
      <c r="G336" s="27"/>
      <c r="H336" s="27"/>
      <c r="I336" s="27"/>
      <c r="J336" s="27"/>
      <c r="K336" s="27"/>
      <c r="L336" s="27"/>
      <c r="M336" s="27"/>
      <c r="N336" s="27"/>
      <c r="O336" s="27"/>
      <c r="P336" s="27"/>
      <c r="Q336" s="27"/>
      <c r="R336" s="27"/>
      <c r="S336" s="27"/>
      <c r="T336" s="27"/>
      <c r="U336" s="27"/>
      <c r="V336" s="27"/>
      <c r="W336" s="27"/>
      <c r="X336" s="27"/>
      <c r="Y336" s="27"/>
      <c r="Z336" s="27"/>
      <c r="AA336" s="27"/>
      <c r="AB336" s="27"/>
      <c r="AC336" s="27"/>
    </row>
    <row r="337" spans="1:29">
      <c r="A337" s="358"/>
      <c r="B337" s="359"/>
      <c r="C337" s="360"/>
      <c r="D337" s="27"/>
      <c r="E337" s="27"/>
      <c r="F337" s="27"/>
      <c r="G337" s="27"/>
      <c r="H337" s="27"/>
      <c r="I337" s="27"/>
      <c r="J337" s="27"/>
      <c r="K337" s="27"/>
      <c r="L337" s="27"/>
      <c r="M337" s="27"/>
      <c r="N337" s="27"/>
      <c r="O337" s="27"/>
      <c r="P337" s="27"/>
      <c r="Q337" s="27"/>
      <c r="R337" s="27"/>
      <c r="S337" s="27"/>
      <c r="T337" s="27"/>
      <c r="U337" s="27"/>
      <c r="V337" s="27"/>
      <c r="W337" s="27"/>
      <c r="X337" s="27"/>
      <c r="Y337" s="27"/>
      <c r="Z337" s="27"/>
      <c r="AA337" s="27"/>
      <c r="AB337" s="27"/>
      <c r="AC337" s="27"/>
    </row>
    <row r="338" spans="1:29">
      <c r="A338" s="358"/>
      <c r="B338" s="359"/>
      <c r="C338" s="360"/>
      <c r="D338" s="27"/>
      <c r="E338" s="27"/>
      <c r="F338" s="27"/>
      <c r="G338" s="27"/>
      <c r="H338" s="27"/>
      <c r="I338" s="27"/>
      <c r="J338" s="27"/>
      <c r="K338" s="27"/>
      <c r="L338" s="27"/>
      <c r="M338" s="27"/>
      <c r="N338" s="27"/>
      <c r="O338" s="27"/>
      <c r="P338" s="27"/>
      <c r="Q338" s="27"/>
      <c r="R338" s="27"/>
      <c r="S338" s="27"/>
      <c r="T338" s="27"/>
      <c r="U338" s="27"/>
      <c r="V338" s="27"/>
      <c r="W338" s="27"/>
      <c r="X338" s="27"/>
      <c r="Y338" s="27"/>
      <c r="Z338" s="27"/>
      <c r="AA338" s="27"/>
      <c r="AB338" s="27"/>
      <c r="AC338" s="27"/>
    </row>
    <row r="339" spans="1:29">
      <c r="A339" s="358"/>
      <c r="B339" s="359"/>
      <c r="C339" s="360"/>
      <c r="D339" s="27"/>
      <c r="E339" s="27"/>
      <c r="F339" s="27"/>
      <c r="G339" s="27"/>
      <c r="H339" s="27"/>
      <c r="I339" s="27"/>
      <c r="J339" s="27"/>
      <c r="K339" s="27"/>
      <c r="L339" s="27"/>
      <c r="M339" s="27"/>
      <c r="N339" s="27"/>
      <c r="O339" s="27"/>
      <c r="P339" s="27"/>
      <c r="Q339" s="27"/>
      <c r="R339" s="27"/>
      <c r="S339" s="27"/>
      <c r="T339" s="27"/>
      <c r="U339" s="27"/>
      <c r="V339" s="27"/>
      <c r="W339" s="27"/>
      <c r="X339" s="27"/>
      <c r="Y339" s="27"/>
      <c r="Z339" s="27"/>
      <c r="AA339" s="27"/>
      <c r="AB339" s="27"/>
      <c r="AC339" s="27"/>
    </row>
    <row r="340" spans="1:29">
      <c r="A340" s="358"/>
      <c r="B340" s="359"/>
      <c r="C340" s="360"/>
      <c r="D340" s="27"/>
      <c r="E340" s="27"/>
      <c r="F340" s="27"/>
      <c r="G340" s="27"/>
      <c r="H340" s="27"/>
      <c r="I340" s="27"/>
      <c r="J340" s="27"/>
      <c r="K340" s="27"/>
      <c r="L340" s="27"/>
      <c r="M340" s="27"/>
      <c r="N340" s="27"/>
      <c r="O340" s="27"/>
      <c r="P340" s="27"/>
      <c r="Q340" s="27"/>
      <c r="R340" s="27"/>
      <c r="S340" s="27"/>
      <c r="T340" s="27"/>
      <c r="U340" s="27"/>
      <c r="V340" s="27"/>
      <c r="W340" s="27"/>
      <c r="X340" s="27"/>
      <c r="Y340" s="27"/>
      <c r="Z340" s="27"/>
      <c r="AA340" s="27"/>
      <c r="AB340" s="27"/>
      <c r="AC340" s="27"/>
    </row>
    <row r="341" spans="1:29">
      <c r="A341" s="358"/>
      <c r="B341" s="359"/>
      <c r="C341" s="360"/>
      <c r="D341" s="27"/>
      <c r="E341" s="27"/>
      <c r="F341" s="27"/>
      <c r="G341" s="27"/>
      <c r="H341" s="27"/>
      <c r="I341" s="27"/>
      <c r="J341" s="27"/>
      <c r="K341" s="27"/>
      <c r="L341" s="27"/>
      <c r="M341" s="27"/>
      <c r="N341" s="27"/>
      <c r="O341" s="27"/>
      <c r="P341" s="27"/>
      <c r="Q341" s="27"/>
      <c r="R341" s="27"/>
      <c r="S341" s="27"/>
      <c r="T341" s="27"/>
      <c r="U341" s="27"/>
      <c r="V341" s="27"/>
      <c r="W341" s="27"/>
      <c r="X341" s="27"/>
      <c r="Y341" s="27"/>
      <c r="Z341" s="27"/>
      <c r="AA341" s="27"/>
      <c r="AB341" s="27"/>
      <c r="AC341" s="27"/>
    </row>
    <row r="342" spans="1:29">
      <c r="A342" s="358"/>
      <c r="B342" s="359"/>
      <c r="C342" s="360"/>
      <c r="D342" s="27"/>
      <c r="E342" s="27"/>
      <c r="F342" s="27"/>
      <c r="G342" s="27"/>
      <c r="H342" s="27"/>
      <c r="I342" s="27"/>
      <c r="J342" s="27"/>
      <c r="K342" s="27"/>
      <c r="L342" s="27"/>
      <c r="M342" s="27"/>
      <c r="N342" s="27"/>
      <c r="O342" s="27"/>
      <c r="P342" s="27"/>
      <c r="Q342" s="27"/>
      <c r="R342" s="27"/>
      <c r="S342" s="27"/>
      <c r="T342" s="27"/>
      <c r="U342" s="27"/>
      <c r="V342" s="27"/>
      <c r="W342" s="27"/>
      <c r="X342" s="27"/>
      <c r="Y342" s="27"/>
      <c r="Z342" s="27"/>
      <c r="AA342" s="27"/>
      <c r="AB342" s="27"/>
      <c r="AC342" s="27"/>
    </row>
    <row r="343" spans="1:29">
      <c r="A343" s="358"/>
      <c r="B343" s="359"/>
      <c r="C343" s="360"/>
      <c r="D343" s="27"/>
      <c r="E343" s="27"/>
      <c r="F343" s="27"/>
      <c r="G343" s="27"/>
      <c r="H343" s="27"/>
      <c r="I343" s="27"/>
      <c r="J343" s="27"/>
      <c r="K343" s="27"/>
      <c r="L343" s="27"/>
      <c r="M343" s="27"/>
      <c r="N343" s="27"/>
      <c r="O343" s="27"/>
      <c r="P343" s="27"/>
      <c r="Q343" s="27"/>
      <c r="R343" s="27"/>
      <c r="S343" s="27"/>
      <c r="T343" s="27"/>
      <c r="U343" s="27"/>
      <c r="V343" s="27"/>
      <c r="W343" s="27"/>
      <c r="X343" s="27"/>
      <c r="Y343" s="27"/>
      <c r="Z343" s="27"/>
      <c r="AA343" s="27"/>
      <c r="AB343" s="27"/>
      <c r="AC343" s="27"/>
    </row>
    <row r="344" spans="1:29">
      <c r="A344" s="358"/>
      <c r="B344" s="359"/>
      <c r="C344" s="360"/>
      <c r="D344" s="27"/>
      <c r="E344" s="27"/>
      <c r="F344" s="27"/>
      <c r="G344" s="27"/>
      <c r="H344" s="27"/>
      <c r="I344" s="27"/>
      <c r="J344" s="27"/>
      <c r="K344" s="27"/>
      <c r="L344" s="27"/>
      <c r="M344" s="27"/>
      <c r="N344" s="27"/>
      <c r="O344" s="27"/>
      <c r="P344" s="27"/>
      <c r="Q344" s="27"/>
      <c r="R344" s="27"/>
      <c r="S344" s="27"/>
      <c r="T344" s="27"/>
      <c r="U344" s="27"/>
      <c r="V344" s="27"/>
      <c r="W344" s="27"/>
      <c r="X344" s="27"/>
      <c r="Y344" s="27"/>
      <c r="Z344" s="27"/>
      <c r="AA344" s="27"/>
      <c r="AB344" s="27"/>
      <c r="AC344" s="27"/>
    </row>
    <row r="345" spans="1:29">
      <c r="A345" s="358"/>
      <c r="B345" s="359"/>
      <c r="C345" s="360"/>
      <c r="D345" s="27"/>
      <c r="E345" s="27"/>
      <c r="F345" s="27"/>
      <c r="G345" s="27"/>
      <c r="H345" s="27"/>
      <c r="I345" s="27"/>
      <c r="J345" s="27"/>
      <c r="K345" s="27"/>
      <c r="L345" s="27"/>
      <c r="M345" s="27"/>
      <c r="N345" s="27"/>
      <c r="O345" s="27"/>
      <c r="P345" s="27"/>
      <c r="Q345" s="27"/>
      <c r="R345" s="27"/>
      <c r="S345" s="27"/>
      <c r="T345" s="27"/>
      <c r="U345" s="27"/>
      <c r="V345" s="27"/>
      <c r="W345" s="27"/>
      <c r="X345" s="27"/>
      <c r="Y345" s="27"/>
      <c r="Z345" s="27"/>
      <c r="AA345" s="27"/>
      <c r="AB345" s="27"/>
      <c r="AC345" s="27"/>
    </row>
    <row r="346" spans="1:29">
      <c r="A346" s="358"/>
      <c r="B346" s="359"/>
      <c r="C346" s="360"/>
      <c r="D346" s="27"/>
      <c r="E346" s="27"/>
      <c r="F346" s="27"/>
      <c r="G346" s="27"/>
      <c r="H346" s="27"/>
      <c r="I346" s="27"/>
      <c r="J346" s="27"/>
      <c r="K346" s="27"/>
      <c r="L346" s="27"/>
      <c r="M346" s="27"/>
      <c r="N346" s="27"/>
      <c r="O346" s="27"/>
      <c r="P346" s="27"/>
      <c r="Q346" s="27"/>
      <c r="R346" s="27"/>
      <c r="S346" s="27"/>
      <c r="T346" s="27"/>
      <c r="U346" s="27"/>
      <c r="V346" s="27"/>
      <c r="W346" s="27"/>
      <c r="X346" s="27"/>
      <c r="Y346" s="27"/>
      <c r="Z346" s="27"/>
      <c r="AA346" s="27"/>
      <c r="AB346" s="27"/>
      <c r="AC346" s="27"/>
    </row>
    <row r="347" spans="1:29">
      <c r="A347" s="358"/>
      <c r="B347" s="359"/>
      <c r="C347" s="360"/>
      <c r="D347" s="27"/>
      <c r="E347" s="27"/>
      <c r="F347" s="27"/>
      <c r="G347" s="27"/>
      <c r="H347" s="27"/>
      <c r="I347" s="27"/>
      <c r="J347" s="27"/>
      <c r="K347" s="27"/>
      <c r="L347" s="27"/>
      <c r="M347" s="27"/>
      <c r="N347" s="27"/>
      <c r="O347" s="27"/>
      <c r="P347" s="27"/>
      <c r="Q347" s="27"/>
      <c r="R347" s="27"/>
      <c r="S347" s="27"/>
      <c r="T347" s="27"/>
      <c r="U347" s="27"/>
      <c r="V347" s="27"/>
      <c r="W347" s="27"/>
      <c r="X347" s="27"/>
      <c r="Y347" s="27"/>
      <c r="Z347" s="27"/>
      <c r="AA347" s="27"/>
      <c r="AB347" s="27"/>
      <c r="AC347" s="27"/>
    </row>
    <row r="348" spans="1:29">
      <c r="A348" s="358"/>
      <c r="B348" s="359"/>
      <c r="C348" s="360"/>
      <c r="D348" s="27"/>
      <c r="E348" s="27"/>
      <c r="F348" s="27"/>
      <c r="G348" s="27"/>
      <c r="H348" s="27"/>
      <c r="I348" s="27"/>
      <c r="J348" s="27"/>
      <c r="K348" s="27"/>
      <c r="L348" s="27"/>
      <c r="M348" s="27"/>
      <c r="N348" s="27"/>
      <c r="O348" s="27"/>
      <c r="P348" s="27"/>
      <c r="Q348" s="27"/>
      <c r="R348" s="27"/>
      <c r="S348" s="27"/>
      <c r="T348" s="27"/>
      <c r="U348" s="27"/>
      <c r="V348" s="27"/>
      <c r="W348" s="27"/>
      <c r="X348" s="27"/>
      <c r="Y348" s="27"/>
      <c r="Z348" s="27"/>
      <c r="AA348" s="27"/>
      <c r="AB348" s="27"/>
      <c r="AC348" s="27"/>
    </row>
    <row r="349" spans="1:29">
      <c r="A349" s="358"/>
      <c r="B349" s="359"/>
      <c r="C349" s="360"/>
      <c r="D349" s="27"/>
      <c r="E349" s="27"/>
      <c r="F349" s="27"/>
      <c r="G349" s="27"/>
      <c r="H349" s="27"/>
      <c r="I349" s="27"/>
      <c r="J349" s="27"/>
      <c r="K349" s="27"/>
      <c r="L349" s="27"/>
      <c r="M349" s="27"/>
      <c r="N349" s="27"/>
      <c r="O349" s="27"/>
      <c r="P349" s="27"/>
      <c r="Q349" s="27"/>
      <c r="R349" s="27"/>
      <c r="S349" s="27"/>
      <c r="T349" s="27"/>
      <c r="U349" s="27"/>
      <c r="V349" s="27"/>
      <c r="W349" s="27"/>
      <c r="X349" s="27"/>
      <c r="Y349" s="27"/>
      <c r="Z349" s="27"/>
      <c r="AA349" s="27"/>
      <c r="AB349" s="27"/>
      <c r="AC349" s="27"/>
    </row>
    <row r="350" spans="1:29">
      <c r="A350" s="358"/>
      <c r="B350" s="359"/>
      <c r="C350" s="360"/>
      <c r="D350" s="27"/>
      <c r="E350" s="27"/>
      <c r="F350" s="27"/>
      <c r="G350" s="27"/>
      <c r="H350" s="27"/>
      <c r="I350" s="27"/>
      <c r="J350" s="27"/>
      <c r="K350" s="27"/>
      <c r="L350" s="27"/>
      <c r="M350" s="27"/>
      <c r="N350" s="27"/>
      <c r="O350" s="27"/>
      <c r="P350" s="27"/>
      <c r="Q350" s="27"/>
      <c r="R350" s="27"/>
      <c r="S350" s="27"/>
      <c r="T350" s="27"/>
      <c r="U350" s="27"/>
      <c r="V350" s="27"/>
      <c r="W350" s="27"/>
      <c r="X350" s="27"/>
      <c r="Y350" s="27"/>
      <c r="Z350" s="27"/>
      <c r="AA350" s="27"/>
      <c r="AB350" s="27"/>
      <c r="AC350" s="27"/>
    </row>
    <row r="351" spans="1:29">
      <c r="A351" s="358"/>
      <c r="B351" s="359"/>
      <c r="C351" s="360"/>
      <c r="D351" s="27"/>
      <c r="E351" s="27"/>
      <c r="F351" s="27"/>
      <c r="G351" s="27"/>
      <c r="H351" s="27"/>
      <c r="I351" s="27"/>
      <c r="J351" s="27"/>
      <c r="K351" s="27"/>
      <c r="L351" s="27"/>
      <c r="M351" s="27"/>
      <c r="N351" s="27"/>
      <c r="O351" s="27"/>
      <c r="P351" s="27"/>
      <c r="Q351" s="27"/>
      <c r="R351" s="27"/>
      <c r="S351" s="27"/>
      <c r="T351" s="27"/>
      <c r="U351" s="27"/>
      <c r="V351" s="27"/>
      <c r="W351" s="27"/>
      <c r="X351" s="27"/>
      <c r="Y351" s="27"/>
      <c r="Z351" s="27"/>
      <c r="AA351" s="27"/>
      <c r="AB351" s="27"/>
      <c r="AC351" s="27"/>
    </row>
    <row r="352" spans="1:29">
      <c r="A352" s="358"/>
      <c r="B352" s="359"/>
      <c r="C352" s="360"/>
      <c r="D352" s="27"/>
      <c r="E352" s="27"/>
      <c r="F352" s="27"/>
      <c r="G352" s="27"/>
      <c r="H352" s="27"/>
      <c r="I352" s="27"/>
      <c r="J352" s="27"/>
      <c r="K352" s="27"/>
      <c r="L352" s="27"/>
      <c r="M352" s="27"/>
      <c r="N352" s="27"/>
      <c r="O352" s="27"/>
      <c r="P352" s="27"/>
      <c r="Q352" s="27"/>
      <c r="R352" s="27"/>
      <c r="S352" s="27"/>
      <c r="T352" s="27"/>
      <c r="U352" s="27"/>
      <c r="V352" s="27"/>
      <c r="W352" s="27"/>
      <c r="X352" s="27"/>
      <c r="Y352" s="27"/>
      <c r="Z352" s="27"/>
      <c r="AA352" s="27"/>
      <c r="AB352" s="27"/>
      <c r="AC352" s="27"/>
    </row>
    <row r="353" spans="1:29">
      <c r="A353" s="358"/>
      <c r="B353" s="359"/>
      <c r="C353" s="360"/>
      <c r="D353" s="27"/>
      <c r="E353" s="27"/>
      <c r="F353" s="27"/>
      <c r="G353" s="27"/>
      <c r="H353" s="27"/>
      <c r="I353" s="27"/>
      <c r="J353" s="27"/>
      <c r="K353" s="27"/>
      <c r="L353" s="27"/>
      <c r="M353" s="27"/>
      <c r="N353" s="27"/>
      <c r="O353" s="27"/>
      <c r="P353" s="27"/>
      <c r="Q353" s="27"/>
      <c r="R353" s="27"/>
      <c r="S353" s="27"/>
      <c r="T353" s="27"/>
      <c r="U353" s="27"/>
      <c r="V353" s="27"/>
      <c r="W353" s="27"/>
      <c r="X353" s="27"/>
      <c r="Y353" s="27"/>
      <c r="Z353" s="27"/>
      <c r="AA353" s="27"/>
      <c r="AB353" s="27"/>
      <c r="AC353" s="27"/>
    </row>
    <row r="354" spans="1:29">
      <c r="A354" s="358"/>
      <c r="B354" s="359"/>
      <c r="C354" s="360"/>
      <c r="D354" s="27"/>
      <c r="E354" s="27"/>
      <c r="F354" s="27"/>
      <c r="G354" s="27"/>
      <c r="H354" s="27"/>
      <c r="I354" s="27"/>
      <c r="J354" s="27"/>
      <c r="K354" s="27"/>
      <c r="L354" s="27"/>
      <c r="M354" s="27"/>
      <c r="N354" s="27"/>
      <c r="O354" s="27"/>
      <c r="P354" s="27"/>
      <c r="Q354" s="27"/>
      <c r="R354" s="27"/>
      <c r="S354" s="27"/>
      <c r="T354" s="27"/>
      <c r="U354" s="27"/>
      <c r="V354" s="27"/>
      <c r="W354" s="27"/>
      <c r="X354" s="27"/>
      <c r="Y354" s="27"/>
      <c r="Z354" s="27"/>
      <c r="AA354" s="27"/>
      <c r="AB354" s="27"/>
      <c r="AC354" s="27"/>
    </row>
    <row r="355" spans="1:29">
      <c r="A355" s="358"/>
      <c r="B355" s="359"/>
      <c r="C355" s="360"/>
      <c r="D355" s="27"/>
      <c r="E355" s="27"/>
      <c r="F355" s="27"/>
      <c r="G355" s="27"/>
      <c r="H355" s="27"/>
      <c r="I355" s="27"/>
      <c r="J355" s="27"/>
      <c r="K355" s="27"/>
      <c r="L355" s="27"/>
      <c r="M355" s="27"/>
      <c r="N355" s="27"/>
      <c r="O355" s="27"/>
      <c r="P355" s="27"/>
      <c r="Q355" s="27"/>
      <c r="R355" s="27"/>
      <c r="S355" s="27"/>
      <c r="T355" s="27"/>
      <c r="U355" s="27"/>
      <c r="V355" s="27"/>
      <c r="W355" s="27"/>
      <c r="X355" s="27"/>
      <c r="Y355" s="27"/>
      <c r="Z355" s="27"/>
      <c r="AA355" s="27"/>
      <c r="AB355" s="27"/>
      <c r="AC355" s="27"/>
    </row>
    <row r="356" spans="1:29">
      <c r="A356" s="358"/>
      <c r="B356" s="359"/>
      <c r="C356" s="360"/>
      <c r="D356" s="27"/>
      <c r="E356" s="27"/>
      <c r="F356" s="27"/>
      <c r="G356" s="27"/>
      <c r="H356" s="27"/>
      <c r="I356" s="27"/>
      <c r="J356" s="27"/>
      <c r="K356" s="27"/>
      <c r="L356" s="27"/>
      <c r="M356" s="27"/>
      <c r="N356" s="27"/>
      <c r="O356" s="27"/>
      <c r="P356" s="27"/>
      <c r="Q356" s="27"/>
      <c r="R356" s="27"/>
      <c r="S356" s="27"/>
      <c r="T356" s="27"/>
      <c r="U356" s="27"/>
      <c r="V356" s="27"/>
      <c r="W356" s="27"/>
      <c r="X356" s="27"/>
      <c r="Y356" s="27"/>
      <c r="Z356" s="27"/>
      <c r="AA356" s="27"/>
      <c r="AB356" s="27"/>
      <c r="AC356" s="27"/>
    </row>
    <row r="357" spans="1:29">
      <c r="A357" s="358"/>
      <c r="B357" s="359"/>
      <c r="C357" s="360"/>
      <c r="D357" s="27"/>
      <c r="E357" s="27"/>
      <c r="F357" s="27"/>
      <c r="G357" s="27"/>
      <c r="H357" s="27"/>
      <c r="I357" s="27"/>
      <c r="J357" s="27"/>
      <c r="K357" s="27"/>
      <c r="L357" s="27"/>
      <c r="M357" s="27"/>
      <c r="N357" s="27"/>
      <c r="O357" s="27"/>
      <c r="P357" s="27"/>
      <c r="Q357" s="27"/>
      <c r="R357" s="27"/>
      <c r="S357" s="27"/>
      <c r="T357" s="27"/>
      <c r="U357" s="27"/>
      <c r="V357" s="27"/>
      <c r="W357" s="27"/>
      <c r="X357" s="27"/>
      <c r="Y357" s="27"/>
      <c r="Z357" s="27"/>
      <c r="AA357" s="27"/>
      <c r="AB357" s="27"/>
      <c r="AC357" s="27"/>
    </row>
    <row r="358" spans="1:29">
      <c r="A358" s="358"/>
      <c r="B358" s="359"/>
      <c r="C358" s="360"/>
      <c r="D358" s="27"/>
      <c r="E358" s="27"/>
      <c r="F358" s="27"/>
      <c r="G358" s="27"/>
      <c r="H358" s="27"/>
      <c r="I358" s="27"/>
      <c r="J358" s="27"/>
      <c r="K358" s="27"/>
      <c r="L358" s="27"/>
      <c r="M358" s="27"/>
      <c r="N358" s="27"/>
      <c r="O358" s="27"/>
      <c r="P358" s="27"/>
      <c r="Q358" s="27"/>
      <c r="R358" s="27"/>
      <c r="S358" s="27"/>
      <c r="T358" s="27"/>
      <c r="U358" s="27"/>
      <c r="V358" s="27"/>
      <c r="W358" s="27"/>
      <c r="X358" s="27"/>
      <c r="Y358" s="27"/>
      <c r="Z358" s="27"/>
      <c r="AA358" s="27"/>
      <c r="AB358" s="27"/>
      <c r="AC358" s="27"/>
    </row>
    <row r="359" spans="1:29">
      <c r="A359" s="358"/>
      <c r="B359" s="359"/>
      <c r="C359" s="360"/>
      <c r="D359" s="27"/>
      <c r="E359" s="27"/>
      <c r="F359" s="27"/>
      <c r="G359" s="27"/>
      <c r="H359" s="27"/>
      <c r="I359" s="27"/>
      <c r="J359" s="27"/>
      <c r="K359" s="27"/>
      <c r="L359" s="27"/>
      <c r="M359" s="27"/>
      <c r="N359" s="27"/>
      <c r="O359" s="27"/>
      <c r="P359" s="27"/>
      <c r="Q359" s="27"/>
      <c r="R359" s="27"/>
      <c r="S359" s="27"/>
      <c r="T359" s="27"/>
      <c r="U359" s="27"/>
      <c r="V359" s="27"/>
      <c r="W359" s="27"/>
      <c r="X359" s="27"/>
      <c r="Y359" s="27"/>
      <c r="Z359" s="27"/>
      <c r="AA359" s="27"/>
      <c r="AB359" s="27"/>
      <c r="AC359" s="27"/>
    </row>
    <row r="360" spans="1:29">
      <c r="A360" s="358"/>
      <c r="B360" s="359"/>
      <c r="C360" s="360"/>
      <c r="D360" s="27"/>
      <c r="E360" s="27"/>
      <c r="F360" s="27"/>
      <c r="G360" s="27"/>
      <c r="H360" s="27"/>
      <c r="I360" s="27"/>
      <c r="J360" s="27"/>
      <c r="K360" s="27"/>
      <c r="L360" s="27"/>
      <c r="M360" s="27"/>
      <c r="N360" s="27"/>
      <c r="O360" s="27"/>
      <c r="P360" s="27"/>
      <c r="Q360" s="27"/>
      <c r="R360" s="27"/>
      <c r="S360" s="27"/>
      <c r="T360" s="27"/>
      <c r="U360" s="27"/>
      <c r="V360" s="27"/>
      <c r="W360" s="27"/>
      <c r="X360" s="27"/>
      <c r="Y360" s="27"/>
      <c r="Z360" s="27"/>
      <c r="AA360" s="27"/>
      <c r="AB360" s="27"/>
      <c r="AC360" s="27"/>
    </row>
    <row r="361" spans="1:29">
      <c r="A361" s="358"/>
      <c r="B361" s="359"/>
      <c r="C361" s="360"/>
      <c r="D361" s="27"/>
      <c r="E361" s="27"/>
      <c r="F361" s="27"/>
      <c r="G361" s="27"/>
      <c r="H361" s="27"/>
      <c r="I361" s="27"/>
      <c r="J361" s="27"/>
      <c r="K361" s="27"/>
      <c r="L361" s="27"/>
      <c r="M361" s="27"/>
      <c r="N361" s="27"/>
      <c r="O361" s="27"/>
      <c r="P361" s="27"/>
      <c r="Q361" s="27"/>
      <c r="R361" s="27"/>
      <c r="S361" s="27"/>
      <c r="T361" s="27"/>
      <c r="U361" s="27"/>
      <c r="V361" s="27"/>
      <c r="W361" s="27"/>
      <c r="X361" s="27"/>
      <c r="Y361" s="27"/>
      <c r="Z361" s="27"/>
      <c r="AA361" s="27"/>
      <c r="AB361" s="27"/>
      <c r="AC361" s="27"/>
    </row>
    <row r="362" spans="1:29">
      <c r="A362" s="358"/>
      <c r="B362" s="359"/>
      <c r="C362" s="360"/>
      <c r="D362" s="27"/>
      <c r="E362" s="27"/>
      <c r="F362" s="27"/>
      <c r="G362" s="27"/>
      <c r="H362" s="27"/>
      <c r="I362" s="27"/>
      <c r="J362" s="27"/>
      <c r="K362" s="27"/>
      <c r="L362" s="27"/>
      <c r="M362" s="27"/>
      <c r="N362" s="27"/>
      <c r="O362" s="27"/>
      <c r="P362" s="27"/>
      <c r="Q362" s="27"/>
      <c r="R362" s="27"/>
      <c r="S362" s="27"/>
      <c r="T362" s="27"/>
      <c r="U362" s="27"/>
      <c r="V362" s="27"/>
      <c r="W362" s="27"/>
      <c r="X362" s="27"/>
      <c r="Y362" s="27"/>
      <c r="Z362" s="27"/>
      <c r="AA362" s="27"/>
      <c r="AB362" s="27"/>
      <c r="AC362" s="27"/>
    </row>
    <row r="363" spans="1:29">
      <c r="A363" s="358"/>
      <c r="B363" s="359"/>
      <c r="C363" s="360"/>
      <c r="D363" s="27"/>
      <c r="E363" s="27"/>
      <c r="F363" s="27"/>
      <c r="G363" s="27"/>
      <c r="H363" s="27"/>
      <c r="I363" s="27"/>
      <c r="J363" s="27"/>
      <c r="K363" s="27"/>
      <c r="L363" s="27"/>
      <c r="M363" s="27"/>
      <c r="N363" s="27"/>
      <c r="O363" s="27"/>
      <c r="P363" s="27"/>
      <c r="Q363" s="27"/>
      <c r="R363" s="27"/>
      <c r="S363" s="27"/>
      <c r="T363" s="27"/>
      <c r="U363" s="27"/>
      <c r="V363" s="27"/>
      <c r="W363" s="27"/>
      <c r="X363" s="27"/>
      <c r="Y363" s="27"/>
      <c r="Z363" s="27"/>
      <c r="AA363" s="27"/>
      <c r="AB363" s="27"/>
      <c r="AC363" s="27"/>
    </row>
    <row r="364" spans="1:29">
      <c r="A364" s="358"/>
      <c r="B364" s="359"/>
      <c r="C364" s="360"/>
      <c r="D364" s="27"/>
      <c r="E364" s="27"/>
      <c r="F364" s="27"/>
      <c r="G364" s="27"/>
      <c r="H364" s="27"/>
      <c r="I364" s="27"/>
      <c r="J364" s="27"/>
      <c r="K364" s="27"/>
      <c r="L364" s="27"/>
      <c r="M364" s="27"/>
      <c r="N364" s="27"/>
      <c r="O364" s="27"/>
      <c r="P364" s="27"/>
      <c r="Q364" s="27"/>
      <c r="R364" s="27"/>
      <c r="S364" s="27"/>
      <c r="T364" s="27"/>
      <c r="U364" s="27"/>
      <c r="V364" s="27"/>
      <c r="W364" s="27"/>
      <c r="X364" s="27"/>
      <c r="Y364" s="27"/>
      <c r="Z364" s="27"/>
      <c r="AA364" s="27"/>
      <c r="AB364" s="27"/>
      <c r="AC364" s="27"/>
    </row>
    <row r="365" spans="1:29">
      <c r="A365" s="358"/>
      <c r="B365" s="359"/>
      <c r="C365" s="360"/>
      <c r="D365" s="27"/>
      <c r="E365" s="27"/>
      <c r="F365" s="27"/>
      <c r="G365" s="27"/>
      <c r="H365" s="27"/>
      <c r="I365" s="27"/>
      <c r="J365" s="27"/>
      <c r="K365" s="27"/>
      <c r="L365" s="27"/>
      <c r="M365" s="27"/>
      <c r="N365" s="27"/>
      <c r="O365" s="27"/>
      <c r="P365" s="27"/>
      <c r="Q365" s="27"/>
      <c r="R365" s="27"/>
      <c r="S365" s="27"/>
      <c r="T365" s="27"/>
      <c r="U365" s="27"/>
      <c r="V365" s="27"/>
      <c r="W365" s="27"/>
      <c r="X365" s="27"/>
      <c r="Y365" s="27"/>
      <c r="Z365" s="27"/>
      <c r="AA365" s="27"/>
      <c r="AB365" s="27"/>
      <c r="AC365" s="27"/>
    </row>
    <row r="366" spans="1:29">
      <c r="A366" s="358"/>
      <c r="B366" s="359"/>
      <c r="C366" s="360"/>
      <c r="D366" s="27"/>
      <c r="E366" s="27"/>
      <c r="F366" s="27"/>
      <c r="G366" s="27"/>
      <c r="H366" s="27"/>
      <c r="I366" s="27"/>
      <c r="J366" s="27"/>
      <c r="K366" s="27"/>
      <c r="L366" s="27"/>
      <c r="M366" s="27"/>
      <c r="N366" s="27"/>
      <c r="O366" s="27"/>
      <c r="P366" s="27"/>
      <c r="Q366" s="27"/>
      <c r="R366" s="27"/>
      <c r="S366" s="27"/>
      <c r="T366" s="27"/>
      <c r="U366" s="27"/>
      <c r="V366" s="27"/>
      <c r="W366" s="27"/>
      <c r="X366" s="27"/>
      <c r="Y366" s="27"/>
      <c r="Z366" s="27"/>
      <c r="AA366" s="27"/>
      <c r="AB366" s="27"/>
      <c r="AC366" s="27"/>
    </row>
    <row r="367" spans="1:29">
      <c r="A367" s="358"/>
      <c r="B367" s="359"/>
      <c r="C367" s="360"/>
      <c r="D367" s="27"/>
      <c r="E367" s="27"/>
      <c r="F367" s="27"/>
      <c r="G367" s="27"/>
      <c r="H367" s="27"/>
      <c r="I367" s="27"/>
      <c r="J367" s="27"/>
      <c r="K367" s="27"/>
      <c r="L367" s="27"/>
      <c r="M367" s="27"/>
      <c r="N367" s="27"/>
      <c r="O367" s="27"/>
      <c r="P367" s="27"/>
      <c r="Q367" s="27"/>
      <c r="R367" s="27"/>
      <c r="S367" s="27"/>
      <c r="T367" s="27"/>
      <c r="U367" s="27"/>
      <c r="V367" s="27"/>
      <c r="W367" s="27"/>
      <c r="X367" s="27"/>
      <c r="Y367" s="27"/>
      <c r="Z367" s="27"/>
      <c r="AA367" s="27"/>
      <c r="AB367" s="27"/>
      <c r="AC367" s="27"/>
    </row>
    <row r="368" spans="1:29">
      <c r="A368" s="358"/>
      <c r="B368" s="359"/>
      <c r="C368" s="360"/>
      <c r="D368" s="27"/>
      <c r="E368" s="27"/>
      <c r="F368" s="27"/>
      <c r="G368" s="27"/>
      <c r="H368" s="27"/>
      <c r="I368" s="27"/>
      <c r="J368" s="27"/>
      <c r="K368" s="27"/>
      <c r="L368" s="27"/>
      <c r="M368" s="27"/>
      <c r="N368" s="27"/>
      <c r="O368" s="27"/>
      <c r="P368" s="27"/>
      <c r="Q368" s="27"/>
      <c r="R368" s="27"/>
      <c r="S368" s="27"/>
      <c r="T368" s="27"/>
      <c r="U368" s="27"/>
      <c r="V368" s="27"/>
      <c r="W368" s="27"/>
      <c r="X368" s="27"/>
      <c r="Y368" s="27"/>
      <c r="Z368" s="27"/>
      <c r="AA368" s="27"/>
      <c r="AB368" s="27"/>
      <c r="AC368" s="27"/>
    </row>
    <row r="369" spans="1:29">
      <c r="A369" s="358"/>
      <c r="B369" s="359"/>
      <c r="C369" s="360"/>
      <c r="D369" s="27"/>
      <c r="E369" s="27"/>
      <c r="F369" s="27"/>
      <c r="G369" s="27"/>
      <c r="H369" s="27"/>
      <c r="I369" s="27"/>
      <c r="J369" s="27"/>
      <c r="K369" s="27"/>
      <c r="L369" s="27"/>
      <c r="M369" s="27"/>
      <c r="N369" s="27"/>
      <c r="O369" s="27"/>
      <c r="P369" s="27"/>
      <c r="Q369" s="27"/>
      <c r="R369" s="27"/>
      <c r="S369" s="27"/>
      <c r="T369" s="27"/>
      <c r="U369" s="27"/>
      <c r="V369" s="27"/>
      <c r="W369" s="27"/>
      <c r="X369" s="27"/>
      <c r="Y369" s="27"/>
      <c r="Z369" s="27"/>
      <c r="AA369" s="27"/>
      <c r="AB369" s="27"/>
      <c r="AC369" s="27"/>
    </row>
    <row r="370" spans="1:29">
      <c r="A370" s="358"/>
      <c r="B370" s="359"/>
      <c r="C370" s="360"/>
      <c r="D370" s="27"/>
      <c r="E370" s="27"/>
      <c r="F370" s="27"/>
      <c r="G370" s="27"/>
      <c r="H370" s="27"/>
      <c r="I370" s="27"/>
      <c r="J370" s="27"/>
      <c r="K370" s="27"/>
      <c r="L370" s="27"/>
      <c r="M370" s="27"/>
      <c r="N370" s="27"/>
      <c r="O370" s="27"/>
      <c r="P370" s="27"/>
      <c r="Q370" s="27"/>
      <c r="R370" s="27"/>
      <c r="S370" s="27"/>
      <c r="T370" s="27"/>
      <c r="U370" s="27"/>
      <c r="V370" s="27"/>
      <c r="W370" s="27"/>
      <c r="X370" s="27"/>
      <c r="Y370" s="27"/>
      <c r="Z370" s="27"/>
      <c r="AA370" s="27"/>
      <c r="AB370" s="27"/>
      <c r="AC370" s="27"/>
    </row>
    <row r="371" spans="1:29">
      <c r="A371" s="358"/>
      <c r="B371" s="359"/>
      <c r="C371" s="360"/>
      <c r="D371" s="27"/>
      <c r="E371" s="27"/>
      <c r="F371" s="27"/>
      <c r="G371" s="27"/>
      <c r="H371" s="27"/>
      <c r="I371" s="27"/>
      <c r="J371" s="27"/>
      <c r="K371" s="27"/>
      <c r="L371" s="27"/>
      <c r="M371" s="27"/>
      <c r="N371" s="27"/>
      <c r="O371" s="27"/>
      <c r="P371" s="27"/>
      <c r="Q371" s="27"/>
      <c r="R371" s="27"/>
      <c r="S371" s="27"/>
      <c r="T371" s="27"/>
      <c r="U371" s="27"/>
      <c r="V371" s="27"/>
      <c r="W371" s="27"/>
      <c r="X371" s="27"/>
      <c r="Y371" s="27"/>
      <c r="Z371" s="27"/>
      <c r="AA371" s="27"/>
      <c r="AB371" s="27"/>
      <c r="AC371" s="27"/>
    </row>
    <row r="372" spans="1:29">
      <c r="A372" s="358"/>
      <c r="B372" s="359"/>
      <c r="C372" s="360"/>
      <c r="D372" s="27"/>
      <c r="E372" s="27"/>
      <c r="F372" s="27"/>
      <c r="G372" s="27"/>
      <c r="H372" s="27"/>
      <c r="I372" s="27"/>
      <c r="J372" s="27"/>
      <c r="K372" s="27"/>
      <c r="L372" s="27"/>
      <c r="M372" s="27"/>
      <c r="N372" s="27"/>
      <c r="O372" s="27"/>
      <c r="P372" s="27"/>
      <c r="Q372" s="27"/>
      <c r="R372" s="27"/>
      <c r="S372" s="27"/>
      <c r="T372" s="27"/>
      <c r="U372" s="27"/>
      <c r="V372" s="27"/>
      <c r="W372" s="27"/>
      <c r="X372" s="27"/>
      <c r="Y372" s="27"/>
      <c r="Z372" s="27"/>
      <c r="AA372" s="27"/>
      <c r="AB372" s="27"/>
      <c r="AC372" s="27"/>
    </row>
    <row r="373" spans="1:29">
      <c r="A373" s="358"/>
      <c r="B373" s="359"/>
      <c r="C373" s="360"/>
      <c r="D373" s="27"/>
      <c r="E373" s="27"/>
      <c r="F373" s="27"/>
      <c r="G373" s="27"/>
      <c r="H373" s="27"/>
      <c r="I373" s="27"/>
      <c r="J373" s="27"/>
      <c r="K373" s="27"/>
      <c r="L373" s="27"/>
      <c r="M373" s="27"/>
      <c r="N373" s="27"/>
      <c r="O373" s="27"/>
      <c r="P373" s="27"/>
      <c r="Q373" s="27"/>
      <c r="R373" s="27"/>
      <c r="S373" s="27"/>
      <c r="T373" s="27"/>
      <c r="U373" s="27"/>
      <c r="V373" s="27"/>
      <c r="W373" s="27"/>
      <c r="X373" s="27"/>
      <c r="Y373" s="27"/>
      <c r="Z373" s="27"/>
      <c r="AA373" s="27"/>
      <c r="AB373" s="27"/>
      <c r="AC373" s="27"/>
    </row>
    <row r="374" spans="1:29">
      <c r="A374" s="358"/>
      <c r="B374" s="359"/>
      <c r="C374" s="360"/>
      <c r="D374" s="27"/>
      <c r="E374" s="27"/>
      <c r="F374" s="27"/>
      <c r="G374" s="27"/>
      <c r="H374" s="27"/>
      <c r="I374" s="27"/>
      <c r="J374" s="27"/>
      <c r="K374" s="27"/>
      <c r="L374" s="27"/>
      <c r="M374" s="27"/>
      <c r="N374" s="27"/>
      <c r="O374" s="27"/>
      <c r="P374" s="27"/>
      <c r="Q374" s="27"/>
      <c r="R374" s="27"/>
      <c r="S374" s="27"/>
      <c r="T374" s="27"/>
      <c r="U374" s="27"/>
      <c r="V374" s="27"/>
      <c r="W374" s="27"/>
      <c r="X374" s="27"/>
      <c r="Y374" s="27"/>
      <c r="Z374" s="27"/>
      <c r="AA374" s="27"/>
      <c r="AB374" s="27"/>
      <c r="AC374" s="27"/>
    </row>
    <row r="375" spans="1:29">
      <c r="A375" s="358"/>
      <c r="B375" s="359"/>
      <c r="C375" s="360"/>
      <c r="D375" s="27"/>
      <c r="E375" s="27"/>
      <c r="F375" s="27"/>
      <c r="G375" s="27"/>
      <c r="H375" s="27"/>
      <c r="I375" s="27"/>
      <c r="J375" s="27"/>
      <c r="K375" s="27"/>
      <c r="L375" s="27"/>
      <c r="M375" s="27"/>
      <c r="N375" s="27"/>
      <c r="O375" s="27"/>
      <c r="P375" s="27"/>
      <c r="Q375" s="27"/>
      <c r="R375" s="27"/>
      <c r="S375" s="27"/>
      <c r="T375" s="27"/>
      <c r="U375" s="27"/>
      <c r="V375" s="27"/>
      <c r="W375" s="27"/>
      <c r="X375" s="27"/>
      <c r="Y375" s="27"/>
      <c r="Z375" s="27"/>
      <c r="AA375" s="27"/>
      <c r="AB375" s="27"/>
      <c r="AC375" s="27"/>
    </row>
    <row r="376" spans="1:29">
      <c r="A376" s="358"/>
      <c r="B376" s="359"/>
      <c r="C376" s="360"/>
      <c r="D376" s="27"/>
      <c r="E376" s="27"/>
      <c r="F376" s="27"/>
      <c r="G376" s="27"/>
      <c r="H376" s="27"/>
      <c r="I376" s="27"/>
      <c r="J376" s="27"/>
      <c r="K376" s="27"/>
      <c r="L376" s="27"/>
      <c r="M376" s="27"/>
      <c r="N376" s="27"/>
      <c r="O376" s="27"/>
      <c r="P376" s="27"/>
      <c r="Q376" s="27"/>
      <c r="R376" s="27"/>
      <c r="S376" s="27"/>
      <c r="T376" s="27"/>
      <c r="U376" s="27"/>
      <c r="V376" s="27"/>
      <c r="W376" s="27"/>
      <c r="X376" s="27"/>
      <c r="Y376" s="27"/>
      <c r="Z376" s="27"/>
      <c r="AA376" s="27"/>
      <c r="AB376" s="27"/>
      <c r="AC376" s="27"/>
    </row>
    <row r="377" spans="1:29">
      <c r="A377" s="358"/>
      <c r="B377" s="359"/>
      <c r="C377" s="360"/>
      <c r="D377" s="27"/>
      <c r="E377" s="27"/>
      <c r="F377" s="27"/>
      <c r="G377" s="27"/>
      <c r="H377" s="27"/>
      <c r="I377" s="27"/>
      <c r="J377" s="27"/>
      <c r="K377" s="27"/>
      <c r="L377" s="27"/>
      <c r="M377" s="27"/>
      <c r="N377" s="27"/>
      <c r="O377" s="27"/>
      <c r="P377" s="27"/>
      <c r="Q377" s="27"/>
      <c r="R377" s="27"/>
      <c r="S377" s="27"/>
      <c r="T377" s="27"/>
      <c r="U377" s="27"/>
      <c r="V377" s="27"/>
      <c r="W377" s="27"/>
      <c r="X377" s="27"/>
      <c r="Y377" s="27"/>
      <c r="Z377" s="27"/>
      <c r="AA377" s="27"/>
      <c r="AB377" s="27"/>
      <c r="AC377" s="27"/>
    </row>
    <row r="378" spans="1:29">
      <c r="A378" s="358"/>
      <c r="B378" s="359"/>
      <c r="C378" s="360"/>
      <c r="D378" s="27"/>
      <c r="E378" s="27"/>
      <c r="F378" s="27"/>
      <c r="G378" s="27"/>
      <c r="H378" s="27"/>
      <c r="I378" s="27"/>
      <c r="J378" s="27"/>
      <c r="K378" s="27"/>
      <c r="L378" s="27"/>
      <c r="M378" s="27"/>
      <c r="N378" s="27"/>
      <c r="O378" s="27"/>
      <c r="P378" s="27"/>
      <c r="Q378" s="27"/>
      <c r="R378" s="27"/>
      <c r="S378" s="27"/>
      <c r="T378" s="27"/>
      <c r="U378" s="27"/>
      <c r="V378" s="27"/>
      <c r="W378" s="27"/>
      <c r="X378" s="27"/>
      <c r="Y378" s="27"/>
      <c r="Z378" s="27"/>
      <c r="AA378" s="27"/>
      <c r="AB378" s="27"/>
      <c r="AC378" s="27"/>
    </row>
    <row r="379" spans="1:29">
      <c r="A379" s="358"/>
      <c r="B379" s="359"/>
      <c r="C379" s="360"/>
      <c r="D379" s="27"/>
      <c r="E379" s="27"/>
      <c r="F379" s="27"/>
      <c r="G379" s="27"/>
      <c r="H379" s="27"/>
      <c r="I379" s="27"/>
      <c r="J379" s="27"/>
      <c r="K379" s="27"/>
      <c r="L379" s="27"/>
      <c r="M379" s="27"/>
      <c r="N379" s="27"/>
      <c r="O379" s="27"/>
      <c r="P379" s="27"/>
      <c r="Q379" s="27"/>
      <c r="R379" s="27"/>
      <c r="S379" s="27"/>
      <c r="T379" s="27"/>
      <c r="U379" s="27"/>
      <c r="V379" s="27"/>
      <c r="W379" s="27"/>
      <c r="X379" s="27"/>
      <c r="Y379" s="27"/>
      <c r="Z379" s="27"/>
      <c r="AA379" s="27"/>
      <c r="AB379" s="27"/>
      <c r="AC379" s="27"/>
    </row>
    <row r="380" spans="1:29">
      <c r="A380" s="358"/>
      <c r="B380" s="359"/>
      <c r="C380" s="360"/>
      <c r="D380" s="27"/>
      <c r="E380" s="27"/>
      <c r="F380" s="27"/>
      <c r="G380" s="27"/>
      <c r="H380" s="27"/>
      <c r="I380" s="27"/>
      <c r="J380" s="27"/>
      <c r="K380" s="27"/>
      <c r="L380" s="27"/>
      <c r="M380" s="27"/>
      <c r="N380" s="27"/>
      <c r="O380" s="27"/>
      <c r="P380" s="27"/>
      <c r="Q380" s="27"/>
      <c r="R380" s="27"/>
      <c r="S380" s="27"/>
      <c r="T380" s="27"/>
      <c r="U380" s="27"/>
      <c r="V380" s="27"/>
      <c r="W380" s="27"/>
      <c r="X380" s="27"/>
      <c r="Y380" s="27"/>
      <c r="Z380" s="27"/>
      <c r="AA380" s="27"/>
      <c r="AB380" s="27"/>
      <c r="AC380" s="27"/>
    </row>
    <row r="381" spans="1:29">
      <c r="A381" s="358"/>
      <c r="B381" s="359"/>
      <c r="C381" s="360"/>
      <c r="D381" s="27"/>
      <c r="E381" s="27"/>
      <c r="F381" s="27"/>
      <c r="G381" s="27"/>
      <c r="H381" s="27"/>
      <c r="I381" s="27"/>
      <c r="J381" s="27"/>
      <c r="K381" s="27"/>
      <c r="L381" s="27"/>
      <c r="M381" s="27"/>
      <c r="N381" s="27"/>
      <c r="O381" s="27"/>
      <c r="P381" s="27"/>
      <c r="Q381" s="27"/>
      <c r="R381" s="27"/>
      <c r="S381" s="27"/>
      <c r="T381" s="27"/>
      <c r="U381" s="27"/>
      <c r="V381" s="27"/>
      <c r="W381" s="27"/>
      <c r="X381" s="27"/>
      <c r="Y381" s="27"/>
      <c r="Z381" s="27"/>
      <c r="AA381" s="27"/>
      <c r="AB381" s="27"/>
      <c r="AC381" s="27"/>
    </row>
    <row r="382" spans="1:29">
      <c r="A382" s="358"/>
      <c r="B382" s="359"/>
      <c r="C382" s="360"/>
      <c r="D382" s="27"/>
      <c r="E382" s="27"/>
      <c r="F382" s="27"/>
      <c r="G382" s="27"/>
      <c r="H382" s="27"/>
      <c r="I382" s="27"/>
      <c r="J382" s="27"/>
      <c r="K382" s="27"/>
      <c r="L382" s="27"/>
      <c r="M382" s="27"/>
      <c r="N382" s="27"/>
      <c r="O382" s="27"/>
      <c r="P382" s="27"/>
      <c r="Q382" s="27"/>
      <c r="R382" s="27"/>
      <c r="S382" s="27"/>
      <c r="T382" s="27"/>
      <c r="U382" s="27"/>
      <c r="V382" s="27"/>
      <c r="W382" s="27"/>
      <c r="X382" s="27"/>
      <c r="Y382" s="27"/>
      <c r="Z382" s="27"/>
      <c r="AA382" s="27"/>
      <c r="AB382" s="27"/>
      <c r="AC382" s="27"/>
    </row>
    <row r="383" spans="1:29">
      <c r="A383" s="358"/>
      <c r="B383" s="359"/>
      <c r="C383" s="360"/>
      <c r="D383" s="27"/>
      <c r="E383" s="27"/>
      <c r="F383" s="27"/>
      <c r="G383" s="27"/>
      <c r="H383" s="27"/>
      <c r="I383" s="27"/>
      <c r="J383" s="27"/>
      <c r="K383" s="27"/>
      <c r="L383" s="27"/>
      <c r="M383" s="27"/>
      <c r="N383" s="27"/>
      <c r="O383" s="27"/>
      <c r="P383" s="27"/>
      <c r="Q383" s="27"/>
      <c r="R383" s="27"/>
      <c r="S383" s="27"/>
      <c r="T383" s="27"/>
      <c r="U383" s="27"/>
      <c r="V383" s="27"/>
      <c r="W383" s="27"/>
      <c r="X383" s="27"/>
      <c r="Y383" s="27"/>
      <c r="Z383" s="27"/>
      <c r="AA383" s="27"/>
      <c r="AB383" s="27"/>
      <c r="AC383" s="27"/>
    </row>
    <row r="384" spans="1:29">
      <c r="A384" s="358"/>
      <c r="B384" s="359"/>
      <c r="C384" s="360"/>
      <c r="D384" s="27"/>
      <c r="E384" s="27"/>
      <c r="F384" s="27"/>
      <c r="G384" s="27"/>
      <c r="H384" s="27"/>
      <c r="I384" s="27"/>
      <c r="J384" s="27"/>
      <c r="K384" s="27"/>
      <c r="L384" s="27"/>
      <c r="M384" s="27"/>
      <c r="N384" s="27"/>
      <c r="O384" s="27"/>
      <c r="P384" s="27"/>
      <c r="Q384" s="27"/>
      <c r="R384" s="27"/>
      <c r="S384" s="27"/>
      <c r="T384" s="27"/>
      <c r="U384" s="27"/>
      <c r="V384" s="27"/>
      <c r="W384" s="27"/>
      <c r="X384" s="27"/>
      <c r="Y384" s="27"/>
      <c r="Z384" s="27"/>
      <c r="AA384" s="27"/>
      <c r="AB384" s="27"/>
      <c r="AC384" s="27"/>
    </row>
    <row r="385" spans="1:29">
      <c r="A385" s="358"/>
      <c r="B385" s="359"/>
      <c r="C385" s="360"/>
      <c r="D385" s="27"/>
      <c r="E385" s="27"/>
      <c r="F385" s="27"/>
      <c r="G385" s="27"/>
      <c r="H385" s="27"/>
      <c r="I385" s="27"/>
      <c r="J385" s="27"/>
      <c r="K385" s="27"/>
      <c r="L385" s="27"/>
      <c r="M385" s="27"/>
      <c r="N385" s="27"/>
      <c r="O385" s="27"/>
      <c r="P385" s="27"/>
      <c r="Q385" s="27"/>
      <c r="R385" s="27"/>
      <c r="S385" s="27"/>
      <c r="T385" s="27"/>
      <c r="U385" s="27"/>
      <c r="V385" s="27"/>
      <c r="W385" s="27"/>
      <c r="X385" s="27"/>
      <c r="Y385" s="27"/>
      <c r="Z385" s="27"/>
      <c r="AA385" s="27"/>
      <c r="AB385" s="27"/>
      <c r="AC385" s="27"/>
    </row>
    <row r="386" spans="1:29">
      <c r="A386" s="358"/>
      <c r="B386" s="359"/>
      <c r="C386" s="360"/>
      <c r="D386" s="27"/>
      <c r="E386" s="27"/>
      <c r="F386" s="27"/>
      <c r="G386" s="27"/>
      <c r="H386" s="27"/>
      <c r="I386" s="27"/>
      <c r="J386" s="27"/>
      <c r="K386" s="27"/>
      <c r="L386" s="27"/>
      <c r="M386" s="27"/>
      <c r="N386" s="27"/>
      <c r="O386" s="27"/>
      <c r="P386" s="27"/>
      <c r="Q386" s="27"/>
      <c r="R386" s="27"/>
      <c r="S386" s="27"/>
      <c r="T386" s="27"/>
      <c r="U386" s="27"/>
      <c r="V386" s="27"/>
      <c r="W386" s="27"/>
      <c r="X386" s="27"/>
      <c r="Y386" s="27"/>
      <c r="Z386" s="27"/>
      <c r="AA386" s="27"/>
      <c r="AB386" s="27"/>
      <c r="AC386" s="27"/>
    </row>
    <row r="387" spans="1:29">
      <c r="A387" s="358"/>
      <c r="B387" s="359"/>
      <c r="C387" s="360"/>
      <c r="D387" s="27"/>
      <c r="E387" s="27"/>
      <c r="F387" s="27"/>
      <c r="G387" s="27"/>
      <c r="H387" s="27"/>
      <c r="I387" s="27"/>
      <c r="J387" s="27"/>
      <c r="K387" s="27"/>
      <c r="L387" s="27"/>
      <c r="M387" s="27"/>
      <c r="N387" s="27"/>
      <c r="O387" s="27"/>
      <c r="P387" s="27"/>
      <c r="Q387" s="27"/>
      <c r="R387" s="27"/>
      <c r="S387" s="27"/>
      <c r="T387" s="27"/>
      <c r="U387" s="27"/>
      <c r="V387" s="27"/>
      <c r="W387" s="27"/>
      <c r="X387" s="27"/>
      <c r="Y387" s="27"/>
      <c r="Z387" s="27"/>
      <c r="AA387" s="27"/>
      <c r="AB387" s="27"/>
      <c r="AC387" s="27"/>
    </row>
    <row r="388" spans="1:29">
      <c r="A388" s="358"/>
      <c r="B388" s="359"/>
      <c r="C388" s="360"/>
      <c r="D388" s="27"/>
      <c r="E388" s="27"/>
      <c r="F388" s="27"/>
      <c r="G388" s="27"/>
      <c r="H388" s="27"/>
      <c r="I388" s="27"/>
      <c r="J388" s="27"/>
      <c r="K388" s="27"/>
      <c r="L388" s="27"/>
      <c r="M388" s="27"/>
      <c r="N388" s="27"/>
      <c r="O388" s="27"/>
      <c r="P388" s="27"/>
      <c r="Q388" s="27"/>
      <c r="R388" s="27"/>
      <c r="S388" s="27"/>
      <c r="T388" s="27"/>
      <c r="U388" s="27"/>
      <c r="V388" s="27"/>
      <c r="W388" s="27"/>
      <c r="X388" s="27"/>
      <c r="Y388" s="27"/>
      <c r="Z388" s="27"/>
      <c r="AA388" s="27"/>
      <c r="AB388" s="27"/>
      <c r="AC388" s="27"/>
    </row>
    <row r="389" spans="1:29">
      <c r="A389" s="358"/>
      <c r="B389" s="359"/>
      <c r="C389" s="360"/>
      <c r="D389" s="27"/>
      <c r="E389" s="27"/>
      <c r="F389" s="27"/>
      <c r="G389" s="27"/>
      <c r="H389" s="27"/>
      <c r="I389" s="27"/>
      <c r="J389" s="27"/>
      <c r="K389" s="27"/>
      <c r="L389" s="27"/>
      <c r="M389" s="27"/>
      <c r="N389" s="27"/>
      <c r="O389" s="27"/>
      <c r="P389" s="27"/>
      <c r="Q389" s="27"/>
      <c r="R389" s="27"/>
      <c r="S389" s="27"/>
      <c r="T389" s="27"/>
      <c r="U389" s="27"/>
      <c r="V389" s="27"/>
      <c r="W389" s="27"/>
      <c r="X389" s="27"/>
      <c r="Y389" s="27"/>
      <c r="Z389" s="27"/>
      <c r="AA389" s="27"/>
      <c r="AB389" s="27"/>
      <c r="AC389" s="27"/>
    </row>
    <row r="390" spans="1:29">
      <c r="A390" s="358"/>
      <c r="B390" s="359"/>
      <c r="C390" s="360"/>
      <c r="D390" s="27"/>
      <c r="E390" s="27"/>
      <c r="F390" s="27"/>
      <c r="G390" s="27"/>
      <c r="H390" s="27"/>
      <c r="I390" s="27"/>
      <c r="J390" s="27"/>
      <c r="K390" s="27"/>
      <c r="L390" s="27"/>
      <c r="M390" s="27"/>
      <c r="N390" s="27"/>
      <c r="O390" s="27"/>
      <c r="P390" s="27"/>
      <c r="Q390" s="27"/>
      <c r="R390" s="27"/>
      <c r="S390" s="27"/>
      <c r="T390" s="27"/>
      <c r="U390" s="27"/>
      <c r="V390" s="27"/>
      <c r="W390" s="27"/>
      <c r="X390" s="27"/>
      <c r="Y390" s="27"/>
      <c r="Z390" s="27"/>
      <c r="AA390" s="27"/>
      <c r="AB390" s="27"/>
      <c r="AC390" s="27"/>
    </row>
    <row r="391" spans="1:29">
      <c r="A391" s="358"/>
      <c r="B391" s="359"/>
      <c r="C391" s="360"/>
      <c r="D391" s="27"/>
      <c r="E391" s="27"/>
      <c r="F391" s="27"/>
      <c r="G391" s="27"/>
      <c r="H391" s="27"/>
      <c r="I391" s="27"/>
      <c r="J391" s="27"/>
      <c r="K391" s="27"/>
      <c r="L391" s="27"/>
      <c r="M391" s="27"/>
      <c r="N391" s="27"/>
      <c r="O391" s="27"/>
      <c r="P391" s="27"/>
      <c r="Q391" s="27"/>
      <c r="R391" s="27"/>
      <c r="S391" s="27"/>
      <c r="T391" s="27"/>
      <c r="U391" s="27"/>
      <c r="V391" s="27"/>
      <c r="W391" s="27"/>
      <c r="X391" s="27"/>
      <c r="Y391" s="27"/>
      <c r="Z391" s="27"/>
      <c r="AA391" s="27"/>
      <c r="AB391" s="27"/>
      <c r="AC391" s="27"/>
    </row>
    <row r="392" spans="1:29">
      <c r="A392" s="358"/>
      <c r="B392" s="359"/>
      <c r="C392" s="360"/>
      <c r="D392" s="27"/>
      <c r="E392" s="27"/>
      <c r="F392" s="27"/>
      <c r="G392" s="27"/>
      <c r="H392" s="27"/>
      <c r="I392" s="27"/>
      <c r="J392" s="27"/>
      <c r="K392" s="27"/>
      <c r="L392" s="27"/>
      <c r="M392" s="27"/>
      <c r="N392" s="27"/>
      <c r="O392" s="27"/>
      <c r="P392" s="27"/>
      <c r="Q392" s="27"/>
      <c r="R392" s="27"/>
      <c r="S392" s="27"/>
      <c r="T392" s="27"/>
      <c r="U392" s="27"/>
      <c r="V392" s="27"/>
      <c r="W392" s="27"/>
      <c r="X392" s="27"/>
      <c r="Y392" s="27"/>
      <c r="Z392" s="27"/>
      <c r="AA392" s="27"/>
      <c r="AB392" s="27"/>
      <c r="AC392" s="27"/>
    </row>
    <row r="393" spans="1:29">
      <c r="A393" s="358"/>
      <c r="B393" s="359"/>
      <c r="C393" s="360"/>
      <c r="D393" s="27"/>
      <c r="E393" s="27"/>
      <c r="F393" s="27"/>
      <c r="G393" s="27"/>
      <c r="H393" s="27"/>
      <c r="I393" s="27"/>
      <c r="J393" s="27"/>
      <c r="K393" s="27"/>
      <c r="L393" s="27"/>
      <c r="M393" s="27"/>
      <c r="N393" s="27"/>
      <c r="O393" s="27"/>
      <c r="P393" s="27"/>
      <c r="Q393" s="27"/>
      <c r="R393" s="27"/>
      <c r="S393" s="27"/>
      <c r="T393" s="27"/>
      <c r="U393" s="27"/>
      <c r="V393" s="27"/>
      <c r="W393" s="27"/>
      <c r="X393" s="27"/>
      <c r="Y393" s="27"/>
      <c r="Z393" s="27"/>
      <c r="AA393" s="27"/>
      <c r="AB393" s="27"/>
      <c r="AC393" s="27"/>
    </row>
    <row r="394" spans="1:29">
      <c r="A394" s="358"/>
      <c r="B394" s="359"/>
      <c r="C394" s="360"/>
      <c r="D394" s="27"/>
      <c r="E394" s="27"/>
      <c r="F394" s="27"/>
      <c r="G394" s="27"/>
      <c r="H394" s="27"/>
      <c r="I394" s="27"/>
      <c r="J394" s="27"/>
      <c r="K394" s="27"/>
      <c r="L394" s="27"/>
      <c r="M394" s="27"/>
      <c r="N394" s="27"/>
      <c r="O394" s="27"/>
      <c r="P394" s="27"/>
      <c r="Q394" s="27"/>
      <c r="R394" s="27"/>
      <c r="S394" s="27"/>
      <c r="T394" s="27"/>
      <c r="U394" s="27"/>
      <c r="V394" s="27"/>
      <c r="W394" s="27"/>
      <c r="X394" s="27"/>
      <c r="Y394" s="27"/>
      <c r="Z394" s="27"/>
      <c r="AA394" s="27"/>
      <c r="AB394" s="27"/>
      <c r="AC394" s="27"/>
    </row>
    <row r="395" spans="1:29">
      <c r="A395" s="358"/>
      <c r="B395" s="359"/>
      <c r="C395" s="360"/>
      <c r="D395" s="27"/>
      <c r="E395" s="27"/>
      <c r="F395" s="27"/>
      <c r="G395" s="27"/>
      <c r="H395" s="27"/>
      <c r="I395" s="27"/>
      <c r="J395" s="27"/>
      <c r="K395" s="27"/>
      <c r="L395" s="27"/>
      <c r="M395" s="27"/>
      <c r="N395" s="27"/>
      <c r="O395" s="27"/>
      <c r="P395" s="27"/>
      <c r="Q395" s="27"/>
      <c r="R395" s="27"/>
      <c r="S395" s="27"/>
      <c r="T395" s="27"/>
      <c r="U395" s="27"/>
      <c r="V395" s="27"/>
      <c r="W395" s="27"/>
      <c r="X395" s="27"/>
      <c r="Y395" s="27"/>
      <c r="Z395" s="27"/>
      <c r="AA395" s="27"/>
      <c r="AB395" s="27"/>
      <c r="AC395" s="27"/>
    </row>
    <row r="396" spans="1:29">
      <c r="A396" s="358"/>
      <c r="B396" s="359"/>
      <c r="C396" s="360"/>
      <c r="D396" s="27"/>
      <c r="E396" s="27"/>
      <c r="F396" s="27"/>
      <c r="G396" s="27"/>
      <c r="H396" s="27"/>
      <c r="I396" s="27"/>
      <c r="J396" s="27"/>
      <c r="K396" s="27"/>
      <c r="L396" s="27"/>
      <c r="M396" s="27"/>
      <c r="N396" s="27"/>
      <c r="O396" s="27"/>
      <c r="P396" s="27"/>
      <c r="Q396" s="27"/>
      <c r="R396" s="27"/>
      <c r="S396" s="27"/>
      <c r="T396" s="27"/>
      <c r="U396" s="27"/>
      <c r="V396" s="27"/>
      <c r="W396" s="27"/>
      <c r="X396" s="27"/>
      <c r="Y396" s="27"/>
      <c r="Z396" s="27"/>
      <c r="AA396" s="27"/>
      <c r="AB396" s="27"/>
      <c r="AC396" s="27"/>
    </row>
    <row r="397" spans="1:29">
      <c r="A397" s="358"/>
      <c r="B397" s="359"/>
      <c r="C397" s="360"/>
      <c r="D397" s="27"/>
      <c r="E397" s="27"/>
      <c r="F397" s="27"/>
      <c r="G397" s="27"/>
      <c r="H397" s="27"/>
      <c r="I397" s="27"/>
      <c r="J397" s="27"/>
      <c r="K397" s="27"/>
      <c r="L397" s="27"/>
      <c r="M397" s="27"/>
      <c r="N397" s="27"/>
      <c r="O397" s="27"/>
      <c r="P397" s="27"/>
      <c r="Q397" s="27"/>
      <c r="R397" s="27"/>
      <c r="S397" s="27"/>
      <c r="T397" s="27"/>
      <c r="U397" s="27"/>
      <c r="V397" s="27"/>
      <c r="W397" s="27"/>
      <c r="X397" s="27"/>
      <c r="Y397" s="27"/>
      <c r="Z397" s="27"/>
      <c r="AA397" s="27"/>
      <c r="AB397" s="27"/>
      <c r="AC397" s="27"/>
    </row>
    <row r="398" spans="1:29">
      <c r="A398" s="358"/>
      <c r="B398" s="359"/>
      <c r="C398" s="360"/>
      <c r="D398" s="27"/>
      <c r="E398" s="27"/>
      <c r="F398" s="27"/>
      <c r="G398" s="27"/>
      <c r="H398" s="27"/>
      <c r="I398" s="27"/>
      <c r="J398" s="27"/>
      <c r="K398" s="27"/>
      <c r="L398" s="27"/>
      <c r="M398" s="27"/>
      <c r="N398" s="27"/>
      <c r="O398" s="27"/>
      <c r="P398" s="27"/>
      <c r="Q398" s="27"/>
      <c r="R398" s="27"/>
      <c r="S398" s="27"/>
      <c r="T398" s="27"/>
      <c r="U398" s="27"/>
      <c r="V398" s="27"/>
      <c r="W398" s="27"/>
      <c r="X398" s="27"/>
      <c r="Y398" s="27"/>
      <c r="Z398" s="27"/>
      <c r="AA398" s="27"/>
      <c r="AB398" s="27"/>
      <c r="AC398" s="27"/>
    </row>
    <row r="399" spans="1:29">
      <c r="A399" s="358"/>
      <c r="B399" s="359"/>
      <c r="C399" s="360"/>
      <c r="D399" s="27"/>
      <c r="E399" s="27"/>
      <c r="F399" s="27"/>
      <c r="G399" s="27"/>
      <c r="H399" s="27"/>
      <c r="I399" s="27"/>
      <c r="J399" s="27"/>
      <c r="K399" s="27"/>
      <c r="L399" s="27"/>
      <c r="M399" s="27"/>
      <c r="N399" s="27"/>
      <c r="O399" s="27"/>
      <c r="P399" s="27"/>
      <c r="Q399" s="27"/>
      <c r="R399" s="27"/>
      <c r="S399" s="27"/>
      <c r="T399" s="27"/>
      <c r="U399" s="27"/>
      <c r="V399" s="27"/>
      <c r="W399" s="27"/>
      <c r="X399" s="27"/>
      <c r="Y399" s="27"/>
      <c r="Z399" s="27"/>
      <c r="AA399" s="27"/>
      <c r="AB399" s="27"/>
      <c r="AC399" s="27"/>
    </row>
    <row r="400" spans="1:29">
      <c r="A400" s="358"/>
      <c r="B400" s="359"/>
      <c r="C400" s="360"/>
      <c r="D400" s="27"/>
      <c r="E400" s="27"/>
      <c r="F400" s="27"/>
      <c r="G400" s="27"/>
      <c r="H400" s="27"/>
      <c r="I400" s="27"/>
      <c r="J400" s="27"/>
      <c r="K400" s="27"/>
      <c r="L400" s="27"/>
      <c r="M400" s="27"/>
      <c r="N400" s="27"/>
      <c r="O400" s="27"/>
      <c r="P400" s="27"/>
      <c r="Q400" s="27"/>
      <c r="R400" s="27"/>
      <c r="S400" s="27"/>
      <c r="T400" s="27"/>
      <c r="U400" s="27"/>
      <c r="V400" s="27"/>
      <c r="W400" s="27"/>
      <c r="X400" s="27"/>
      <c r="Y400" s="27"/>
      <c r="Z400" s="27"/>
      <c r="AA400" s="27"/>
      <c r="AB400" s="27"/>
      <c r="AC400" s="27"/>
    </row>
    <row r="401" spans="1:29">
      <c r="A401" s="358"/>
      <c r="B401" s="359"/>
      <c r="C401" s="360"/>
      <c r="D401" s="27"/>
      <c r="E401" s="27"/>
      <c r="F401" s="27"/>
      <c r="G401" s="27"/>
      <c r="H401" s="27"/>
      <c r="I401" s="27"/>
      <c r="J401" s="27"/>
      <c r="K401" s="27"/>
      <c r="L401" s="27"/>
      <c r="M401" s="27"/>
      <c r="N401" s="27"/>
      <c r="O401" s="27"/>
      <c r="P401" s="27"/>
      <c r="Q401" s="27"/>
      <c r="R401" s="27"/>
      <c r="S401" s="27"/>
      <c r="T401" s="27"/>
      <c r="U401" s="27"/>
      <c r="V401" s="27"/>
      <c r="W401" s="27"/>
      <c r="X401" s="27"/>
      <c r="Y401" s="27"/>
      <c r="Z401" s="27"/>
      <c r="AA401" s="27"/>
      <c r="AB401" s="27"/>
      <c r="AC401" s="27"/>
    </row>
    <row r="402" spans="1:29">
      <c r="A402" s="358"/>
      <c r="B402" s="359"/>
      <c r="C402" s="360"/>
      <c r="D402" s="27"/>
      <c r="E402" s="27"/>
      <c r="F402" s="27"/>
      <c r="G402" s="27"/>
      <c r="H402" s="27"/>
      <c r="I402" s="27"/>
      <c r="J402" s="27"/>
      <c r="K402" s="27"/>
      <c r="L402" s="27"/>
      <c r="M402" s="27"/>
      <c r="N402" s="27"/>
      <c r="O402" s="27"/>
      <c r="P402" s="27"/>
      <c r="Q402" s="27"/>
      <c r="R402" s="27"/>
      <c r="S402" s="27"/>
      <c r="T402" s="27"/>
      <c r="U402" s="27"/>
      <c r="V402" s="27"/>
      <c r="W402" s="27"/>
      <c r="X402" s="27"/>
      <c r="Y402" s="27"/>
      <c r="Z402" s="27"/>
      <c r="AA402" s="27"/>
      <c r="AB402" s="27"/>
      <c r="AC402" s="27"/>
    </row>
    <row r="403" spans="1:29">
      <c r="A403" s="358"/>
      <c r="B403" s="359"/>
      <c r="C403" s="360"/>
      <c r="D403" s="27"/>
      <c r="E403" s="27"/>
      <c r="F403" s="27"/>
      <c r="G403" s="27"/>
      <c r="H403" s="27"/>
      <c r="I403" s="27"/>
      <c r="J403" s="27"/>
      <c r="K403" s="27"/>
      <c r="L403" s="27"/>
      <c r="M403" s="27"/>
      <c r="N403" s="27"/>
      <c r="O403" s="27"/>
      <c r="P403" s="27"/>
      <c r="Q403" s="27"/>
      <c r="R403" s="27"/>
      <c r="S403" s="27"/>
      <c r="T403" s="27"/>
      <c r="U403" s="27"/>
      <c r="V403" s="27"/>
      <c r="W403" s="27"/>
      <c r="X403" s="27"/>
      <c r="Y403" s="27"/>
      <c r="Z403" s="27"/>
      <c r="AA403" s="27"/>
      <c r="AB403" s="27"/>
      <c r="AC403" s="27"/>
    </row>
    <row r="404" spans="1:29">
      <c r="A404" s="358"/>
      <c r="B404" s="359"/>
      <c r="C404" s="360"/>
      <c r="D404" s="27"/>
      <c r="E404" s="27"/>
      <c r="F404" s="27"/>
      <c r="G404" s="27"/>
      <c r="H404" s="27"/>
      <c r="I404" s="27"/>
      <c r="J404" s="27"/>
      <c r="K404" s="27"/>
      <c r="L404" s="27"/>
      <c r="M404" s="27"/>
      <c r="N404" s="27"/>
      <c r="O404" s="27"/>
      <c r="P404" s="27"/>
      <c r="Q404" s="27"/>
      <c r="R404" s="27"/>
      <c r="S404" s="27"/>
      <c r="T404" s="27"/>
      <c r="U404" s="27"/>
      <c r="V404" s="27"/>
      <c r="W404" s="27"/>
      <c r="X404" s="27"/>
      <c r="Y404" s="27"/>
      <c r="Z404" s="27"/>
      <c r="AA404" s="27"/>
      <c r="AB404" s="27"/>
      <c r="AC404" s="27"/>
    </row>
    <row r="405" spans="1:29">
      <c r="A405" s="358"/>
      <c r="B405" s="359"/>
      <c r="C405" s="360"/>
      <c r="D405" s="27"/>
      <c r="E405" s="27"/>
      <c r="F405" s="27"/>
      <c r="G405" s="27"/>
      <c r="H405" s="27"/>
      <c r="I405" s="27"/>
      <c r="J405" s="27"/>
      <c r="K405" s="27"/>
      <c r="L405" s="27"/>
      <c r="M405" s="27"/>
      <c r="N405" s="27"/>
      <c r="O405" s="27"/>
      <c r="P405" s="27"/>
      <c r="Q405" s="27"/>
      <c r="R405" s="27"/>
      <c r="S405" s="27"/>
      <c r="T405" s="27"/>
      <c r="U405" s="27"/>
      <c r="V405" s="27"/>
      <c r="W405" s="27"/>
      <c r="X405" s="27"/>
      <c r="Y405" s="27"/>
      <c r="Z405" s="27"/>
      <c r="AA405" s="27"/>
      <c r="AB405" s="27"/>
      <c r="AC405" s="27"/>
    </row>
    <row r="406" spans="1:29">
      <c r="A406" s="358"/>
      <c r="B406" s="359"/>
      <c r="C406" s="360"/>
      <c r="D406" s="27"/>
      <c r="E406" s="27"/>
      <c r="F406" s="27"/>
      <c r="G406" s="27"/>
      <c r="H406" s="27"/>
      <c r="I406" s="27"/>
      <c r="J406" s="27"/>
      <c r="K406" s="27"/>
      <c r="L406" s="27"/>
      <c r="M406" s="27"/>
      <c r="N406" s="27"/>
      <c r="O406" s="27"/>
      <c r="P406" s="27"/>
      <c r="Q406" s="27"/>
      <c r="R406" s="27"/>
      <c r="S406" s="27"/>
      <c r="T406" s="27"/>
      <c r="U406" s="27"/>
      <c r="V406" s="27"/>
      <c r="W406" s="27"/>
      <c r="X406" s="27"/>
      <c r="Y406" s="27"/>
      <c r="Z406" s="27"/>
      <c r="AA406" s="27"/>
      <c r="AB406" s="27"/>
      <c r="AC406" s="27"/>
    </row>
    <row r="407" spans="1:29">
      <c r="A407" s="358"/>
      <c r="B407" s="359"/>
      <c r="C407" s="360"/>
      <c r="D407" s="27"/>
      <c r="E407" s="27"/>
      <c r="F407" s="27"/>
      <c r="G407" s="27"/>
      <c r="H407" s="27"/>
      <c r="I407" s="27"/>
      <c r="J407" s="27"/>
      <c r="K407" s="27"/>
      <c r="L407" s="27"/>
      <c r="M407" s="27"/>
      <c r="N407" s="27"/>
      <c r="O407" s="27"/>
      <c r="P407" s="27"/>
      <c r="Q407" s="27"/>
      <c r="R407" s="27"/>
      <c r="S407" s="27"/>
      <c r="T407" s="27"/>
      <c r="U407" s="27"/>
      <c r="V407" s="27"/>
      <c r="W407" s="27"/>
      <c r="X407" s="27"/>
      <c r="Y407" s="27"/>
      <c r="Z407" s="27"/>
      <c r="AA407" s="27"/>
      <c r="AB407" s="27"/>
      <c r="AC407" s="27"/>
    </row>
    <row r="408" spans="1:29">
      <c r="A408" s="358"/>
      <c r="B408" s="359"/>
      <c r="C408" s="360"/>
      <c r="D408" s="27"/>
      <c r="E408" s="27"/>
      <c r="F408" s="27"/>
      <c r="G408" s="27"/>
      <c r="H408" s="27"/>
      <c r="I408" s="27"/>
      <c r="J408" s="27"/>
      <c r="K408" s="27"/>
      <c r="L408" s="27"/>
      <c r="M408" s="27"/>
      <c r="N408" s="27"/>
      <c r="O408" s="27"/>
      <c r="P408" s="27"/>
      <c r="Q408" s="27"/>
      <c r="R408" s="27"/>
      <c r="S408" s="27"/>
      <c r="T408" s="27"/>
      <c r="U408" s="27"/>
      <c r="V408" s="27"/>
      <c r="W408" s="27"/>
      <c r="X408" s="27"/>
      <c r="Y408" s="27"/>
      <c r="Z408" s="27"/>
      <c r="AA408" s="27"/>
      <c r="AB408" s="27"/>
      <c r="AC408" s="27"/>
    </row>
    <row r="409" spans="1:29">
      <c r="A409" s="358"/>
      <c r="B409" s="359"/>
      <c r="C409" s="360"/>
      <c r="D409" s="27"/>
      <c r="E409" s="27"/>
      <c r="F409" s="27"/>
      <c r="G409" s="27"/>
      <c r="H409" s="27"/>
      <c r="I409" s="27"/>
      <c r="J409" s="27"/>
      <c r="K409" s="27"/>
      <c r="L409" s="27"/>
      <c r="M409" s="27"/>
      <c r="N409" s="27"/>
      <c r="O409" s="27"/>
      <c r="P409" s="27"/>
      <c r="Q409" s="27"/>
      <c r="R409" s="27"/>
      <c r="S409" s="27"/>
      <c r="T409" s="27"/>
      <c r="U409" s="27"/>
      <c r="V409" s="27"/>
      <c r="W409" s="27"/>
      <c r="X409" s="27"/>
      <c r="Y409" s="27"/>
      <c r="Z409" s="27"/>
      <c r="AA409" s="27"/>
      <c r="AB409" s="27"/>
      <c r="AC409" s="27"/>
    </row>
    <row r="410" spans="1:29">
      <c r="A410" s="358"/>
      <c r="B410" s="359"/>
      <c r="C410" s="360"/>
      <c r="D410" s="27"/>
      <c r="E410" s="27"/>
      <c r="F410" s="27"/>
      <c r="G410" s="27"/>
      <c r="H410" s="27"/>
      <c r="I410" s="27"/>
      <c r="J410" s="27"/>
      <c r="K410" s="27"/>
      <c r="L410" s="27"/>
      <c r="M410" s="27"/>
      <c r="N410" s="27"/>
      <c r="O410" s="27"/>
      <c r="P410" s="27"/>
      <c r="Q410" s="27"/>
      <c r="R410" s="27"/>
      <c r="S410" s="27"/>
      <c r="T410" s="27"/>
      <c r="U410" s="27"/>
      <c r="V410" s="27"/>
      <c r="W410" s="27"/>
      <c r="X410" s="27"/>
      <c r="Y410" s="27"/>
      <c r="Z410" s="27"/>
      <c r="AA410" s="27"/>
      <c r="AB410" s="27"/>
      <c r="AC410" s="27"/>
    </row>
    <row r="411" spans="1:29">
      <c r="A411" s="358"/>
      <c r="B411" s="359"/>
      <c r="C411" s="360"/>
      <c r="D411" s="27"/>
      <c r="E411" s="27"/>
      <c r="F411" s="27"/>
      <c r="G411" s="27"/>
      <c r="H411" s="27"/>
      <c r="I411" s="27"/>
      <c r="J411" s="27"/>
      <c r="K411" s="27"/>
      <c r="L411" s="27"/>
      <c r="M411" s="27"/>
      <c r="N411" s="27"/>
      <c r="O411" s="27"/>
      <c r="P411" s="27"/>
      <c r="Q411" s="27"/>
      <c r="R411" s="27"/>
      <c r="S411" s="27"/>
      <c r="T411" s="27"/>
      <c r="U411" s="27"/>
      <c r="V411" s="27"/>
      <c r="W411" s="27"/>
      <c r="X411" s="27"/>
      <c r="Y411" s="27"/>
      <c r="Z411" s="27"/>
      <c r="AA411" s="27"/>
      <c r="AB411" s="27"/>
      <c r="AC411" s="27"/>
    </row>
    <row r="412" spans="1:29">
      <c r="A412" s="358"/>
      <c r="B412" s="359"/>
      <c r="C412" s="360"/>
      <c r="D412" s="27"/>
      <c r="E412" s="27"/>
      <c r="F412" s="27"/>
      <c r="G412" s="27"/>
      <c r="H412" s="27"/>
      <c r="I412" s="27"/>
      <c r="J412" s="27"/>
      <c r="K412" s="27"/>
      <c r="L412" s="27"/>
      <c r="M412" s="27"/>
      <c r="N412" s="27"/>
      <c r="O412" s="27"/>
      <c r="P412" s="27"/>
      <c r="Q412" s="27"/>
      <c r="R412" s="27"/>
      <c r="S412" s="27"/>
      <c r="T412" s="27"/>
      <c r="U412" s="27"/>
      <c r="V412" s="27"/>
      <c r="W412" s="27"/>
      <c r="X412" s="27"/>
      <c r="Y412" s="27"/>
      <c r="Z412" s="27"/>
      <c r="AA412" s="27"/>
      <c r="AB412" s="27"/>
      <c r="AC412" s="27"/>
    </row>
    <row r="413" spans="1:29">
      <c r="A413" s="358"/>
      <c r="B413" s="359"/>
      <c r="C413" s="360"/>
      <c r="D413" s="27"/>
      <c r="E413" s="27"/>
      <c r="F413" s="27"/>
      <c r="G413" s="27"/>
      <c r="H413" s="27"/>
      <c r="I413" s="27"/>
      <c r="J413" s="27"/>
      <c r="K413" s="27"/>
      <c r="L413" s="27"/>
      <c r="M413" s="27"/>
      <c r="N413" s="27"/>
      <c r="O413" s="27"/>
      <c r="P413" s="27"/>
      <c r="Q413" s="27"/>
      <c r="R413" s="27"/>
      <c r="S413" s="27"/>
      <c r="T413" s="27"/>
      <c r="U413" s="27"/>
      <c r="V413" s="27"/>
      <c r="W413" s="27"/>
      <c r="X413" s="27"/>
      <c r="Y413" s="27"/>
      <c r="Z413" s="27"/>
      <c r="AA413" s="27"/>
      <c r="AB413" s="27"/>
      <c r="AC413" s="27"/>
    </row>
    <row r="414" spans="1:29">
      <c r="A414" s="358"/>
      <c r="B414" s="359"/>
      <c r="C414" s="360"/>
      <c r="D414" s="27"/>
      <c r="E414" s="27"/>
      <c r="F414" s="27"/>
      <c r="G414" s="27"/>
      <c r="H414" s="27"/>
      <c r="I414" s="27"/>
      <c r="J414" s="27"/>
      <c r="K414" s="27"/>
      <c r="L414" s="27"/>
      <c r="M414" s="27"/>
      <c r="N414" s="27"/>
      <c r="O414" s="27"/>
      <c r="P414" s="27"/>
      <c r="Q414" s="27"/>
      <c r="R414" s="27"/>
      <c r="S414" s="27"/>
      <c r="T414" s="27"/>
      <c r="U414" s="27"/>
      <c r="V414" s="27"/>
      <c r="W414" s="27"/>
      <c r="X414" s="27"/>
      <c r="Y414" s="27"/>
      <c r="Z414" s="27"/>
      <c r="AA414" s="27"/>
      <c r="AB414" s="27"/>
      <c r="AC414" s="27"/>
    </row>
    <row r="415" spans="1:29">
      <c r="A415" s="358"/>
      <c r="B415" s="359"/>
      <c r="C415" s="360"/>
      <c r="D415" s="27"/>
      <c r="E415" s="27"/>
      <c r="F415" s="27"/>
      <c r="G415" s="27"/>
      <c r="H415" s="27"/>
      <c r="I415" s="27"/>
      <c r="J415" s="27"/>
      <c r="K415" s="27"/>
      <c r="L415" s="27"/>
      <c r="M415" s="27"/>
      <c r="N415" s="27"/>
      <c r="O415" s="27"/>
      <c r="P415" s="27"/>
      <c r="Q415" s="27"/>
      <c r="R415" s="27"/>
      <c r="S415" s="27"/>
      <c r="T415" s="27"/>
      <c r="U415" s="27"/>
      <c r="V415" s="27"/>
      <c r="W415" s="27"/>
      <c r="X415" s="27"/>
      <c r="Y415" s="27"/>
      <c r="Z415" s="27"/>
      <c r="AA415" s="27"/>
      <c r="AB415" s="27"/>
      <c r="AC415" s="27"/>
    </row>
    <row r="416" spans="1:29">
      <c r="A416" s="358"/>
      <c r="B416" s="359"/>
      <c r="C416" s="360"/>
      <c r="D416" s="27"/>
      <c r="E416" s="27"/>
      <c r="F416" s="27"/>
      <c r="G416" s="27"/>
      <c r="H416" s="27"/>
      <c r="I416" s="27"/>
      <c r="J416" s="27"/>
      <c r="K416" s="27"/>
      <c r="L416" s="27"/>
      <c r="M416" s="27"/>
      <c r="N416" s="27"/>
      <c r="O416" s="27"/>
      <c r="P416" s="27"/>
      <c r="Q416" s="27"/>
      <c r="R416" s="27"/>
      <c r="S416" s="27"/>
      <c r="T416" s="27"/>
      <c r="U416" s="27"/>
      <c r="V416" s="27"/>
      <c r="W416" s="27"/>
      <c r="X416" s="27"/>
      <c r="Y416" s="27"/>
      <c r="Z416" s="27"/>
      <c r="AA416" s="27"/>
      <c r="AB416" s="27"/>
      <c r="AC416" s="27"/>
    </row>
    <row r="417" spans="1:29">
      <c r="A417" s="358"/>
      <c r="B417" s="359"/>
      <c r="C417" s="360"/>
      <c r="D417" s="27"/>
      <c r="E417" s="27"/>
      <c r="F417" s="27"/>
      <c r="G417" s="27"/>
      <c r="H417" s="27"/>
      <c r="I417" s="27"/>
      <c r="J417" s="27"/>
      <c r="K417" s="27"/>
      <c r="L417" s="27"/>
      <c r="M417" s="27"/>
      <c r="N417" s="27"/>
      <c r="O417" s="27"/>
      <c r="P417" s="27"/>
      <c r="Q417" s="27"/>
      <c r="R417" s="27"/>
      <c r="S417" s="27"/>
      <c r="T417" s="27"/>
      <c r="U417" s="27"/>
      <c r="V417" s="27"/>
      <c r="W417" s="27"/>
      <c r="X417" s="27"/>
      <c r="Y417" s="27"/>
      <c r="Z417" s="27"/>
      <c r="AA417" s="27"/>
      <c r="AB417" s="27"/>
      <c r="AC417" s="27"/>
    </row>
    <row r="418" spans="1:29">
      <c r="A418" s="358"/>
      <c r="B418" s="359"/>
      <c r="C418" s="360"/>
      <c r="D418" s="27"/>
      <c r="E418" s="27"/>
      <c r="F418" s="27"/>
      <c r="G418" s="27"/>
      <c r="H418" s="27"/>
      <c r="I418" s="27"/>
      <c r="J418" s="27"/>
      <c r="K418" s="27"/>
      <c r="L418" s="27"/>
      <c r="M418" s="27"/>
      <c r="N418" s="27"/>
      <c r="O418" s="27"/>
      <c r="P418" s="27"/>
      <c r="Q418" s="27"/>
      <c r="R418" s="27"/>
      <c r="S418" s="27"/>
      <c r="T418" s="27"/>
      <c r="U418" s="27"/>
      <c r="V418" s="27"/>
      <c r="W418" s="27"/>
      <c r="X418" s="27"/>
      <c r="Y418" s="27"/>
      <c r="Z418" s="27"/>
      <c r="AA418" s="27"/>
      <c r="AB418" s="27"/>
      <c r="AC418" s="27"/>
    </row>
    <row r="419" spans="1:29">
      <c r="A419" s="358"/>
      <c r="B419" s="359"/>
      <c r="C419" s="360"/>
      <c r="D419" s="27"/>
      <c r="E419" s="27"/>
      <c r="F419" s="27"/>
      <c r="G419" s="27"/>
      <c r="H419" s="27"/>
      <c r="I419" s="27"/>
      <c r="J419" s="27"/>
      <c r="K419" s="27"/>
      <c r="L419" s="27"/>
      <c r="M419" s="27"/>
      <c r="N419" s="27"/>
      <c r="O419" s="27"/>
      <c r="P419" s="27"/>
      <c r="Q419" s="27"/>
      <c r="R419" s="27"/>
      <c r="S419" s="27"/>
      <c r="T419" s="27"/>
      <c r="U419" s="27"/>
      <c r="V419" s="27"/>
      <c r="W419" s="27"/>
      <c r="X419" s="27"/>
      <c r="Y419" s="27"/>
      <c r="Z419" s="27"/>
      <c r="AA419" s="27"/>
      <c r="AB419" s="27"/>
      <c r="AC419" s="27"/>
    </row>
    <row r="420" spans="1:29">
      <c r="A420" s="358"/>
      <c r="B420" s="359"/>
      <c r="C420" s="360"/>
      <c r="D420" s="27"/>
      <c r="E420" s="27"/>
      <c r="F420" s="27"/>
      <c r="G420" s="27"/>
      <c r="H420" s="27"/>
      <c r="I420" s="27"/>
      <c r="J420" s="27"/>
      <c r="K420" s="27"/>
      <c r="L420" s="27"/>
      <c r="M420" s="27"/>
      <c r="N420" s="27"/>
      <c r="O420" s="27"/>
      <c r="P420" s="27"/>
      <c r="Q420" s="27"/>
      <c r="R420" s="27"/>
      <c r="S420" s="27"/>
      <c r="T420" s="27"/>
      <c r="U420" s="27"/>
      <c r="V420" s="27"/>
      <c r="W420" s="27"/>
      <c r="X420" s="27"/>
      <c r="Y420" s="27"/>
      <c r="Z420" s="27"/>
      <c r="AA420" s="27"/>
      <c r="AB420" s="27"/>
      <c r="AC420" s="27"/>
    </row>
    <row r="421" spans="1:29">
      <c r="A421" s="358"/>
      <c r="B421" s="359"/>
      <c r="C421" s="360"/>
      <c r="D421" s="27"/>
      <c r="E421" s="27"/>
      <c r="F421" s="27"/>
      <c r="G421" s="27"/>
      <c r="H421" s="27"/>
      <c r="I421" s="27"/>
      <c r="J421" s="27"/>
      <c r="K421" s="27"/>
      <c r="L421" s="27"/>
      <c r="M421" s="27"/>
      <c r="N421" s="27"/>
      <c r="O421" s="27"/>
      <c r="P421" s="27"/>
      <c r="Q421" s="27"/>
      <c r="R421" s="27"/>
      <c r="S421" s="27"/>
      <c r="T421" s="27"/>
      <c r="U421" s="27"/>
      <c r="V421" s="27"/>
      <c r="W421" s="27"/>
      <c r="X421" s="27"/>
      <c r="Y421" s="27"/>
      <c r="Z421" s="27"/>
      <c r="AA421" s="27"/>
      <c r="AB421" s="27"/>
      <c r="AC421" s="27"/>
    </row>
    <row r="422" spans="1:29">
      <c r="A422" s="358"/>
      <c r="B422" s="359"/>
      <c r="C422" s="360"/>
      <c r="D422" s="27"/>
      <c r="E422" s="27"/>
      <c r="F422" s="27"/>
      <c r="G422" s="27"/>
      <c r="H422" s="27"/>
      <c r="I422" s="27"/>
      <c r="J422" s="27"/>
      <c r="K422" s="27"/>
      <c r="L422" s="27"/>
      <c r="M422" s="27"/>
      <c r="N422" s="27"/>
      <c r="O422" s="27"/>
      <c r="P422" s="27"/>
      <c r="Q422" s="27"/>
      <c r="R422" s="27"/>
      <c r="S422" s="27"/>
      <c r="T422" s="27"/>
      <c r="U422" s="27"/>
      <c r="V422" s="27"/>
      <c r="W422" s="27"/>
      <c r="X422" s="27"/>
      <c r="Y422" s="27"/>
      <c r="Z422" s="27"/>
      <c r="AA422" s="27"/>
      <c r="AB422" s="27"/>
      <c r="AC422" s="27"/>
    </row>
    <row r="423" spans="1:29">
      <c r="A423" s="358"/>
      <c r="B423" s="359"/>
      <c r="C423" s="360"/>
      <c r="D423" s="27"/>
      <c r="E423" s="27"/>
      <c r="F423" s="27"/>
      <c r="G423" s="27"/>
      <c r="H423" s="27"/>
      <c r="I423" s="27"/>
      <c r="J423" s="27"/>
      <c r="K423" s="27"/>
      <c r="L423" s="27"/>
      <c r="M423" s="27"/>
      <c r="N423" s="27"/>
      <c r="O423" s="27"/>
      <c r="P423" s="27"/>
      <c r="Q423" s="27"/>
      <c r="R423" s="27"/>
      <c r="S423" s="27"/>
      <c r="T423" s="27"/>
      <c r="U423" s="27"/>
      <c r="V423" s="27"/>
      <c r="W423" s="27"/>
      <c r="X423" s="27"/>
      <c r="Y423" s="27"/>
      <c r="Z423" s="27"/>
      <c r="AA423" s="27"/>
      <c r="AB423" s="27"/>
      <c r="AC423" s="27"/>
    </row>
    <row r="424" spans="1:29">
      <c r="A424" s="358"/>
      <c r="B424" s="359"/>
      <c r="C424" s="360"/>
      <c r="D424" s="27"/>
      <c r="E424" s="27"/>
      <c r="F424" s="27"/>
      <c r="G424" s="27"/>
      <c r="H424" s="27"/>
      <c r="I424" s="27"/>
      <c r="J424" s="27"/>
      <c r="K424" s="27"/>
      <c r="L424" s="27"/>
      <c r="M424" s="27"/>
      <c r="N424" s="27"/>
      <c r="O424" s="27"/>
      <c r="P424" s="27"/>
      <c r="Q424" s="27"/>
      <c r="R424" s="27"/>
      <c r="S424" s="27"/>
      <c r="T424" s="27"/>
      <c r="U424" s="27"/>
      <c r="V424" s="27"/>
      <c r="W424" s="27"/>
      <c r="X424" s="27"/>
      <c r="Y424" s="27"/>
      <c r="Z424" s="27"/>
      <c r="AA424" s="27"/>
      <c r="AB424" s="27"/>
      <c r="AC424" s="27"/>
    </row>
    <row r="425" spans="1:29">
      <c r="A425" s="358"/>
      <c r="B425" s="359"/>
      <c r="C425" s="360"/>
      <c r="D425" s="27"/>
      <c r="E425" s="27"/>
      <c r="F425" s="27"/>
      <c r="G425" s="27"/>
      <c r="H425" s="27"/>
      <c r="I425" s="27"/>
      <c r="J425" s="27"/>
      <c r="K425" s="27"/>
      <c r="L425" s="27"/>
      <c r="M425" s="27"/>
      <c r="N425" s="27"/>
      <c r="O425" s="27"/>
      <c r="P425" s="27"/>
      <c r="Q425" s="27"/>
      <c r="R425" s="27"/>
      <c r="S425" s="27"/>
      <c r="T425" s="27"/>
      <c r="U425" s="27"/>
      <c r="V425" s="27"/>
      <c r="W425" s="27"/>
      <c r="X425" s="27"/>
      <c r="Y425" s="27"/>
      <c r="Z425" s="27"/>
      <c r="AA425" s="27"/>
      <c r="AB425" s="27"/>
      <c r="AC425" s="27"/>
    </row>
    <row r="426" spans="1:29">
      <c r="A426" s="358"/>
      <c r="B426" s="359"/>
      <c r="C426" s="360"/>
      <c r="D426" s="27"/>
      <c r="E426" s="27"/>
      <c r="F426" s="27"/>
      <c r="G426" s="27"/>
      <c r="H426" s="27"/>
      <c r="I426" s="27"/>
      <c r="J426" s="27"/>
      <c r="K426" s="27"/>
      <c r="L426" s="27"/>
      <c r="M426" s="27"/>
      <c r="N426" s="27"/>
      <c r="O426" s="27"/>
      <c r="P426" s="27"/>
      <c r="Q426" s="27"/>
      <c r="R426" s="27"/>
      <c r="S426" s="27"/>
      <c r="T426" s="27"/>
      <c r="U426" s="27"/>
      <c r="V426" s="27"/>
      <c r="W426" s="27"/>
      <c r="X426" s="27"/>
      <c r="Y426" s="27"/>
      <c r="Z426" s="27"/>
      <c r="AA426" s="27"/>
      <c r="AB426" s="27"/>
      <c r="AC426" s="27"/>
    </row>
    <row r="427" spans="1:29">
      <c r="A427" s="358"/>
      <c r="B427" s="359"/>
      <c r="C427" s="360"/>
      <c r="D427" s="27"/>
      <c r="E427" s="27"/>
      <c r="F427" s="27"/>
      <c r="G427" s="27"/>
      <c r="H427" s="27"/>
      <c r="I427" s="27"/>
      <c r="J427" s="27"/>
      <c r="K427" s="27"/>
      <c r="L427" s="27"/>
      <c r="M427" s="27"/>
      <c r="N427" s="27"/>
      <c r="O427" s="27"/>
      <c r="P427" s="27"/>
      <c r="Q427" s="27"/>
      <c r="R427" s="27"/>
      <c r="S427" s="27"/>
      <c r="T427" s="27"/>
      <c r="U427" s="27"/>
      <c r="V427" s="27"/>
      <c r="W427" s="27"/>
      <c r="X427" s="27"/>
      <c r="Y427" s="27"/>
      <c r="Z427" s="27"/>
      <c r="AA427" s="27"/>
      <c r="AB427" s="27"/>
      <c r="AC427" s="27"/>
    </row>
    <row r="428" spans="1:29">
      <c r="A428" s="358"/>
      <c r="B428" s="359"/>
      <c r="C428" s="360"/>
      <c r="D428" s="27"/>
      <c r="E428" s="27"/>
      <c r="F428" s="27"/>
      <c r="G428" s="27"/>
      <c r="H428" s="27"/>
      <c r="I428" s="27"/>
      <c r="J428" s="27"/>
      <c r="K428" s="27"/>
      <c r="L428" s="27"/>
      <c r="M428" s="27"/>
      <c r="N428" s="27"/>
      <c r="O428" s="27"/>
      <c r="P428" s="27"/>
      <c r="Q428" s="27"/>
      <c r="R428" s="27"/>
      <c r="S428" s="27"/>
      <c r="T428" s="27"/>
      <c r="U428" s="27"/>
      <c r="V428" s="27"/>
      <c r="W428" s="27"/>
      <c r="X428" s="27"/>
      <c r="Y428" s="27"/>
      <c r="Z428" s="27"/>
      <c r="AA428" s="27"/>
      <c r="AB428" s="27"/>
      <c r="AC428" s="27"/>
    </row>
    <row r="429" spans="1:29">
      <c r="A429" s="358"/>
      <c r="B429" s="359"/>
      <c r="C429" s="360"/>
      <c r="D429" s="27"/>
      <c r="E429" s="27"/>
      <c r="F429" s="27"/>
      <c r="G429" s="27"/>
      <c r="H429" s="27"/>
      <c r="I429" s="27"/>
      <c r="J429" s="27"/>
      <c r="K429" s="27"/>
      <c r="L429" s="27"/>
      <c r="M429" s="27"/>
      <c r="N429" s="27"/>
      <c r="O429" s="27"/>
      <c r="P429" s="27"/>
      <c r="Q429" s="27"/>
      <c r="R429" s="27"/>
      <c r="S429" s="27"/>
      <c r="T429" s="27"/>
      <c r="U429" s="27"/>
      <c r="V429" s="27"/>
      <c r="W429" s="27"/>
      <c r="X429" s="27"/>
      <c r="Y429" s="27"/>
      <c r="Z429" s="27"/>
      <c r="AA429" s="27"/>
      <c r="AB429" s="27"/>
      <c r="AC429" s="27"/>
    </row>
    <row r="430" spans="1:29">
      <c r="A430" s="358"/>
      <c r="B430" s="359"/>
      <c r="C430" s="360"/>
      <c r="D430" s="27"/>
      <c r="E430" s="27"/>
      <c r="F430" s="27"/>
      <c r="G430" s="27"/>
      <c r="H430" s="27"/>
      <c r="I430" s="27"/>
      <c r="J430" s="27"/>
      <c r="K430" s="27"/>
      <c r="L430" s="27"/>
      <c r="M430" s="27"/>
      <c r="N430" s="27"/>
      <c r="O430" s="27"/>
      <c r="P430" s="27"/>
      <c r="Q430" s="27"/>
      <c r="R430" s="27"/>
      <c r="S430" s="27"/>
      <c r="T430" s="27"/>
      <c r="U430" s="27"/>
      <c r="V430" s="27"/>
      <c r="W430" s="27"/>
      <c r="X430" s="27"/>
      <c r="Y430" s="27"/>
      <c r="Z430" s="27"/>
      <c r="AA430" s="27"/>
      <c r="AB430" s="27"/>
      <c r="AC430" s="27"/>
    </row>
    <row r="431" spans="1:29">
      <c r="A431" s="358"/>
      <c r="B431" s="359"/>
      <c r="C431" s="360"/>
      <c r="D431" s="27"/>
      <c r="E431" s="27"/>
      <c r="F431" s="27"/>
      <c r="G431" s="27"/>
      <c r="H431" s="27"/>
      <c r="I431" s="27"/>
      <c r="J431" s="27"/>
      <c r="K431" s="27"/>
      <c r="L431" s="27"/>
      <c r="M431" s="27"/>
      <c r="N431" s="27"/>
      <c r="O431" s="27"/>
      <c r="P431" s="27"/>
      <c r="Q431" s="27"/>
      <c r="R431" s="27"/>
      <c r="S431" s="27"/>
      <c r="T431" s="27"/>
      <c r="U431" s="27"/>
      <c r="V431" s="27"/>
      <c r="W431" s="27"/>
      <c r="X431" s="27"/>
      <c r="Y431" s="27"/>
      <c r="Z431" s="27"/>
      <c r="AA431" s="27"/>
      <c r="AB431" s="27"/>
      <c r="AC431" s="27"/>
    </row>
    <row r="432" spans="1:29">
      <c r="A432" s="358"/>
      <c r="B432" s="359"/>
      <c r="C432" s="360"/>
      <c r="D432" s="27"/>
      <c r="E432" s="27"/>
      <c r="F432" s="27"/>
      <c r="G432" s="27"/>
      <c r="H432" s="27"/>
      <c r="I432" s="27"/>
      <c r="J432" s="27"/>
      <c r="K432" s="27"/>
      <c r="L432" s="27"/>
      <c r="M432" s="27"/>
      <c r="N432" s="27"/>
      <c r="O432" s="27"/>
      <c r="P432" s="27"/>
      <c r="Q432" s="27"/>
      <c r="R432" s="27"/>
      <c r="S432" s="27"/>
      <c r="T432" s="27"/>
      <c r="U432" s="27"/>
      <c r="V432" s="27"/>
      <c r="W432" s="27"/>
      <c r="X432" s="27"/>
      <c r="Y432" s="27"/>
      <c r="Z432" s="27"/>
      <c r="AA432" s="27"/>
      <c r="AB432" s="27"/>
      <c r="AC432" s="27"/>
    </row>
    <row r="433" spans="1:29">
      <c r="A433" s="358"/>
      <c r="B433" s="359"/>
      <c r="C433" s="360"/>
      <c r="D433" s="27"/>
      <c r="E433" s="27"/>
      <c r="F433" s="27"/>
      <c r="G433" s="27"/>
      <c r="H433" s="27"/>
      <c r="I433" s="27"/>
      <c r="J433" s="27"/>
      <c r="K433" s="27"/>
      <c r="L433" s="27"/>
      <c r="M433" s="27"/>
      <c r="N433" s="27"/>
      <c r="O433" s="27"/>
      <c r="P433" s="27"/>
      <c r="Q433" s="27"/>
      <c r="R433" s="27"/>
      <c r="S433" s="27"/>
      <c r="T433" s="27"/>
      <c r="U433" s="27"/>
      <c r="V433" s="27"/>
      <c r="W433" s="27"/>
      <c r="X433" s="27"/>
      <c r="Y433" s="27"/>
      <c r="Z433" s="27"/>
      <c r="AA433" s="27"/>
      <c r="AB433" s="27"/>
      <c r="AC433" s="27"/>
    </row>
    <row r="434" spans="1:29">
      <c r="A434" s="358"/>
      <c r="B434" s="359"/>
      <c r="C434" s="360"/>
      <c r="D434" s="27"/>
      <c r="E434" s="27"/>
      <c r="F434" s="27"/>
      <c r="G434" s="27"/>
      <c r="H434" s="27"/>
      <c r="I434" s="27"/>
      <c r="J434" s="27"/>
      <c r="K434" s="27"/>
      <c r="L434" s="27"/>
      <c r="M434" s="27"/>
      <c r="N434" s="27"/>
      <c r="O434" s="27"/>
      <c r="P434" s="27"/>
      <c r="Q434" s="27"/>
      <c r="R434" s="27"/>
      <c r="S434" s="27"/>
      <c r="T434" s="27"/>
      <c r="U434" s="27"/>
      <c r="V434" s="27"/>
      <c r="W434" s="27"/>
      <c r="X434" s="27"/>
      <c r="Y434" s="27"/>
      <c r="Z434" s="27"/>
      <c r="AA434" s="27"/>
      <c r="AB434" s="27"/>
      <c r="AC434" s="27"/>
    </row>
    <row r="435" spans="1:29">
      <c r="A435" s="358"/>
      <c r="B435" s="359"/>
      <c r="C435" s="360"/>
      <c r="D435" s="27"/>
      <c r="E435" s="27"/>
      <c r="F435" s="27"/>
      <c r="G435" s="27"/>
      <c r="H435" s="27"/>
      <c r="I435" s="27"/>
      <c r="J435" s="27"/>
      <c r="K435" s="27"/>
      <c r="L435" s="27"/>
      <c r="M435" s="27"/>
      <c r="N435" s="27"/>
      <c r="O435" s="27"/>
      <c r="P435" s="27"/>
      <c r="Q435" s="27"/>
      <c r="R435" s="27"/>
      <c r="S435" s="27"/>
      <c r="T435" s="27"/>
      <c r="U435" s="27"/>
      <c r="V435" s="27"/>
      <c r="W435" s="27"/>
      <c r="X435" s="27"/>
      <c r="Y435" s="27"/>
      <c r="Z435" s="27"/>
      <c r="AA435" s="27"/>
      <c r="AB435" s="27"/>
      <c r="AC435" s="27"/>
    </row>
    <row r="436" spans="1:29">
      <c r="A436" s="358"/>
      <c r="B436" s="359"/>
      <c r="C436" s="360"/>
      <c r="D436" s="27"/>
      <c r="E436" s="27"/>
      <c r="F436" s="27"/>
      <c r="G436" s="27"/>
      <c r="H436" s="27"/>
      <c r="I436" s="27"/>
      <c r="J436" s="27"/>
      <c r="K436" s="27"/>
      <c r="L436" s="27"/>
      <c r="M436" s="27"/>
      <c r="N436" s="27"/>
      <c r="O436" s="27"/>
      <c r="P436" s="27"/>
      <c r="Q436" s="27"/>
      <c r="R436" s="27"/>
      <c r="S436" s="27"/>
      <c r="T436" s="27"/>
      <c r="U436" s="27"/>
      <c r="V436" s="27"/>
      <c r="W436" s="27"/>
      <c r="X436" s="27"/>
      <c r="Y436" s="27"/>
      <c r="Z436" s="27"/>
      <c r="AA436" s="27"/>
      <c r="AB436" s="27"/>
      <c r="AC436" s="27"/>
    </row>
    <row r="437" spans="1:29">
      <c r="A437" s="358"/>
      <c r="B437" s="359"/>
      <c r="C437" s="360"/>
      <c r="D437" s="27"/>
      <c r="E437" s="27"/>
      <c r="F437" s="27"/>
      <c r="G437" s="27"/>
      <c r="H437" s="27"/>
      <c r="I437" s="27"/>
      <c r="J437" s="27"/>
      <c r="K437" s="27"/>
      <c r="L437" s="27"/>
      <c r="M437" s="27"/>
      <c r="N437" s="27"/>
      <c r="O437" s="27"/>
      <c r="P437" s="27"/>
      <c r="Q437" s="27"/>
      <c r="R437" s="27"/>
      <c r="S437" s="27"/>
      <c r="T437" s="27"/>
      <c r="U437" s="27"/>
      <c r="V437" s="27"/>
      <c r="W437" s="27"/>
      <c r="X437" s="27"/>
      <c r="Y437" s="27"/>
      <c r="Z437" s="27"/>
      <c r="AA437" s="27"/>
      <c r="AB437" s="27"/>
      <c r="AC437" s="27"/>
    </row>
    <row r="438" spans="1:29">
      <c r="A438" s="358"/>
      <c r="B438" s="359"/>
      <c r="C438" s="360"/>
      <c r="D438" s="27"/>
      <c r="E438" s="27"/>
      <c r="F438" s="27"/>
      <c r="G438" s="27"/>
      <c r="H438" s="27"/>
      <c r="I438" s="27"/>
      <c r="J438" s="27"/>
      <c r="K438" s="27"/>
      <c r="L438" s="27"/>
      <c r="M438" s="27"/>
      <c r="N438" s="27"/>
      <c r="O438" s="27"/>
      <c r="P438" s="27"/>
      <c r="Q438" s="27"/>
      <c r="R438" s="27"/>
      <c r="S438" s="27"/>
      <c r="T438" s="27"/>
      <c r="U438" s="27"/>
      <c r="V438" s="27"/>
      <c r="W438" s="27"/>
      <c r="X438" s="27"/>
      <c r="Y438" s="27"/>
      <c r="Z438" s="27"/>
      <c r="AA438" s="27"/>
      <c r="AB438" s="27"/>
      <c r="AC438" s="27"/>
    </row>
    <row r="439" spans="1:29">
      <c r="A439" s="358"/>
      <c r="B439" s="359"/>
      <c r="C439" s="360"/>
      <c r="D439" s="27"/>
      <c r="E439" s="27"/>
      <c r="F439" s="27"/>
      <c r="G439" s="27"/>
      <c r="H439" s="27"/>
      <c r="I439" s="27"/>
      <c r="J439" s="27"/>
      <c r="K439" s="27"/>
      <c r="L439" s="27"/>
      <c r="M439" s="27"/>
      <c r="N439" s="27"/>
      <c r="O439" s="27"/>
      <c r="P439" s="27"/>
      <c r="Q439" s="27"/>
      <c r="R439" s="27"/>
      <c r="S439" s="27"/>
      <c r="T439" s="27"/>
      <c r="U439" s="27"/>
      <c r="V439" s="27"/>
      <c r="W439" s="27"/>
      <c r="X439" s="27"/>
      <c r="Y439" s="27"/>
      <c r="Z439" s="27"/>
      <c r="AA439" s="27"/>
      <c r="AB439" s="27"/>
      <c r="AC439" s="27"/>
    </row>
    <row r="440" spans="1:29">
      <c r="A440" s="358"/>
      <c r="B440" s="359"/>
      <c r="C440" s="360"/>
      <c r="D440" s="27"/>
      <c r="E440" s="27"/>
      <c r="F440" s="27"/>
      <c r="G440" s="27"/>
      <c r="H440" s="27"/>
      <c r="I440" s="27"/>
      <c r="J440" s="27"/>
      <c r="K440" s="27"/>
      <c r="L440" s="27"/>
      <c r="M440" s="27"/>
      <c r="N440" s="27"/>
      <c r="O440" s="27"/>
      <c r="P440" s="27"/>
      <c r="Q440" s="27"/>
      <c r="R440" s="27"/>
      <c r="S440" s="27"/>
      <c r="T440" s="27"/>
      <c r="U440" s="27"/>
      <c r="V440" s="27"/>
      <c r="W440" s="27"/>
      <c r="X440" s="27"/>
      <c r="Y440" s="27"/>
      <c r="Z440" s="27"/>
      <c r="AA440" s="27"/>
      <c r="AB440" s="27"/>
      <c r="AC440" s="27"/>
    </row>
    <row r="441" spans="1:29">
      <c r="A441" s="358"/>
      <c r="B441" s="359"/>
      <c r="C441" s="360"/>
      <c r="D441" s="27"/>
      <c r="E441" s="27"/>
      <c r="F441" s="27"/>
      <c r="G441" s="27"/>
      <c r="H441" s="27"/>
      <c r="I441" s="27"/>
      <c r="J441" s="27"/>
      <c r="K441" s="27"/>
      <c r="L441" s="27"/>
      <c r="M441" s="27"/>
      <c r="N441" s="27"/>
      <c r="O441" s="27"/>
      <c r="P441" s="27"/>
      <c r="Q441" s="27"/>
      <c r="R441" s="27"/>
      <c r="S441" s="27"/>
      <c r="T441" s="27"/>
      <c r="U441" s="27"/>
      <c r="V441" s="27"/>
      <c r="W441" s="27"/>
      <c r="X441" s="27"/>
      <c r="Y441" s="27"/>
      <c r="Z441" s="27"/>
      <c r="AA441" s="27"/>
      <c r="AB441" s="27"/>
      <c r="AC441" s="27"/>
    </row>
    <row r="442" spans="1:29">
      <c r="A442" s="358"/>
      <c r="B442" s="359"/>
      <c r="C442" s="360"/>
      <c r="D442" s="27"/>
      <c r="E442" s="27"/>
      <c r="F442" s="27"/>
      <c r="G442" s="27"/>
      <c r="H442" s="27"/>
      <c r="I442" s="27"/>
      <c r="J442" s="27"/>
      <c r="K442" s="27"/>
      <c r="L442" s="27"/>
      <c r="M442" s="27"/>
      <c r="N442" s="27"/>
      <c r="O442" s="27"/>
      <c r="P442" s="27"/>
      <c r="Q442" s="27"/>
      <c r="R442" s="27"/>
      <c r="S442" s="27"/>
      <c r="T442" s="27"/>
      <c r="U442" s="27"/>
      <c r="V442" s="27"/>
      <c r="W442" s="27"/>
      <c r="X442" s="27"/>
      <c r="Y442" s="27"/>
      <c r="Z442" s="27"/>
      <c r="AA442" s="27"/>
      <c r="AB442" s="27"/>
      <c r="AC442" s="27"/>
    </row>
    <row r="443" spans="1:29">
      <c r="A443" s="358"/>
      <c r="B443" s="359"/>
      <c r="C443" s="360"/>
      <c r="D443" s="27"/>
      <c r="E443" s="27"/>
      <c r="F443" s="27"/>
      <c r="G443" s="27"/>
      <c r="H443" s="27"/>
      <c r="I443" s="27"/>
      <c r="J443" s="27"/>
      <c r="K443" s="27"/>
      <c r="L443" s="27"/>
      <c r="M443" s="27"/>
      <c r="N443" s="27"/>
      <c r="O443" s="27"/>
      <c r="P443" s="27"/>
      <c r="Q443" s="27"/>
      <c r="R443" s="27"/>
      <c r="S443" s="27"/>
      <c r="T443" s="27"/>
      <c r="U443" s="27"/>
      <c r="V443" s="27"/>
      <c r="W443" s="27"/>
      <c r="X443" s="27"/>
      <c r="Y443" s="27"/>
      <c r="Z443" s="27"/>
      <c r="AA443" s="27"/>
      <c r="AB443" s="27"/>
      <c r="AC443" s="27"/>
    </row>
    <row r="444" spans="1:29">
      <c r="A444" s="358"/>
      <c r="B444" s="359"/>
      <c r="C444" s="360"/>
      <c r="D444" s="27"/>
      <c r="E444" s="27"/>
      <c r="F444" s="27"/>
      <c r="G444" s="27"/>
      <c r="H444" s="27"/>
      <c r="I444" s="27"/>
      <c r="J444" s="27"/>
      <c r="K444" s="27"/>
      <c r="L444" s="27"/>
      <c r="M444" s="27"/>
      <c r="N444" s="27"/>
      <c r="O444" s="27"/>
      <c r="P444" s="27"/>
      <c r="Q444" s="27"/>
      <c r="R444" s="27"/>
      <c r="S444" s="27"/>
      <c r="T444" s="27"/>
      <c r="U444" s="27"/>
      <c r="V444" s="27"/>
      <c r="W444" s="27"/>
      <c r="X444" s="27"/>
      <c r="Y444" s="27"/>
      <c r="Z444" s="27"/>
      <c r="AA444" s="27"/>
      <c r="AB444" s="27"/>
      <c r="AC444" s="27"/>
    </row>
    <row r="445" spans="1:29">
      <c r="A445" s="358"/>
      <c r="B445" s="359"/>
      <c r="C445" s="360"/>
      <c r="D445" s="27"/>
      <c r="E445" s="27"/>
      <c r="F445" s="27"/>
      <c r="G445" s="27"/>
      <c r="H445" s="27"/>
      <c r="I445" s="27"/>
      <c r="J445" s="27"/>
      <c r="K445" s="27"/>
      <c r="L445" s="27"/>
      <c r="M445" s="27"/>
      <c r="N445" s="27"/>
      <c r="O445" s="27"/>
      <c r="P445" s="27"/>
      <c r="Q445" s="27"/>
      <c r="R445" s="27"/>
      <c r="S445" s="27"/>
      <c r="T445" s="27"/>
      <c r="U445" s="27"/>
      <c r="V445" s="27"/>
      <c r="W445" s="27"/>
      <c r="X445" s="27"/>
      <c r="Y445" s="27"/>
      <c r="Z445" s="27"/>
      <c r="AA445" s="27"/>
      <c r="AB445" s="27"/>
      <c r="AC445" s="27"/>
    </row>
    <row r="446" spans="1:29">
      <c r="A446" s="358"/>
      <c r="B446" s="359"/>
      <c r="C446" s="360"/>
      <c r="D446" s="27"/>
      <c r="E446" s="27"/>
      <c r="F446" s="27"/>
      <c r="G446" s="27"/>
      <c r="H446" s="27"/>
      <c r="I446" s="27"/>
      <c r="J446" s="27"/>
      <c r="K446" s="27"/>
      <c r="L446" s="27"/>
      <c r="M446" s="27"/>
      <c r="N446" s="27"/>
      <c r="O446" s="27"/>
      <c r="P446" s="27"/>
      <c r="Q446" s="27"/>
      <c r="R446" s="27"/>
      <c r="S446" s="27"/>
      <c r="T446" s="27"/>
      <c r="U446" s="27"/>
      <c r="V446" s="27"/>
      <c r="W446" s="27"/>
      <c r="X446" s="27"/>
      <c r="Y446" s="27"/>
      <c r="Z446" s="27"/>
      <c r="AA446" s="27"/>
      <c r="AB446" s="27"/>
      <c r="AC446" s="27"/>
    </row>
    <row r="447" spans="1:29">
      <c r="A447" s="358"/>
      <c r="B447" s="359"/>
      <c r="C447" s="360"/>
      <c r="D447" s="27"/>
      <c r="E447" s="27"/>
      <c r="F447" s="27"/>
      <c r="G447" s="27"/>
      <c r="H447" s="27"/>
      <c r="I447" s="27"/>
      <c r="J447" s="27"/>
      <c r="K447" s="27"/>
      <c r="L447" s="27"/>
      <c r="M447" s="27"/>
      <c r="N447" s="27"/>
      <c r="O447" s="27"/>
      <c r="P447" s="27"/>
      <c r="Q447" s="27"/>
      <c r="R447" s="27"/>
      <c r="S447" s="27"/>
      <c r="T447" s="27"/>
      <c r="U447" s="27"/>
      <c r="V447" s="27"/>
      <c r="W447" s="27"/>
      <c r="X447" s="27"/>
      <c r="Y447" s="27"/>
      <c r="Z447" s="27"/>
      <c r="AA447" s="27"/>
      <c r="AB447" s="27"/>
      <c r="AC447" s="27"/>
    </row>
    <row r="448" spans="1:29">
      <c r="A448" s="358"/>
      <c r="B448" s="359"/>
      <c r="C448" s="360"/>
      <c r="D448" s="27"/>
      <c r="E448" s="27"/>
      <c r="F448" s="27"/>
      <c r="G448" s="27"/>
      <c r="H448" s="27"/>
      <c r="I448" s="27"/>
      <c r="J448" s="27"/>
      <c r="K448" s="27"/>
      <c r="L448" s="27"/>
      <c r="M448" s="27"/>
      <c r="N448" s="27"/>
      <c r="O448" s="27"/>
      <c r="P448" s="27"/>
      <c r="Q448" s="27"/>
      <c r="R448" s="27"/>
      <c r="S448" s="27"/>
      <c r="T448" s="27"/>
      <c r="U448" s="27"/>
      <c r="V448" s="27"/>
      <c r="W448" s="27"/>
      <c r="X448" s="27"/>
      <c r="Y448" s="27"/>
      <c r="Z448" s="27"/>
      <c r="AA448" s="27"/>
      <c r="AB448" s="27"/>
      <c r="AC448" s="27"/>
    </row>
    <row r="449" spans="1:29">
      <c r="A449" s="358"/>
      <c r="B449" s="359"/>
      <c r="C449" s="360"/>
      <c r="D449" s="27"/>
      <c r="E449" s="27"/>
      <c r="F449" s="27"/>
      <c r="G449" s="27"/>
      <c r="H449" s="27"/>
      <c r="I449" s="27"/>
      <c r="J449" s="27"/>
      <c r="K449" s="27"/>
      <c r="L449" s="27"/>
      <c r="M449" s="27"/>
      <c r="N449" s="27"/>
      <c r="O449" s="27"/>
      <c r="P449" s="27"/>
      <c r="Q449" s="27"/>
      <c r="R449" s="27"/>
      <c r="S449" s="27"/>
      <c r="T449" s="27"/>
      <c r="U449" s="27"/>
      <c r="V449" s="27"/>
      <c r="W449" s="27"/>
      <c r="X449" s="27"/>
      <c r="Y449" s="27"/>
      <c r="Z449" s="27"/>
      <c r="AA449" s="27"/>
      <c r="AB449" s="27"/>
      <c r="AC449" s="27"/>
    </row>
    <row r="450" spans="1:29">
      <c r="A450" s="358"/>
      <c r="B450" s="359"/>
      <c r="C450" s="360"/>
      <c r="D450" s="27"/>
      <c r="E450" s="27"/>
      <c r="F450" s="27"/>
      <c r="G450" s="27"/>
      <c r="H450" s="27"/>
      <c r="I450" s="27"/>
      <c r="J450" s="27"/>
      <c r="K450" s="27"/>
      <c r="L450" s="27"/>
      <c r="M450" s="27"/>
      <c r="N450" s="27"/>
      <c r="O450" s="27"/>
      <c r="P450" s="27"/>
      <c r="Q450" s="27"/>
      <c r="R450" s="27"/>
      <c r="S450" s="27"/>
      <c r="T450" s="27"/>
      <c r="U450" s="27"/>
      <c r="V450" s="27"/>
      <c r="W450" s="27"/>
      <c r="X450" s="27"/>
      <c r="Y450" s="27"/>
      <c r="Z450" s="27"/>
      <c r="AA450" s="27"/>
      <c r="AB450" s="27"/>
      <c r="AC450" s="27"/>
    </row>
    <row r="451" spans="1:29">
      <c r="A451" s="358"/>
      <c r="B451" s="359"/>
      <c r="C451" s="360"/>
      <c r="D451" s="27"/>
      <c r="E451" s="27"/>
      <c r="F451" s="27"/>
      <c r="G451" s="27"/>
      <c r="H451" s="27"/>
      <c r="I451" s="27"/>
      <c r="J451" s="27"/>
      <c r="K451" s="27"/>
      <c r="L451" s="27"/>
      <c r="M451" s="27"/>
      <c r="N451" s="27"/>
      <c r="O451" s="27"/>
      <c r="P451" s="27"/>
      <c r="Q451" s="27"/>
      <c r="R451" s="27"/>
      <c r="S451" s="27"/>
      <c r="T451" s="27"/>
      <c r="U451" s="27"/>
      <c r="V451" s="27"/>
      <c r="W451" s="27"/>
      <c r="X451" s="27"/>
      <c r="Y451" s="27"/>
      <c r="Z451" s="27"/>
      <c r="AA451" s="27"/>
      <c r="AB451" s="27"/>
      <c r="AC451" s="27"/>
    </row>
    <row r="452" spans="1:29">
      <c r="A452" s="358"/>
      <c r="B452" s="359"/>
      <c r="C452" s="360"/>
      <c r="D452" s="27"/>
      <c r="E452" s="27"/>
      <c r="F452" s="27"/>
      <c r="G452" s="27"/>
      <c r="H452" s="27"/>
      <c r="I452" s="27"/>
      <c r="J452" s="27"/>
      <c r="K452" s="27"/>
      <c r="L452" s="27"/>
      <c r="M452" s="27"/>
      <c r="N452" s="27"/>
      <c r="O452" s="27"/>
      <c r="P452" s="27"/>
      <c r="Q452" s="27"/>
      <c r="R452" s="27"/>
      <c r="S452" s="27"/>
      <c r="T452" s="27"/>
      <c r="U452" s="27"/>
      <c r="V452" s="27"/>
      <c r="W452" s="27"/>
      <c r="X452" s="27"/>
      <c r="Y452" s="27"/>
      <c r="Z452" s="27"/>
      <c r="AA452" s="27"/>
      <c r="AB452" s="27"/>
      <c r="AC452" s="27"/>
    </row>
    <row r="453" spans="1:29">
      <c r="A453" s="358"/>
      <c r="B453" s="359"/>
      <c r="C453" s="360"/>
      <c r="D453" s="27"/>
      <c r="E453" s="27"/>
      <c r="F453" s="27"/>
      <c r="G453" s="27"/>
      <c r="H453" s="27"/>
      <c r="I453" s="27"/>
      <c r="J453" s="27"/>
      <c r="K453" s="27"/>
      <c r="L453" s="27"/>
      <c r="M453" s="27"/>
      <c r="N453" s="27"/>
      <c r="O453" s="27"/>
      <c r="P453" s="27"/>
      <c r="Q453" s="27"/>
      <c r="R453" s="27"/>
      <c r="S453" s="27"/>
      <c r="T453" s="27"/>
      <c r="U453" s="27"/>
      <c r="V453" s="27"/>
      <c r="W453" s="27"/>
      <c r="X453" s="27"/>
      <c r="Y453" s="27"/>
      <c r="Z453" s="27"/>
      <c r="AA453" s="27"/>
      <c r="AB453" s="27"/>
      <c r="AC453" s="27"/>
    </row>
    <row r="454" spans="1:29">
      <c r="A454" s="358"/>
      <c r="B454" s="359"/>
      <c r="C454" s="360"/>
      <c r="D454" s="27"/>
      <c r="E454" s="27"/>
      <c r="F454" s="27"/>
      <c r="G454" s="27"/>
      <c r="H454" s="27"/>
      <c r="I454" s="27"/>
      <c r="J454" s="27"/>
      <c r="K454" s="27"/>
      <c r="L454" s="27"/>
      <c r="M454" s="27"/>
      <c r="N454" s="27"/>
      <c r="O454" s="27"/>
      <c r="P454" s="27"/>
      <c r="Q454" s="27"/>
      <c r="R454" s="27"/>
      <c r="S454" s="27"/>
      <c r="T454" s="27"/>
      <c r="U454" s="27"/>
      <c r="V454" s="27"/>
      <c r="W454" s="27"/>
      <c r="X454" s="27"/>
      <c r="Y454" s="27"/>
      <c r="Z454" s="27"/>
      <c r="AA454" s="27"/>
      <c r="AB454" s="27"/>
      <c r="AC454" s="27"/>
    </row>
    <row r="455" spans="1:29">
      <c r="A455" s="358"/>
      <c r="B455" s="359"/>
      <c r="C455" s="360"/>
      <c r="D455" s="27"/>
      <c r="E455" s="27"/>
      <c r="F455" s="27"/>
      <c r="G455" s="27"/>
      <c r="H455" s="27"/>
      <c r="I455" s="27"/>
      <c r="J455" s="27"/>
      <c r="K455" s="27"/>
      <c r="L455" s="27"/>
      <c r="M455" s="27"/>
      <c r="N455" s="27"/>
      <c r="O455" s="27"/>
      <c r="P455" s="27"/>
      <c r="Q455" s="27"/>
      <c r="R455" s="27"/>
      <c r="S455" s="27"/>
      <c r="T455" s="27"/>
      <c r="U455" s="27"/>
      <c r="V455" s="27"/>
      <c r="W455" s="27"/>
      <c r="X455" s="27"/>
      <c r="Y455" s="27"/>
      <c r="Z455" s="27"/>
      <c r="AA455" s="27"/>
      <c r="AB455" s="27"/>
      <c r="AC455" s="27"/>
    </row>
    <row r="456" spans="1:29">
      <c r="A456" s="358"/>
      <c r="B456" s="359"/>
      <c r="C456" s="360"/>
      <c r="D456" s="27"/>
      <c r="E456" s="27"/>
      <c r="F456" s="27"/>
      <c r="G456" s="27"/>
      <c r="H456" s="27"/>
      <c r="I456" s="27"/>
      <c r="J456" s="27"/>
      <c r="K456" s="27"/>
      <c r="L456" s="27"/>
      <c r="M456" s="27"/>
      <c r="N456" s="27"/>
      <c r="O456" s="27"/>
      <c r="P456" s="27"/>
      <c r="Q456" s="27"/>
      <c r="R456" s="27"/>
      <c r="S456" s="27"/>
      <c r="T456" s="27"/>
      <c r="U456" s="27"/>
      <c r="V456" s="27"/>
      <c r="W456" s="27"/>
      <c r="X456" s="27"/>
      <c r="Y456" s="27"/>
      <c r="Z456" s="27"/>
      <c r="AA456" s="27"/>
      <c r="AB456" s="27"/>
      <c r="AC456" s="27"/>
    </row>
    <row r="457" spans="1:29">
      <c r="A457" s="358"/>
      <c r="B457" s="359"/>
      <c r="C457" s="360"/>
      <c r="D457" s="27"/>
      <c r="E457" s="27"/>
      <c r="F457" s="27"/>
      <c r="G457" s="27"/>
      <c r="H457" s="27"/>
      <c r="I457" s="27"/>
      <c r="J457" s="27"/>
      <c r="K457" s="27"/>
      <c r="L457" s="27"/>
      <c r="M457" s="27"/>
      <c r="N457" s="27"/>
      <c r="O457" s="27"/>
      <c r="P457" s="27"/>
      <c r="Q457" s="27"/>
      <c r="R457" s="27"/>
      <c r="S457" s="27"/>
      <c r="T457" s="27"/>
      <c r="U457" s="27"/>
      <c r="V457" s="27"/>
      <c r="W457" s="27"/>
      <c r="X457" s="27"/>
      <c r="Y457" s="27"/>
      <c r="Z457" s="27"/>
      <c r="AA457" s="27"/>
      <c r="AB457" s="27"/>
      <c r="AC457" s="27"/>
    </row>
    <row r="458" spans="1:29">
      <c r="A458" s="358"/>
      <c r="B458" s="359"/>
      <c r="C458" s="360"/>
      <c r="D458" s="27"/>
      <c r="E458" s="27"/>
      <c r="F458" s="27"/>
      <c r="G458" s="27"/>
      <c r="H458" s="27"/>
      <c r="I458" s="27"/>
      <c r="J458" s="27"/>
      <c r="K458" s="27"/>
      <c r="L458" s="27"/>
      <c r="M458" s="27"/>
      <c r="N458" s="27"/>
      <c r="O458" s="27"/>
      <c r="P458" s="27"/>
      <c r="Q458" s="27"/>
      <c r="R458" s="27"/>
      <c r="S458" s="27"/>
      <c r="T458" s="27"/>
      <c r="U458" s="27"/>
      <c r="V458" s="27"/>
      <c r="W458" s="27"/>
      <c r="X458" s="27"/>
      <c r="Y458" s="27"/>
      <c r="Z458" s="27"/>
      <c r="AA458" s="27"/>
      <c r="AB458" s="27"/>
      <c r="AC458" s="27"/>
    </row>
    <row r="459" spans="1:29">
      <c r="A459" s="358"/>
      <c r="B459" s="359"/>
      <c r="C459" s="360"/>
      <c r="D459" s="27"/>
      <c r="E459" s="27"/>
      <c r="F459" s="27"/>
      <c r="G459" s="27"/>
      <c r="H459" s="27"/>
      <c r="I459" s="27"/>
      <c r="J459" s="27"/>
      <c r="K459" s="27"/>
      <c r="L459" s="27"/>
      <c r="M459" s="27"/>
      <c r="N459" s="27"/>
      <c r="O459" s="27"/>
      <c r="P459" s="27"/>
      <c r="Q459" s="27"/>
      <c r="R459" s="27"/>
      <c r="S459" s="27"/>
      <c r="T459" s="27"/>
      <c r="U459" s="27"/>
      <c r="V459" s="27"/>
      <c r="W459" s="27"/>
      <c r="X459" s="27"/>
      <c r="Y459" s="27"/>
      <c r="Z459" s="27"/>
      <c r="AA459" s="27"/>
      <c r="AB459" s="27"/>
      <c r="AC459" s="27"/>
    </row>
    <row r="460" spans="1:29">
      <c r="A460" s="358"/>
      <c r="B460" s="359"/>
      <c r="C460" s="360"/>
      <c r="D460" s="27"/>
      <c r="E460" s="27"/>
      <c r="F460" s="27"/>
      <c r="G460" s="27"/>
      <c r="H460" s="27"/>
      <c r="I460" s="27"/>
      <c r="J460" s="27"/>
      <c r="K460" s="27"/>
      <c r="L460" s="27"/>
      <c r="M460" s="27"/>
      <c r="N460" s="27"/>
      <c r="O460" s="27"/>
      <c r="P460" s="27"/>
      <c r="Q460" s="27"/>
      <c r="R460" s="27"/>
      <c r="S460" s="27"/>
      <c r="T460" s="27"/>
      <c r="U460" s="27"/>
      <c r="V460" s="27"/>
      <c r="W460" s="27"/>
      <c r="X460" s="27"/>
      <c r="Y460" s="27"/>
      <c r="Z460" s="27"/>
      <c r="AA460" s="27"/>
      <c r="AB460" s="27"/>
      <c r="AC460" s="27"/>
    </row>
    <row r="461" spans="1:29">
      <c r="A461" s="358"/>
      <c r="B461" s="359"/>
      <c r="C461" s="360"/>
      <c r="D461" s="27"/>
      <c r="E461" s="27"/>
      <c r="F461" s="27"/>
      <c r="G461" s="27"/>
      <c r="H461" s="27"/>
      <c r="I461" s="27"/>
      <c r="J461" s="27"/>
      <c r="K461" s="27"/>
      <c r="L461" s="27"/>
      <c r="M461" s="27"/>
      <c r="N461" s="27"/>
      <c r="O461" s="27"/>
      <c r="P461" s="27"/>
      <c r="Q461" s="27"/>
      <c r="R461" s="27"/>
      <c r="S461" s="27"/>
      <c r="T461" s="27"/>
      <c r="U461" s="27"/>
      <c r="V461" s="27"/>
      <c r="W461" s="27"/>
      <c r="X461" s="27"/>
      <c r="Y461" s="27"/>
      <c r="Z461" s="27"/>
      <c r="AA461" s="27"/>
      <c r="AB461" s="27"/>
      <c r="AC461" s="27"/>
    </row>
    <row r="462" spans="1:29">
      <c r="A462" s="358"/>
      <c r="B462" s="359"/>
      <c r="C462" s="360"/>
      <c r="D462" s="27"/>
      <c r="E462" s="27"/>
      <c r="F462" s="27"/>
      <c r="G462" s="27"/>
      <c r="H462" s="27"/>
      <c r="I462" s="27"/>
      <c r="J462" s="27"/>
      <c r="K462" s="27"/>
      <c r="L462" s="27"/>
      <c r="M462" s="27"/>
      <c r="N462" s="27"/>
      <c r="O462" s="27"/>
      <c r="P462" s="27"/>
      <c r="Q462" s="27"/>
      <c r="R462" s="27"/>
      <c r="S462" s="27"/>
      <c r="T462" s="27"/>
      <c r="U462" s="27"/>
      <c r="V462" s="27"/>
      <c r="W462" s="27"/>
      <c r="X462" s="27"/>
      <c r="Y462" s="27"/>
      <c r="Z462" s="27"/>
      <c r="AA462" s="27"/>
      <c r="AB462" s="27"/>
      <c r="AC462" s="27"/>
    </row>
    <row r="463" spans="1:29">
      <c r="A463" s="358"/>
      <c r="B463" s="359"/>
      <c r="C463" s="360"/>
      <c r="D463" s="27"/>
      <c r="E463" s="27"/>
      <c r="F463" s="27"/>
      <c r="G463" s="27"/>
      <c r="H463" s="27"/>
      <c r="I463" s="27"/>
      <c r="J463" s="27"/>
      <c r="K463" s="27"/>
      <c r="L463" s="27"/>
      <c r="M463" s="27"/>
      <c r="N463" s="27"/>
      <c r="O463" s="27"/>
      <c r="P463" s="27"/>
      <c r="Q463" s="27"/>
      <c r="R463" s="27"/>
      <c r="S463" s="27"/>
      <c r="T463" s="27"/>
      <c r="U463" s="27"/>
      <c r="V463" s="27"/>
      <c r="W463" s="27"/>
      <c r="X463" s="27"/>
      <c r="Y463" s="27"/>
      <c r="Z463" s="27"/>
      <c r="AA463" s="27"/>
      <c r="AB463" s="27"/>
      <c r="AC463" s="27"/>
    </row>
    <row r="464" spans="1:29">
      <c r="A464" s="358"/>
      <c r="B464" s="359"/>
      <c r="C464" s="360"/>
      <c r="D464" s="27"/>
      <c r="E464" s="27"/>
      <c r="F464" s="27"/>
      <c r="G464" s="27"/>
      <c r="H464" s="27"/>
      <c r="I464" s="27"/>
      <c r="J464" s="27"/>
      <c r="K464" s="27"/>
      <c r="L464" s="27"/>
      <c r="M464" s="27"/>
      <c r="N464" s="27"/>
      <c r="O464" s="27"/>
      <c r="P464" s="27"/>
      <c r="Q464" s="27"/>
      <c r="R464" s="27"/>
      <c r="S464" s="27"/>
      <c r="T464" s="27"/>
      <c r="U464" s="27"/>
      <c r="V464" s="27"/>
      <c r="W464" s="27"/>
      <c r="X464" s="27"/>
      <c r="Y464" s="27"/>
      <c r="Z464" s="27"/>
      <c r="AA464" s="27"/>
      <c r="AB464" s="27"/>
      <c r="AC464" s="27"/>
    </row>
    <row r="465" spans="1:29">
      <c r="A465" s="358"/>
      <c r="B465" s="359"/>
      <c r="C465" s="360"/>
      <c r="D465" s="27"/>
      <c r="E465" s="27"/>
      <c r="F465" s="27"/>
      <c r="G465" s="27"/>
      <c r="H465" s="27"/>
      <c r="I465" s="27"/>
      <c r="J465" s="27"/>
      <c r="K465" s="27"/>
      <c r="L465" s="27"/>
      <c r="M465" s="27"/>
      <c r="N465" s="27"/>
      <c r="O465" s="27"/>
      <c r="P465" s="27"/>
      <c r="Q465" s="27"/>
      <c r="R465" s="27"/>
      <c r="S465" s="27"/>
      <c r="T465" s="27"/>
      <c r="U465" s="27"/>
      <c r="V465" s="27"/>
      <c r="W465" s="27"/>
      <c r="X465" s="27"/>
      <c r="Y465" s="27"/>
      <c r="Z465" s="27"/>
      <c r="AA465" s="27"/>
      <c r="AB465" s="27"/>
      <c r="AC465" s="27"/>
    </row>
    <row r="466" spans="1:29">
      <c r="A466" s="358"/>
      <c r="B466" s="359"/>
      <c r="C466" s="360"/>
      <c r="D466" s="27"/>
      <c r="E466" s="27"/>
      <c r="F466" s="27"/>
      <c r="G466" s="27"/>
      <c r="H466" s="27"/>
      <c r="I466" s="27"/>
      <c r="J466" s="27"/>
      <c r="K466" s="27"/>
      <c r="L466" s="27"/>
      <c r="M466" s="27"/>
      <c r="N466" s="27"/>
      <c r="O466" s="27"/>
      <c r="P466" s="27"/>
      <c r="Q466" s="27"/>
      <c r="R466" s="27"/>
      <c r="S466" s="27"/>
      <c r="T466" s="27"/>
      <c r="U466" s="27"/>
      <c r="V466" s="27"/>
      <c r="W466" s="27"/>
      <c r="X466" s="27"/>
      <c r="Y466" s="27"/>
      <c r="Z466" s="27"/>
      <c r="AA466" s="27"/>
      <c r="AB466" s="27"/>
      <c r="AC466" s="27"/>
    </row>
    <row r="467" spans="1:29">
      <c r="A467" s="358"/>
      <c r="B467" s="359"/>
      <c r="C467" s="360"/>
      <c r="D467" s="27"/>
      <c r="E467" s="27"/>
      <c r="F467" s="27"/>
      <c r="G467" s="27"/>
      <c r="H467" s="27"/>
      <c r="I467" s="27"/>
      <c r="J467" s="27"/>
      <c r="K467" s="27"/>
      <c r="L467" s="27"/>
      <c r="M467" s="27"/>
      <c r="N467" s="27"/>
      <c r="O467" s="27"/>
      <c r="P467" s="27"/>
      <c r="Q467" s="27"/>
      <c r="R467" s="27"/>
      <c r="S467" s="27"/>
      <c r="T467" s="27"/>
      <c r="U467" s="27"/>
      <c r="V467" s="27"/>
      <c r="W467" s="27"/>
      <c r="X467" s="27"/>
      <c r="Y467" s="27"/>
      <c r="Z467" s="27"/>
      <c r="AA467" s="27"/>
      <c r="AB467" s="27"/>
      <c r="AC467" s="27"/>
    </row>
    <row r="468" spans="1:29">
      <c r="A468" s="358"/>
      <c r="B468" s="359"/>
      <c r="C468" s="360"/>
      <c r="D468" s="27"/>
      <c r="E468" s="27"/>
      <c r="F468" s="27"/>
      <c r="G468" s="27"/>
      <c r="H468" s="27"/>
      <c r="I468" s="27"/>
      <c r="J468" s="27"/>
      <c r="K468" s="27"/>
      <c r="L468" s="27"/>
      <c r="M468" s="27"/>
      <c r="N468" s="27"/>
      <c r="O468" s="27"/>
      <c r="P468" s="27"/>
      <c r="Q468" s="27"/>
      <c r="R468" s="27"/>
      <c r="S468" s="27"/>
      <c r="T468" s="27"/>
      <c r="U468" s="27"/>
      <c r="V468" s="27"/>
      <c r="W468" s="27"/>
      <c r="X468" s="27"/>
      <c r="Y468" s="27"/>
      <c r="Z468" s="27"/>
      <c r="AA468" s="27"/>
      <c r="AB468" s="27"/>
      <c r="AC468" s="27"/>
    </row>
    <row r="469" spans="1:29">
      <c r="A469" s="358"/>
      <c r="B469" s="359"/>
      <c r="C469" s="360"/>
      <c r="D469" s="27"/>
      <c r="E469" s="27"/>
      <c r="F469" s="27"/>
      <c r="G469" s="27"/>
      <c r="H469" s="27"/>
      <c r="I469" s="27"/>
      <c r="J469" s="27"/>
      <c r="K469" s="27"/>
      <c r="L469" s="27"/>
      <c r="M469" s="27"/>
      <c r="N469" s="27"/>
      <c r="O469" s="27"/>
      <c r="P469" s="27"/>
      <c r="Q469" s="27"/>
      <c r="R469" s="27"/>
      <c r="S469" s="27"/>
      <c r="T469" s="27"/>
      <c r="U469" s="27"/>
      <c r="V469" s="27"/>
      <c r="W469" s="27"/>
      <c r="X469" s="27"/>
      <c r="Y469" s="27"/>
      <c r="Z469" s="27"/>
      <c r="AA469" s="27"/>
      <c r="AB469" s="27"/>
      <c r="AC469" s="27"/>
    </row>
    <row r="470" spans="1:29">
      <c r="A470" s="358"/>
      <c r="B470" s="359"/>
      <c r="C470" s="360"/>
      <c r="D470" s="27"/>
      <c r="E470" s="27"/>
      <c r="F470" s="27"/>
      <c r="G470" s="27"/>
      <c r="H470" s="27"/>
      <c r="I470" s="27"/>
      <c r="J470" s="27"/>
      <c r="K470" s="27"/>
      <c r="L470" s="27"/>
      <c r="M470" s="27"/>
      <c r="N470" s="27"/>
      <c r="O470" s="27"/>
      <c r="P470" s="27"/>
      <c r="Q470" s="27"/>
      <c r="R470" s="27"/>
      <c r="S470" s="27"/>
      <c r="T470" s="27"/>
      <c r="U470" s="27"/>
      <c r="V470" s="27"/>
      <c r="W470" s="27"/>
      <c r="X470" s="27"/>
      <c r="Y470" s="27"/>
      <c r="Z470" s="27"/>
      <c r="AA470" s="27"/>
      <c r="AB470" s="27"/>
      <c r="AC470" s="27"/>
    </row>
    <row r="471" spans="1:29">
      <c r="A471" s="358"/>
      <c r="B471" s="359"/>
      <c r="C471" s="360"/>
      <c r="D471" s="27"/>
      <c r="E471" s="27"/>
      <c r="F471" s="27"/>
      <c r="G471" s="27"/>
      <c r="H471" s="27"/>
      <c r="I471" s="27"/>
      <c r="J471" s="27"/>
      <c r="K471" s="27"/>
      <c r="L471" s="27"/>
      <c r="M471" s="27"/>
      <c r="N471" s="27"/>
      <c r="O471" s="27"/>
      <c r="P471" s="27"/>
      <c r="Q471" s="27"/>
      <c r="R471" s="27"/>
      <c r="S471" s="27"/>
      <c r="T471" s="27"/>
      <c r="U471" s="27"/>
      <c r="V471" s="27"/>
      <c r="W471" s="27"/>
      <c r="X471" s="27"/>
      <c r="Y471" s="27"/>
      <c r="Z471" s="27"/>
      <c r="AA471" s="27"/>
      <c r="AB471" s="27"/>
      <c r="AC471" s="27"/>
    </row>
    <row r="472" spans="1:29">
      <c r="A472" s="358"/>
      <c r="B472" s="359"/>
      <c r="C472" s="360"/>
      <c r="D472" s="27"/>
      <c r="E472" s="27"/>
      <c r="F472" s="27"/>
      <c r="G472" s="27"/>
      <c r="H472" s="27"/>
      <c r="I472" s="27"/>
      <c r="J472" s="27"/>
      <c r="K472" s="27"/>
      <c r="L472" s="27"/>
      <c r="M472" s="27"/>
      <c r="N472" s="27"/>
      <c r="O472" s="27"/>
      <c r="P472" s="27"/>
      <c r="Q472" s="27"/>
      <c r="R472" s="27"/>
      <c r="S472" s="27"/>
      <c r="T472" s="27"/>
      <c r="U472" s="27"/>
      <c r="V472" s="27"/>
      <c r="W472" s="27"/>
      <c r="X472" s="27"/>
      <c r="Y472" s="27"/>
      <c r="Z472" s="27"/>
      <c r="AA472" s="27"/>
      <c r="AB472" s="27"/>
      <c r="AC472" s="27"/>
    </row>
    <row r="473" spans="1:29">
      <c r="A473" s="358"/>
      <c r="B473" s="359"/>
      <c r="C473" s="360"/>
      <c r="D473" s="27"/>
      <c r="E473" s="27"/>
      <c r="F473" s="27"/>
      <c r="G473" s="27"/>
      <c r="H473" s="27"/>
      <c r="I473" s="27"/>
      <c r="J473" s="27"/>
      <c r="K473" s="27"/>
      <c r="L473" s="27"/>
      <c r="M473" s="27"/>
      <c r="N473" s="27"/>
      <c r="O473" s="27"/>
      <c r="P473" s="27"/>
      <c r="Q473" s="27"/>
      <c r="R473" s="27"/>
      <c r="S473" s="27"/>
      <c r="T473" s="27"/>
      <c r="U473" s="27"/>
      <c r="V473" s="27"/>
      <c r="W473" s="27"/>
      <c r="X473" s="27"/>
      <c r="Y473" s="27"/>
      <c r="Z473" s="27"/>
      <c r="AA473" s="27"/>
      <c r="AB473" s="27"/>
      <c r="AC473" s="27"/>
    </row>
    <row r="474" spans="1:29">
      <c r="A474" s="358"/>
      <c r="B474" s="359"/>
      <c r="C474" s="360"/>
      <c r="D474" s="27"/>
      <c r="E474" s="27"/>
      <c r="F474" s="27"/>
      <c r="G474" s="27"/>
      <c r="H474" s="27"/>
      <c r="I474" s="27"/>
      <c r="J474" s="27"/>
      <c r="K474" s="27"/>
      <c r="L474" s="27"/>
      <c r="M474" s="27"/>
      <c r="N474" s="27"/>
      <c r="O474" s="27"/>
      <c r="P474" s="27"/>
      <c r="Q474" s="27"/>
      <c r="R474" s="27"/>
      <c r="S474" s="27"/>
      <c r="T474" s="27"/>
      <c r="U474" s="27"/>
      <c r="V474" s="27"/>
      <c r="W474" s="27"/>
      <c r="X474" s="27"/>
      <c r="Y474" s="27"/>
      <c r="Z474" s="27"/>
      <c r="AA474" s="27"/>
      <c r="AB474" s="27"/>
      <c r="AC474" s="27"/>
    </row>
    <row r="475" spans="1:29">
      <c r="A475" s="358"/>
      <c r="B475" s="359"/>
      <c r="C475" s="360"/>
      <c r="D475" s="27"/>
      <c r="E475" s="27"/>
      <c r="F475" s="27"/>
      <c r="G475" s="27"/>
      <c r="H475" s="27"/>
      <c r="I475" s="27"/>
      <c r="J475" s="27"/>
      <c r="K475" s="27"/>
      <c r="L475" s="27"/>
      <c r="M475" s="27"/>
      <c r="N475" s="27"/>
      <c r="O475" s="27"/>
      <c r="P475" s="27"/>
      <c r="Q475" s="27"/>
      <c r="R475" s="27"/>
      <c r="S475" s="27"/>
      <c r="T475" s="27"/>
      <c r="U475" s="27"/>
      <c r="V475" s="27"/>
      <c r="W475" s="27"/>
      <c r="X475" s="27"/>
      <c r="Y475" s="27"/>
      <c r="Z475" s="27"/>
      <c r="AA475" s="27"/>
      <c r="AB475" s="27"/>
      <c r="AC475" s="27"/>
    </row>
    <row r="476" spans="1:29">
      <c r="A476" s="358"/>
      <c r="B476" s="359"/>
      <c r="C476" s="360"/>
      <c r="D476" s="27"/>
      <c r="E476" s="27"/>
      <c r="F476" s="27"/>
      <c r="G476" s="27"/>
      <c r="H476" s="27"/>
      <c r="I476" s="27"/>
      <c r="J476" s="27"/>
      <c r="K476" s="27"/>
      <c r="L476" s="27"/>
      <c r="M476" s="27"/>
      <c r="N476" s="27"/>
      <c r="O476" s="27"/>
      <c r="P476" s="27"/>
      <c r="Q476" s="27"/>
      <c r="R476" s="27"/>
      <c r="S476" s="27"/>
      <c r="T476" s="27"/>
      <c r="U476" s="27"/>
      <c r="V476" s="27"/>
      <c r="W476" s="27"/>
      <c r="X476" s="27"/>
      <c r="Y476" s="27"/>
      <c r="Z476" s="27"/>
      <c r="AA476" s="27"/>
      <c r="AB476" s="27"/>
      <c r="AC476" s="27"/>
    </row>
    <row r="477" spans="1:29">
      <c r="A477" s="358"/>
      <c r="B477" s="359"/>
      <c r="C477" s="360"/>
      <c r="D477" s="27"/>
      <c r="E477" s="27"/>
      <c r="F477" s="27"/>
      <c r="G477" s="27"/>
      <c r="H477" s="27"/>
      <c r="I477" s="27"/>
      <c r="J477" s="27"/>
      <c r="K477" s="27"/>
      <c r="L477" s="27"/>
      <c r="M477" s="27"/>
      <c r="N477" s="27"/>
      <c r="O477" s="27"/>
      <c r="P477" s="27"/>
      <c r="Q477" s="27"/>
      <c r="R477" s="27"/>
      <c r="S477" s="27"/>
      <c r="T477" s="27"/>
      <c r="U477" s="27"/>
      <c r="V477" s="27"/>
      <c r="W477" s="27"/>
      <c r="X477" s="27"/>
      <c r="Y477" s="27"/>
      <c r="Z477" s="27"/>
      <c r="AA477" s="27"/>
      <c r="AB477" s="27"/>
      <c r="AC477" s="27"/>
    </row>
    <row r="478" spans="1:29">
      <c r="A478" s="358"/>
      <c r="B478" s="359"/>
      <c r="C478" s="360"/>
      <c r="D478" s="27"/>
      <c r="E478" s="27"/>
      <c r="F478" s="27"/>
      <c r="G478" s="27"/>
      <c r="H478" s="27"/>
      <c r="I478" s="27"/>
      <c r="J478" s="27"/>
      <c r="K478" s="27"/>
      <c r="L478" s="27"/>
      <c r="M478" s="27"/>
      <c r="N478" s="27"/>
      <c r="O478" s="27"/>
      <c r="P478" s="27"/>
      <c r="Q478" s="27"/>
      <c r="R478" s="27"/>
      <c r="S478" s="27"/>
      <c r="T478" s="27"/>
      <c r="U478" s="27"/>
      <c r="V478" s="27"/>
      <c r="W478" s="27"/>
      <c r="X478" s="27"/>
      <c r="Y478" s="27"/>
      <c r="Z478" s="27"/>
      <c r="AA478" s="27"/>
      <c r="AB478" s="27"/>
      <c r="AC478" s="27"/>
    </row>
    <row r="479" spans="1:29">
      <c r="A479" s="358"/>
      <c r="B479" s="359"/>
      <c r="C479" s="360"/>
      <c r="D479" s="27"/>
      <c r="E479" s="27"/>
      <c r="F479" s="27"/>
      <c r="G479" s="27"/>
      <c r="H479" s="27"/>
      <c r="I479" s="27"/>
      <c r="J479" s="27"/>
      <c r="K479" s="27"/>
      <c r="L479" s="27"/>
      <c r="M479" s="27"/>
      <c r="N479" s="27"/>
      <c r="O479" s="27"/>
      <c r="P479" s="27"/>
      <c r="Q479" s="27"/>
      <c r="R479" s="27"/>
      <c r="S479" s="27"/>
      <c r="T479" s="27"/>
      <c r="U479" s="27"/>
      <c r="V479" s="27"/>
      <c r="W479" s="27"/>
      <c r="X479" s="27"/>
      <c r="Y479" s="27"/>
      <c r="Z479" s="27"/>
      <c r="AA479" s="27"/>
      <c r="AB479" s="27"/>
      <c r="AC479" s="27"/>
    </row>
    <row r="480" spans="1:29">
      <c r="A480" s="358"/>
      <c r="B480" s="359"/>
      <c r="C480" s="360"/>
      <c r="D480" s="27"/>
      <c r="E480" s="27"/>
      <c r="F480" s="27"/>
      <c r="G480" s="27"/>
      <c r="H480" s="27"/>
      <c r="I480" s="27"/>
      <c r="J480" s="27"/>
      <c r="K480" s="27"/>
      <c r="L480" s="27"/>
      <c r="M480" s="27"/>
      <c r="N480" s="27"/>
      <c r="O480" s="27"/>
      <c r="P480" s="27"/>
      <c r="Q480" s="27"/>
      <c r="R480" s="27"/>
      <c r="S480" s="27"/>
      <c r="T480" s="27"/>
      <c r="U480" s="27"/>
      <c r="V480" s="27"/>
      <c r="W480" s="27"/>
      <c r="X480" s="27"/>
      <c r="Y480" s="27"/>
      <c r="Z480" s="27"/>
      <c r="AA480" s="27"/>
      <c r="AB480" s="27"/>
      <c r="AC480" s="27"/>
    </row>
    <row r="481" spans="1:29">
      <c r="A481" s="358"/>
      <c r="B481" s="359"/>
      <c r="C481" s="360"/>
      <c r="D481" s="27"/>
      <c r="E481" s="27"/>
      <c r="F481" s="27"/>
      <c r="G481" s="27"/>
      <c r="H481" s="27"/>
      <c r="I481" s="27"/>
      <c r="J481" s="27"/>
      <c r="K481" s="27"/>
      <c r="L481" s="27"/>
      <c r="M481" s="27"/>
      <c r="N481" s="27"/>
      <c r="O481" s="27"/>
      <c r="P481" s="27"/>
      <c r="Q481" s="27"/>
      <c r="R481" s="27"/>
      <c r="S481" s="27"/>
      <c r="T481" s="27"/>
      <c r="U481" s="27"/>
      <c r="V481" s="27"/>
      <c r="W481" s="27"/>
      <c r="X481" s="27"/>
      <c r="Y481" s="27"/>
      <c r="Z481" s="27"/>
      <c r="AA481" s="27"/>
      <c r="AB481" s="27"/>
      <c r="AC481" s="27"/>
    </row>
    <row r="482" spans="1:29">
      <c r="A482" s="358"/>
      <c r="B482" s="359"/>
      <c r="C482" s="360"/>
      <c r="D482" s="27"/>
      <c r="E482" s="27"/>
      <c r="F482" s="27"/>
      <c r="G482" s="27"/>
      <c r="H482" s="27"/>
      <c r="I482" s="27"/>
      <c r="J482" s="27"/>
      <c r="K482" s="27"/>
      <c r="L482" s="27"/>
      <c r="M482" s="27"/>
      <c r="N482" s="27"/>
      <c r="O482" s="27"/>
      <c r="P482" s="27"/>
      <c r="Q482" s="27"/>
      <c r="R482" s="27"/>
      <c r="S482" s="27"/>
      <c r="T482" s="27"/>
      <c r="U482" s="27"/>
      <c r="V482" s="27"/>
      <c r="W482" s="27"/>
      <c r="X482" s="27"/>
      <c r="Y482" s="27"/>
      <c r="Z482" s="27"/>
      <c r="AA482" s="27"/>
      <c r="AB482" s="27"/>
      <c r="AC482" s="27"/>
    </row>
    <row r="483" spans="1:29">
      <c r="A483" s="358"/>
      <c r="B483" s="359"/>
      <c r="C483" s="360"/>
      <c r="D483" s="27"/>
      <c r="E483" s="27"/>
      <c r="F483" s="27"/>
      <c r="G483" s="27"/>
      <c r="H483" s="27"/>
      <c r="I483" s="27"/>
      <c r="J483" s="27"/>
      <c r="K483" s="27"/>
      <c r="L483" s="27"/>
      <c r="M483" s="27"/>
      <c r="N483" s="27"/>
      <c r="O483" s="27"/>
      <c r="P483" s="27"/>
      <c r="Q483" s="27"/>
      <c r="R483" s="27"/>
      <c r="S483" s="27"/>
      <c r="T483" s="27"/>
      <c r="U483" s="27"/>
      <c r="V483" s="27"/>
      <c r="W483" s="27"/>
      <c r="X483" s="27"/>
      <c r="Y483" s="27"/>
      <c r="Z483" s="27"/>
      <c r="AA483" s="27"/>
      <c r="AB483" s="27"/>
      <c r="AC483" s="27"/>
    </row>
    <row r="484" spans="1:29">
      <c r="A484" s="358"/>
      <c r="B484" s="359"/>
      <c r="C484" s="360"/>
      <c r="D484" s="27"/>
      <c r="E484" s="27"/>
      <c r="F484" s="27"/>
      <c r="G484" s="27"/>
      <c r="H484" s="27"/>
      <c r="I484" s="27"/>
      <c r="J484" s="27"/>
      <c r="K484" s="27"/>
      <c r="L484" s="27"/>
      <c r="M484" s="27"/>
      <c r="N484" s="27"/>
      <c r="O484" s="27"/>
      <c r="P484" s="27"/>
      <c r="Q484" s="27"/>
      <c r="R484" s="27"/>
      <c r="S484" s="27"/>
      <c r="T484" s="27"/>
      <c r="U484" s="27"/>
      <c r="V484" s="27"/>
      <c r="W484" s="27"/>
      <c r="X484" s="27"/>
      <c r="Y484" s="27"/>
      <c r="Z484" s="27"/>
      <c r="AA484" s="27"/>
      <c r="AB484" s="27"/>
      <c r="AC484" s="27"/>
    </row>
    <row r="485" spans="1:29">
      <c r="A485" s="358"/>
      <c r="B485" s="359"/>
      <c r="C485" s="360"/>
      <c r="D485" s="27"/>
      <c r="E485" s="27"/>
      <c r="F485" s="27"/>
      <c r="G485" s="27"/>
      <c r="H485" s="27"/>
      <c r="I485" s="27"/>
      <c r="J485" s="27"/>
      <c r="K485" s="27"/>
      <c r="L485" s="27"/>
      <c r="M485" s="27"/>
      <c r="N485" s="27"/>
      <c r="O485" s="27"/>
      <c r="P485" s="27"/>
      <c r="Q485" s="27"/>
      <c r="R485" s="27"/>
      <c r="S485" s="27"/>
      <c r="T485" s="27"/>
      <c r="U485" s="27"/>
      <c r="V485" s="27"/>
      <c r="W485" s="27"/>
      <c r="X485" s="27"/>
      <c r="Y485" s="27"/>
      <c r="Z485" s="27"/>
      <c r="AA485" s="27"/>
      <c r="AB485" s="27"/>
      <c r="AC485" s="27"/>
    </row>
    <row r="486" spans="1:29">
      <c r="A486" s="358"/>
      <c r="B486" s="359"/>
      <c r="C486" s="360"/>
      <c r="D486" s="27"/>
      <c r="E486" s="27"/>
      <c r="F486" s="27"/>
      <c r="G486" s="27"/>
      <c r="H486" s="27"/>
      <c r="I486" s="27"/>
      <c r="J486" s="27"/>
      <c r="K486" s="27"/>
      <c r="L486" s="27"/>
      <c r="M486" s="27"/>
      <c r="N486" s="27"/>
      <c r="O486" s="27"/>
      <c r="P486" s="27"/>
      <c r="Q486" s="27"/>
      <c r="R486" s="27"/>
      <c r="S486" s="27"/>
      <c r="T486" s="27"/>
      <c r="U486" s="27"/>
      <c r="V486" s="27"/>
      <c r="W486" s="27"/>
      <c r="X486" s="27"/>
      <c r="Y486" s="27"/>
      <c r="Z486" s="27"/>
      <c r="AA486" s="27"/>
      <c r="AB486" s="27"/>
      <c r="AC486" s="27"/>
    </row>
    <row r="487" spans="1:29">
      <c r="A487" s="358"/>
      <c r="B487" s="359"/>
      <c r="C487" s="360"/>
      <c r="D487" s="27"/>
      <c r="E487" s="27"/>
      <c r="F487" s="27"/>
      <c r="G487" s="27"/>
      <c r="H487" s="27"/>
      <c r="I487" s="27"/>
      <c r="J487" s="27"/>
      <c r="K487" s="27"/>
      <c r="L487" s="27"/>
      <c r="M487" s="27"/>
      <c r="N487" s="27"/>
      <c r="O487" s="27"/>
      <c r="P487" s="27"/>
      <c r="Q487" s="27"/>
      <c r="R487" s="27"/>
      <c r="S487" s="27"/>
      <c r="T487" s="27"/>
      <c r="U487" s="27"/>
      <c r="V487" s="27"/>
      <c r="W487" s="27"/>
      <c r="X487" s="27"/>
      <c r="Y487" s="27"/>
      <c r="Z487" s="27"/>
      <c r="AA487" s="27"/>
      <c r="AB487" s="27"/>
      <c r="AC487" s="27"/>
    </row>
    <row r="488" spans="1:29">
      <c r="A488" s="358"/>
      <c r="B488" s="359"/>
      <c r="C488" s="360"/>
      <c r="D488" s="27"/>
      <c r="E488" s="27"/>
      <c r="F488" s="27"/>
      <c r="G488" s="27"/>
      <c r="H488" s="27"/>
      <c r="I488" s="27"/>
      <c r="J488" s="27"/>
      <c r="K488" s="27"/>
      <c r="L488" s="27"/>
      <c r="M488" s="27"/>
      <c r="N488" s="27"/>
      <c r="O488" s="27"/>
      <c r="P488" s="27"/>
      <c r="Q488" s="27"/>
      <c r="R488" s="27"/>
      <c r="S488" s="27"/>
      <c r="T488" s="27"/>
      <c r="U488" s="27"/>
      <c r="V488" s="27"/>
      <c r="W488" s="27"/>
      <c r="X488" s="27"/>
      <c r="Y488" s="27"/>
      <c r="Z488" s="27"/>
      <c r="AA488" s="27"/>
      <c r="AB488" s="27"/>
      <c r="AC488" s="27"/>
    </row>
    <row r="489" spans="1:29">
      <c r="A489" s="358"/>
      <c r="B489" s="359"/>
      <c r="C489" s="360"/>
      <c r="D489" s="27"/>
      <c r="E489" s="27"/>
      <c r="F489" s="27"/>
      <c r="G489" s="27"/>
      <c r="H489" s="27"/>
      <c r="I489" s="27"/>
      <c r="J489" s="27"/>
      <c r="K489" s="27"/>
      <c r="L489" s="27"/>
      <c r="M489" s="27"/>
      <c r="N489" s="27"/>
      <c r="O489" s="27"/>
      <c r="P489" s="27"/>
      <c r="Q489" s="27"/>
      <c r="R489" s="27"/>
      <c r="S489" s="27"/>
      <c r="T489" s="27"/>
      <c r="U489" s="27"/>
      <c r="V489" s="27"/>
      <c r="W489" s="27"/>
      <c r="X489" s="27"/>
      <c r="Y489" s="27"/>
      <c r="Z489" s="27"/>
      <c r="AA489" s="27"/>
      <c r="AB489" s="27"/>
      <c r="AC489" s="27"/>
    </row>
    <row r="490" spans="1:29">
      <c r="A490" s="358"/>
      <c r="B490" s="359"/>
      <c r="C490" s="360"/>
      <c r="D490" s="27"/>
      <c r="E490" s="27"/>
      <c r="F490" s="27"/>
      <c r="G490" s="27"/>
      <c r="H490" s="27"/>
      <c r="I490" s="27"/>
      <c r="J490" s="27"/>
      <c r="K490" s="27"/>
      <c r="L490" s="27"/>
      <c r="M490" s="27"/>
      <c r="N490" s="27"/>
      <c r="O490" s="27"/>
      <c r="P490" s="27"/>
      <c r="Q490" s="27"/>
      <c r="R490" s="27"/>
      <c r="S490" s="27"/>
      <c r="T490" s="27"/>
      <c r="U490" s="27"/>
      <c r="V490" s="27"/>
      <c r="W490" s="27"/>
      <c r="X490" s="27"/>
      <c r="Y490" s="27"/>
      <c r="Z490" s="27"/>
      <c r="AA490" s="27"/>
      <c r="AB490" s="27"/>
      <c r="AC490" s="27"/>
    </row>
    <row r="491" spans="1:29">
      <c r="A491" s="358"/>
      <c r="B491" s="359"/>
      <c r="C491" s="360"/>
      <c r="D491" s="27"/>
      <c r="E491" s="27"/>
      <c r="F491" s="27"/>
      <c r="G491" s="27"/>
      <c r="H491" s="27"/>
      <c r="I491" s="27"/>
      <c r="J491" s="27"/>
      <c r="K491" s="27"/>
      <c r="L491" s="27"/>
      <c r="M491" s="27"/>
      <c r="N491" s="27"/>
      <c r="O491" s="27"/>
      <c r="P491" s="27"/>
      <c r="Q491" s="27"/>
      <c r="R491" s="27"/>
      <c r="S491" s="27"/>
      <c r="T491" s="27"/>
      <c r="U491" s="27"/>
      <c r="V491" s="27"/>
      <c r="W491" s="27"/>
      <c r="X491" s="27"/>
      <c r="Y491" s="27"/>
      <c r="Z491" s="27"/>
      <c r="AA491" s="27"/>
      <c r="AB491" s="27"/>
      <c r="AC491" s="27"/>
    </row>
    <row r="492" spans="1:29">
      <c r="A492" s="358"/>
      <c r="B492" s="359"/>
      <c r="C492" s="360"/>
      <c r="D492" s="27"/>
      <c r="E492" s="27"/>
      <c r="F492" s="27"/>
      <c r="G492" s="27"/>
      <c r="H492" s="27"/>
      <c r="I492" s="27"/>
      <c r="J492" s="27"/>
      <c r="K492" s="27"/>
      <c r="L492" s="27"/>
      <c r="M492" s="27"/>
      <c r="N492" s="27"/>
      <c r="O492" s="27"/>
      <c r="P492" s="27"/>
      <c r="Q492" s="27"/>
      <c r="R492" s="27"/>
      <c r="S492" s="27"/>
      <c r="T492" s="27"/>
      <c r="U492" s="27"/>
      <c r="V492" s="27"/>
      <c r="W492" s="27"/>
      <c r="X492" s="27"/>
      <c r="Y492" s="27"/>
      <c r="Z492" s="27"/>
      <c r="AA492" s="27"/>
      <c r="AB492" s="27"/>
      <c r="AC492" s="27"/>
    </row>
    <row r="493" spans="1:29">
      <c r="A493" s="358"/>
      <c r="B493" s="359"/>
      <c r="C493" s="360"/>
      <c r="D493" s="27"/>
      <c r="E493" s="27"/>
      <c r="F493" s="27"/>
      <c r="G493" s="27"/>
      <c r="H493" s="27"/>
      <c r="I493" s="27"/>
      <c r="J493" s="27"/>
      <c r="K493" s="27"/>
      <c r="L493" s="27"/>
      <c r="M493" s="27"/>
      <c r="N493" s="27"/>
      <c r="O493" s="27"/>
      <c r="P493" s="27"/>
      <c r="Q493" s="27"/>
      <c r="R493" s="27"/>
      <c r="S493" s="27"/>
      <c r="T493" s="27"/>
      <c r="U493" s="27"/>
      <c r="V493" s="27"/>
      <c r="W493" s="27"/>
      <c r="X493" s="27"/>
      <c r="Y493" s="27"/>
      <c r="Z493" s="27"/>
      <c r="AA493" s="27"/>
      <c r="AB493" s="27"/>
      <c r="AC493" s="27"/>
    </row>
    <row r="494" spans="1:29">
      <c r="A494" s="358"/>
      <c r="B494" s="359"/>
      <c r="C494" s="360"/>
      <c r="D494" s="27"/>
      <c r="E494" s="27"/>
      <c r="F494" s="27"/>
      <c r="G494" s="27"/>
      <c r="H494" s="27"/>
      <c r="I494" s="27"/>
      <c r="J494" s="27"/>
      <c r="K494" s="27"/>
      <c r="L494" s="27"/>
      <c r="M494" s="27"/>
      <c r="N494" s="27"/>
      <c r="O494" s="27"/>
      <c r="P494" s="27"/>
      <c r="Q494" s="27"/>
      <c r="R494" s="27"/>
      <c r="S494" s="27"/>
      <c r="T494" s="27"/>
      <c r="U494" s="27"/>
      <c r="V494" s="27"/>
      <c r="W494" s="27"/>
      <c r="X494" s="27"/>
      <c r="Y494" s="27"/>
      <c r="Z494" s="27"/>
      <c r="AA494" s="27"/>
      <c r="AB494" s="27"/>
      <c r="AC494" s="27"/>
    </row>
    <row r="495" spans="1:29">
      <c r="A495" s="358"/>
      <c r="B495" s="359"/>
      <c r="C495" s="360"/>
      <c r="D495" s="27"/>
      <c r="E495" s="27"/>
      <c r="F495" s="27"/>
      <c r="G495" s="27"/>
      <c r="H495" s="27"/>
      <c r="I495" s="27"/>
      <c r="J495" s="27"/>
      <c r="K495" s="27"/>
      <c r="L495" s="27"/>
      <c r="M495" s="27"/>
      <c r="N495" s="27"/>
      <c r="O495" s="27"/>
      <c r="P495" s="27"/>
      <c r="Q495" s="27"/>
      <c r="R495" s="27"/>
      <c r="S495" s="27"/>
      <c r="T495" s="27"/>
      <c r="U495" s="27"/>
      <c r="V495" s="27"/>
      <c r="W495" s="27"/>
      <c r="X495" s="27"/>
      <c r="Y495" s="27"/>
      <c r="Z495" s="27"/>
      <c r="AA495" s="27"/>
      <c r="AB495" s="27"/>
      <c r="AC495" s="27"/>
    </row>
    <row r="496" spans="1:29">
      <c r="A496" s="358"/>
      <c r="B496" s="359"/>
      <c r="C496" s="360"/>
      <c r="D496" s="27"/>
      <c r="E496" s="27"/>
      <c r="F496" s="27"/>
      <c r="G496" s="27"/>
      <c r="H496" s="27"/>
      <c r="I496" s="27"/>
      <c r="J496" s="27"/>
      <c r="K496" s="27"/>
      <c r="L496" s="27"/>
      <c r="M496" s="27"/>
      <c r="N496" s="27"/>
      <c r="O496" s="27"/>
      <c r="P496" s="27"/>
      <c r="Q496" s="27"/>
      <c r="R496" s="27"/>
      <c r="S496" s="27"/>
      <c r="T496" s="27"/>
      <c r="U496" s="27"/>
      <c r="V496" s="27"/>
      <c r="W496" s="27"/>
      <c r="X496" s="27"/>
      <c r="Y496" s="27"/>
      <c r="Z496" s="27"/>
      <c r="AA496" s="27"/>
      <c r="AB496" s="27"/>
      <c r="AC496" s="27"/>
    </row>
    <row r="497" spans="1:29">
      <c r="A497" s="358"/>
      <c r="B497" s="359"/>
      <c r="C497" s="360"/>
      <c r="D497" s="27"/>
      <c r="E497" s="27"/>
      <c r="F497" s="27"/>
      <c r="G497" s="27"/>
      <c r="H497" s="27"/>
      <c r="I497" s="27"/>
      <c r="J497" s="27"/>
      <c r="K497" s="27"/>
      <c r="L497" s="27"/>
      <c r="M497" s="27"/>
      <c r="N497" s="27"/>
      <c r="O497" s="27"/>
      <c r="P497" s="27"/>
      <c r="Q497" s="27"/>
      <c r="R497" s="27"/>
      <c r="S497" s="27"/>
      <c r="T497" s="27"/>
      <c r="U497" s="27"/>
      <c r="V497" s="27"/>
      <c r="W497" s="27"/>
      <c r="X497" s="27"/>
      <c r="Y497" s="27"/>
      <c r="Z497" s="27"/>
      <c r="AA497" s="27"/>
      <c r="AB497" s="27"/>
      <c r="AC497" s="27"/>
    </row>
    <row r="498" spans="1:29">
      <c r="A498" s="358"/>
      <c r="B498" s="359"/>
      <c r="C498" s="360"/>
      <c r="D498" s="27"/>
      <c r="E498" s="27"/>
      <c r="F498" s="27"/>
      <c r="G498" s="27"/>
      <c r="H498" s="27"/>
      <c r="I498" s="27"/>
      <c r="J498" s="27"/>
      <c r="K498" s="27"/>
      <c r="L498" s="27"/>
      <c r="M498" s="27"/>
      <c r="N498" s="27"/>
      <c r="O498" s="27"/>
      <c r="P498" s="27"/>
      <c r="Q498" s="27"/>
      <c r="R498" s="27"/>
      <c r="S498" s="27"/>
      <c r="T498" s="27"/>
      <c r="U498" s="27"/>
      <c r="V498" s="27"/>
      <c r="W498" s="27"/>
      <c r="X498" s="27"/>
      <c r="Y498" s="27"/>
      <c r="Z498" s="27"/>
      <c r="AA498" s="27"/>
      <c r="AB498" s="27"/>
      <c r="AC498" s="27"/>
    </row>
    <row r="499" spans="1:29">
      <c r="A499" s="358"/>
      <c r="B499" s="359"/>
      <c r="C499" s="360"/>
      <c r="D499" s="27"/>
      <c r="E499" s="27"/>
      <c r="F499" s="27"/>
      <c r="G499" s="27"/>
      <c r="H499" s="27"/>
      <c r="I499" s="27"/>
      <c r="J499" s="27"/>
      <c r="K499" s="27"/>
      <c r="L499" s="27"/>
      <c r="M499" s="27"/>
      <c r="N499" s="27"/>
      <c r="O499" s="27"/>
      <c r="P499" s="27"/>
      <c r="Q499" s="27"/>
      <c r="R499" s="27"/>
      <c r="S499" s="27"/>
      <c r="T499" s="27"/>
      <c r="U499" s="27"/>
      <c r="V499" s="27"/>
      <c r="W499" s="27"/>
      <c r="X499" s="27"/>
      <c r="Y499" s="27"/>
      <c r="Z499" s="27"/>
      <c r="AA499" s="27"/>
      <c r="AB499" s="27"/>
      <c r="AC499" s="27"/>
    </row>
    <row r="500" spans="1:29">
      <c r="A500" s="358"/>
      <c r="B500" s="359"/>
      <c r="C500" s="360"/>
      <c r="D500" s="27"/>
      <c r="E500" s="27"/>
      <c r="F500" s="27"/>
      <c r="G500" s="27"/>
      <c r="H500" s="27"/>
      <c r="I500" s="27"/>
      <c r="J500" s="27"/>
      <c r="K500" s="27"/>
      <c r="L500" s="27"/>
      <c r="M500" s="27"/>
      <c r="N500" s="27"/>
      <c r="O500" s="27"/>
      <c r="P500" s="27"/>
      <c r="Q500" s="27"/>
      <c r="R500" s="27"/>
      <c r="S500" s="27"/>
      <c r="T500" s="27"/>
      <c r="U500" s="27"/>
      <c r="V500" s="27"/>
      <c r="W500" s="27"/>
      <c r="X500" s="27"/>
      <c r="Y500" s="27"/>
      <c r="Z500" s="27"/>
      <c r="AA500" s="27"/>
      <c r="AB500" s="27"/>
      <c r="AC500" s="27"/>
    </row>
    <row r="501" spans="1:29">
      <c r="A501" s="358"/>
      <c r="B501" s="359"/>
      <c r="C501" s="360"/>
      <c r="D501" s="27"/>
      <c r="E501" s="27"/>
      <c r="F501" s="27"/>
      <c r="G501" s="27"/>
      <c r="H501" s="27"/>
      <c r="I501" s="27"/>
      <c r="J501" s="27"/>
      <c r="K501" s="27"/>
      <c r="L501" s="27"/>
      <c r="M501" s="27"/>
      <c r="N501" s="27"/>
      <c r="O501" s="27"/>
      <c r="P501" s="27"/>
      <c r="Q501" s="27"/>
      <c r="R501" s="27"/>
      <c r="S501" s="27"/>
      <c r="T501" s="27"/>
      <c r="U501" s="27"/>
      <c r="V501" s="27"/>
      <c r="W501" s="27"/>
      <c r="X501" s="27"/>
      <c r="Y501" s="27"/>
      <c r="Z501" s="27"/>
      <c r="AA501" s="27"/>
      <c r="AB501" s="27"/>
      <c r="AC501" s="27"/>
    </row>
    <row r="502" spans="1:29">
      <c r="A502" s="358"/>
      <c r="B502" s="359"/>
      <c r="C502" s="360"/>
      <c r="D502" s="27"/>
      <c r="E502" s="27"/>
      <c r="F502" s="27"/>
      <c r="G502" s="27"/>
      <c r="H502" s="27"/>
      <c r="I502" s="27"/>
      <c r="J502" s="27"/>
      <c r="K502" s="27"/>
      <c r="L502" s="27"/>
      <c r="M502" s="27"/>
      <c r="N502" s="27"/>
      <c r="O502" s="27"/>
      <c r="P502" s="27"/>
      <c r="Q502" s="27"/>
      <c r="R502" s="27"/>
      <c r="S502" s="27"/>
      <c r="T502" s="27"/>
      <c r="U502" s="27"/>
      <c r="V502" s="27"/>
      <c r="W502" s="27"/>
      <c r="X502" s="27"/>
      <c r="Y502" s="27"/>
      <c r="Z502" s="27"/>
      <c r="AA502" s="27"/>
      <c r="AB502" s="27"/>
      <c r="AC502" s="27"/>
    </row>
    <row r="503" spans="1:29">
      <c r="A503" s="358"/>
      <c r="B503" s="359"/>
      <c r="C503" s="360"/>
      <c r="D503" s="27"/>
      <c r="E503" s="27"/>
      <c r="F503" s="27"/>
      <c r="G503" s="27"/>
      <c r="H503" s="27"/>
      <c r="I503" s="27"/>
      <c r="J503" s="27"/>
      <c r="K503" s="27"/>
      <c r="L503" s="27"/>
      <c r="M503" s="27"/>
      <c r="N503" s="27"/>
      <c r="O503" s="27"/>
      <c r="P503" s="27"/>
      <c r="Q503" s="27"/>
      <c r="R503" s="27"/>
      <c r="S503" s="27"/>
      <c r="T503" s="27"/>
      <c r="U503" s="27"/>
      <c r="V503" s="27"/>
      <c r="W503" s="27"/>
      <c r="X503" s="27"/>
      <c r="Y503" s="27"/>
      <c r="Z503" s="27"/>
      <c r="AA503" s="27"/>
      <c r="AB503" s="27"/>
      <c r="AC503" s="27"/>
    </row>
    <row r="504" spans="1:29">
      <c r="A504" s="358"/>
      <c r="B504" s="359"/>
      <c r="C504" s="360"/>
      <c r="D504" s="27"/>
      <c r="E504" s="27"/>
      <c r="F504" s="27"/>
      <c r="G504" s="27"/>
      <c r="H504" s="27"/>
      <c r="I504" s="27"/>
      <c r="J504" s="27"/>
      <c r="K504" s="27"/>
      <c r="L504" s="27"/>
      <c r="M504" s="27"/>
      <c r="N504" s="27"/>
      <c r="O504" s="27"/>
      <c r="P504" s="27"/>
      <c r="Q504" s="27"/>
      <c r="R504" s="27"/>
      <c r="S504" s="27"/>
      <c r="T504" s="27"/>
      <c r="U504" s="27"/>
      <c r="V504" s="27"/>
      <c r="W504" s="27"/>
      <c r="X504" s="27"/>
      <c r="Y504" s="27"/>
      <c r="Z504" s="27"/>
      <c r="AA504" s="27"/>
      <c r="AB504" s="27"/>
      <c r="AC504" s="27"/>
    </row>
    <row r="505" spans="1:29">
      <c r="A505" s="358"/>
      <c r="B505" s="359"/>
      <c r="C505" s="360"/>
      <c r="D505" s="27"/>
      <c r="E505" s="27"/>
      <c r="F505" s="27"/>
      <c r="G505" s="27"/>
      <c r="H505" s="27"/>
      <c r="I505" s="27"/>
      <c r="J505" s="27"/>
      <c r="K505" s="27"/>
      <c r="L505" s="27"/>
      <c r="M505" s="27"/>
      <c r="N505" s="27"/>
      <c r="O505" s="27"/>
      <c r="P505" s="27"/>
      <c r="Q505" s="27"/>
      <c r="R505" s="27"/>
      <c r="S505" s="27"/>
      <c r="T505" s="27"/>
      <c r="U505" s="27"/>
      <c r="V505" s="27"/>
      <c r="W505" s="27"/>
      <c r="X505" s="27"/>
      <c r="Y505" s="27"/>
      <c r="Z505" s="27"/>
      <c r="AA505" s="27"/>
      <c r="AB505" s="27"/>
      <c r="AC505" s="27"/>
    </row>
    <row r="506" spans="1:29">
      <c r="A506" s="358"/>
      <c r="B506" s="359"/>
      <c r="C506" s="360"/>
      <c r="D506" s="27"/>
      <c r="E506" s="27"/>
      <c r="F506" s="27"/>
      <c r="G506" s="27"/>
      <c r="H506" s="27"/>
      <c r="I506" s="27"/>
      <c r="J506" s="27"/>
      <c r="K506" s="27"/>
      <c r="L506" s="27"/>
      <c r="M506" s="27"/>
      <c r="N506" s="27"/>
      <c r="O506" s="27"/>
      <c r="P506" s="27"/>
      <c r="Q506" s="27"/>
      <c r="R506" s="27"/>
      <c r="S506" s="27"/>
      <c r="T506" s="27"/>
      <c r="U506" s="27"/>
      <c r="V506" s="27"/>
      <c r="W506" s="27"/>
      <c r="X506" s="27"/>
      <c r="Y506" s="27"/>
      <c r="Z506" s="27"/>
      <c r="AA506" s="27"/>
      <c r="AB506" s="27"/>
      <c r="AC506" s="27"/>
    </row>
    <row r="507" spans="1:29">
      <c r="A507" s="358"/>
      <c r="B507" s="359"/>
      <c r="C507" s="360"/>
      <c r="D507" s="27"/>
      <c r="E507" s="27"/>
      <c r="F507" s="27"/>
      <c r="G507" s="27"/>
      <c r="H507" s="27"/>
      <c r="I507" s="27"/>
      <c r="J507" s="27"/>
      <c r="K507" s="27"/>
      <c r="L507" s="27"/>
      <c r="M507" s="27"/>
      <c r="N507" s="27"/>
      <c r="O507" s="27"/>
      <c r="P507" s="27"/>
      <c r="Q507" s="27"/>
      <c r="R507" s="27"/>
      <c r="S507" s="27"/>
      <c r="T507" s="27"/>
      <c r="U507" s="27"/>
      <c r="V507" s="27"/>
      <c r="W507" s="27"/>
      <c r="X507" s="27"/>
      <c r="Y507" s="27"/>
      <c r="Z507" s="27"/>
      <c r="AA507" s="27"/>
      <c r="AB507" s="27"/>
      <c r="AC507" s="27"/>
    </row>
    <row r="508" spans="1:29">
      <c r="A508" s="358"/>
      <c r="B508" s="359"/>
      <c r="C508" s="360"/>
      <c r="D508" s="27"/>
      <c r="E508" s="27"/>
      <c r="F508" s="27"/>
      <c r="G508" s="27"/>
      <c r="H508" s="27"/>
      <c r="I508" s="27"/>
      <c r="J508" s="27"/>
      <c r="K508" s="27"/>
      <c r="L508" s="27"/>
      <c r="M508" s="27"/>
      <c r="N508" s="27"/>
      <c r="O508" s="27"/>
      <c r="P508" s="27"/>
      <c r="Q508" s="27"/>
      <c r="R508" s="27"/>
      <c r="S508" s="27"/>
      <c r="T508" s="27"/>
      <c r="U508" s="27"/>
      <c r="V508" s="27"/>
      <c r="W508" s="27"/>
      <c r="X508" s="27"/>
      <c r="Y508" s="27"/>
      <c r="Z508" s="27"/>
      <c r="AA508" s="27"/>
      <c r="AB508" s="27"/>
      <c r="AC508" s="27"/>
    </row>
    <row r="509" spans="1:29">
      <c r="A509" s="358"/>
      <c r="B509" s="359"/>
      <c r="C509" s="360"/>
      <c r="D509" s="27"/>
      <c r="E509" s="27"/>
      <c r="F509" s="27"/>
      <c r="G509" s="27"/>
      <c r="H509" s="27"/>
      <c r="I509" s="27"/>
      <c r="J509" s="27"/>
      <c r="K509" s="27"/>
      <c r="L509" s="27"/>
      <c r="M509" s="27"/>
      <c r="N509" s="27"/>
      <c r="O509" s="27"/>
      <c r="P509" s="27"/>
      <c r="Q509" s="27"/>
      <c r="R509" s="27"/>
      <c r="S509" s="27"/>
      <c r="T509" s="27"/>
      <c r="U509" s="27"/>
      <c r="V509" s="27"/>
      <c r="W509" s="27"/>
      <c r="X509" s="27"/>
      <c r="Y509" s="27"/>
      <c r="Z509" s="27"/>
      <c r="AA509" s="27"/>
      <c r="AB509" s="27"/>
      <c r="AC509" s="27"/>
    </row>
    <row r="510" spans="1:29">
      <c r="A510" s="358"/>
      <c r="B510" s="359"/>
      <c r="C510" s="360"/>
      <c r="D510" s="27"/>
      <c r="E510" s="27"/>
      <c r="F510" s="27"/>
      <c r="G510" s="27"/>
      <c r="H510" s="27"/>
      <c r="I510" s="27"/>
      <c r="J510" s="27"/>
      <c r="K510" s="27"/>
      <c r="L510" s="27"/>
      <c r="M510" s="27"/>
      <c r="N510" s="27"/>
      <c r="O510" s="27"/>
      <c r="P510" s="27"/>
      <c r="Q510" s="27"/>
      <c r="R510" s="27"/>
      <c r="S510" s="27"/>
      <c r="T510" s="27"/>
      <c r="U510" s="27"/>
      <c r="V510" s="27"/>
      <c r="W510" s="27"/>
      <c r="X510" s="27"/>
      <c r="Y510" s="27"/>
      <c r="Z510" s="27"/>
      <c r="AA510" s="27"/>
      <c r="AB510" s="27"/>
      <c r="AC510" s="27"/>
    </row>
    <row r="511" spans="1:29">
      <c r="A511" s="358"/>
      <c r="B511" s="359"/>
      <c r="C511" s="360"/>
      <c r="D511" s="27"/>
      <c r="E511" s="27"/>
      <c r="F511" s="27"/>
      <c r="G511" s="27"/>
      <c r="H511" s="27"/>
      <c r="I511" s="27"/>
      <c r="J511" s="27"/>
      <c r="K511" s="27"/>
      <c r="L511" s="27"/>
      <c r="M511" s="27"/>
      <c r="N511" s="27"/>
      <c r="O511" s="27"/>
      <c r="P511" s="27"/>
      <c r="Q511" s="27"/>
      <c r="R511" s="27"/>
      <c r="S511" s="27"/>
      <c r="T511" s="27"/>
      <c r="U511" s="27"/>
      <c r="V511" s="27"/>
      <c r="W511" s="27"/>
      <c r="X511" s="27"/>
      <c r="Y511" s="27"/>
      <c r="Z511" s="27"/>
      <c r="AA511" s="27"/>
      <c r="AB511" s="27"/>
      <c r="AC511" s="27"/>
    </row>
    <row r="512" spans="1:29">
      <c r="A512" s="358"/>
      <c r="B512" s="359"/>
      <c r="C512" s="360"/>
      <c r="D512" s="27"/>
      <c r="E512" s="27"/>
      <c r="F512" s="27"/>
      <c r="G512" s="27"/>
      <c r="H512" s="27"/>
      <c r="I512" s="27"/>
      <c r="J512" s="27"/>
      <c r="K512" s="27"/>
      <c r="L512" s="27"/>
      <c r="M512" s="27"/>
      <c r="N512" s="27"/>
      <c r="O512" s="27"/>
      <c r="P512" s="27"/>
      <c r="Q512" s="27"/>
      <c r="R512" s="27"/>
      <c r="S512" s="27"/>
      <c r="T512" s="27"/>
      <c r="U512" s="27"/>
      <c r="V512" s="27"/>
      <c r="W512" s="27"/>
      <c r="X512" s="27"/>
      <c r="Y512" s="27"/>
      <c r="Z512" s="27"/>
      <c r="AA512" s="27"/>
      <c r="AB512" s="27"/>
      <c r="AC512" s="27"/>
    </row>
    <row r="513" spans="1:29">
      <c r="A513" s="358"/>
      <c r="B513" s="359"/>
      <c r="C513" s="360"/>
      <c r="D513" s="27"/>
      <c r="E513" s="27"/>
      <c r="F513" s="27"/>
      <c r="G513" s="27"/>
      <c r="H513" s="27"/>
      <c r="I513" s="27"/>
      <c r="J513" s="27"/>
      <c r="K513" s="27"/>
      <c r="L513" s="27"/>
      <c r="M513" s="27"/>
      <c r="N513" s="27"/>
      <c r="O513" s="27"/>
      <c r="P513" s="27"/>
      <c r="Q513" s="27"/>
      <c r="R513" s="27"/>
      <c r="S513" s="27"/>
      <c r="T513" s="27"/>
      <c r="U513" s="27"/>
      <c r="V513" s="27"/>
      <c r="W513" s="27"/>
      <c r="X513" s="27"/>
      <c r="Y513" s="27"/>
      <c r="Z513" s="27"/>
      <c r="AA513" s="27"/>
      <c r="AB513" s="27"/>
      <c r="AC513" s="27"/>
    </row>
    <row r="514" spans="1:29">
      <c r="A514" s="358"/>
      <c r="B514" s="359"/>
      <c r="C514" s="360"/>
      <c r="D514" s="27"/>
      <c r="E514" s="27"/>
      <c r="F514" s="27"/>
      <c r="G514" s="27"/>
      <c r="H514" s="27"/>
      <c r="I514" s="27"/>
      <c r="J514" s="27"/>
      <c r="K514" s="27"/>
      <c r="L514" s="27"/>
      <c r="M514" s="27"/>
      <c r="N514" s="27"/>
      <c r="O514" s="27"/>
      <c r="P514" s="27"/>
      <c r="Q514" s="27"/>
      <c r="R514" s="27"/>
      <c r="S514" s="27"/>
      <c r="T514" s="27"/>
      <c r="U514" s="27"/>
      <c r="V514" s="27"/>
      <c r="W514" s="27"/>
      <c r="X514" s="27"/>
      <c r="Y514" s="27"/>
      <c r="Z514" s="27"/>
      <c r="AA514" s="27"/>
      <c r="AB514" s="27"/>
      <c r="AC514" s="27"/>
    </row>
    <row r="515" spans="1:29">
      <c r="A515" s="358"/>
      <c r="B515" s="359"/>
      <c r="C515" s="360"/>
      <c r="D515" s="27"/>
      <c r="E515" s="27"/>
      <c r="F515" s="27"/>
      <c r="G515" s="27"/>
      <c r="H515" s="27"/>
      <c r="I515" s="27"/>
      <c r="J515" s="27"/>
      <c r="K515" s="27"/>
      <c r="L515" s="27"/>
      <c r="M515" s="27"/>
      <c r="N515" s="27"/>
      <c r="O515" s="27"/>
      <c r="P515" s="27"/>
      <c r="Q515" s="27"/>
      <c r="R515" s="27"/>
      <c r="S515" s="27"/>
      <c r="T515" s="27"/>
      <c r="U515" s="27"/>
      <c r="V515" s="27"/>
      <c r="W515" s="27"/>
      <c r="X515" s="27"/>
      <c r="Y515" s="27"/>
      <c r="Z515" s="27"/>
      <c r="AA515" s="27"/>
      <c r="AB515" s="27"/>
      <c r="AC515" s="27"/>
    </row>
    <row r="516" spans="1:29">
      <c r="A516" s="358"/>
      <c r="B516" s="359"/>
      <c r="C516" s="360"/>
      <c r="D516" s="27"/>
      <c r="E516" s="27"/>
      <c r="F516" s="27"/>
      <c r="G516" s="27"/>
      <c r="H516" s="27"/>
      <c r="I516" s="27"/>
      <c r="J516" s="27"/>
      <c r="K516" s="27"/>
      <c r="L516" s="27"/>
      <c r="M516" s="27"/>
      <c r="N516" s="27"/>
      <c r="O516" s="27"/>
      <c r="P516" s="27"/>
      <c r="Q516" s="27"/>
      <c r="R516" s="27"/>
      <c r="S516" s="27"/>
      <c r="T516" s="27"/>
      <c r="U516" s="27"/>
      <c r="V516" s="27"/>
      <c r="W516" s="27"/>
      <c r="X516" s="27"/>
      <c r="Y516" s="27"/>
      <c r="Z516" s="27"/>
      <c r="AA516" s="27"/>
      <c r="AB516" s="27"/>
      <c r="AC516" s="27"/>
    </row>
    <row r="517" spans="1:29">
      <c r="A517" s="358"/>
      <c r="B517" s="359"/>
      <c r="C517" s="360"/>
      <c r="D517" s="27"/>
      <c r="E517" s="27"/>
      <c r="F517" s="27"/>
      <c r="G517" s="27"/>
      <c r="H517" s="27"/>
      <c r="I517" s="27"/>
      <c r="J517" s="27"/>
      <c r="K517" s="27"/>
      <c r="L517" s="27"/>
      <c r="M517" s="27"/>
      <c r="N517" s="27"/>
      <c r="O517" s="27"/>
      <c r="P517" s="27"/>
      <c r="Q517" s="27"/>
      <c r="R517" s="27"/>
      <c r="S517" s="27"/>
      <c r="T517" s="27"/>
      <c r="U517" s="27"/>
      <c r="V517" s="27"/>
      <c r="W517" s="27"/>
      <c r="X517" s="27"/>
      <c r="Y517" s="27"/>
      <c r="Z517" s="27"/>
      <c r="AA517" s="27"/>
      <c r="AB517" s="27"/>
      <c r="AC517" s="27"/>
    </row>
    <row r="518" spans="1:29">
      <c r="A518" s="358"/>
      <c r="B518" s="359"/>
      <c r="C518" s="360"/>
      <c r="D518" s="27"/>
      <c r="E518" s="27"/>
      <c r="F518" s="27"/>
      <c r="G518" s="27"/>
      <c r="H518" s="27"/>
      <c r="I518" s="27"/>
      <c r="J518" s="27"/>
      <c r="K518" s="27"/>
      <c r="L518" s="27"/>
      <c r="M518" s="27"/>
      <c r="N518" s="27"/>
      <c r="O518" s="27"/>
      <c r="P518" s="27"/>
      <c r="Q518" s="27"/>
      <c r="R518" s="27"/>
      <c r="S518" s="27"/>
      <c r="T518" s="27"/>
      <c r="U518" s="27"/>
      <c r="V518" s="27"/>
      <c r="W518" s="27"/>
      <c r="X518" s="27"/>
      <c r="Y518" s="27"/>
      <c r="Z518" s="27"/>
      <c r="AA518" s="27"/>
      <c r="AB518" s="27"/>
      <c r="AC518" s="27"/>
    </row>
    <row r="519" spans="1:29">
      <c r="A519" s="358"/>
      <c r="B519" s="359"/>
      <c r="C519" s="360"/>
      <c r="D519" s="27"/>
      <c r="E519" s="27"/>
      <c r="F519" s="27"/>
      <c r="G519" s="27"/>
      <c r="H519" s="27"/>
      <c r="I519" s="27"/>
      <c r="J519" s="27"/>
      <c r="K519" s="27"/>
      <c r="L519" s="27"/>
      <c r="M519" s="27"/>
      <c r="N519" s="27"/>
      <c r="O519" s="27"/>
      <c r="P519" s="27"/>
      <c r="Q519" s="27"/>
      <c r="R519" s="27"/>
      <c r="S519" s="27"/>
      <c r="T519" s="27"/>
      <c r="U519" s="27"/>
      <c r="V519" s="27"/>
      <c r="W519" s="27"/>
      <c r="X519" s="27"/>
      <c r="Y519" s="27"/>
      <c r="Z519" s="27"/>
      <c r="AA519" s="27"/>
      <c r="AB519" s="27"/>
      <c r="AC519" s="27"/>
    </row>
    <row r="520" spans="1:29">
      <c r="A520" s="358"/>
      <c r="B520" s="359"/>
      <c r="C520" s="360"/>
      <c r="D520" s="27"/>
      <c r="E520" s="27"/>
      <c r="F520" s="27"/>
      <c r="G520" s="27"/>
      <c r="H520" s="27"/>
      <c r="I520" s="27"/>
      <c r="J520" s="27"/>
      <c r="K520" s="27"/>
      <c r="L520" s="27"/>
      <c r="M520" s="27"/>
      <c r="N520" s="27"/>
      <c r="O520" s="27"/>
      <c r="P520" s="27"/>
      <c r="Q520" s="27"/>
      <c r="R520" s="27"/>
      <c r="S520" s="27"/>
      <c r="T520" s="27"/>
      <c r="U520" s="27"/>
      <c r="V520" s="27"/>
      <c r="W520" s="27"/>
      <c r="X520" s="27"/>
      <c r="Y520" s="27"/>
      <c r="Z520" s="27"/>
      <c r="AA520" s="27"/>
      <c r="AB520" s="27"/>
      <c r="AC520" s="27"/>
    </row>
    <row r="521" spans="1:29">
      <c r="A521" s="358"/>
      <c r="B521" s="359"/>
      <c r="C521" s="360"/>
      <c r="D521" s="27"/>
      <c r="E521" s="27"/>
      <c r="F521" s="27"/>
      <c r="G521" s="27"/>
      <c r="H521" s="27"/>
      <c r="I521" s="27"/>
      <c r="J521" s="27"/>
      <c r="K521" s="27"/>
      <c r="L521" s="27"/>
      <c r="M521" s="27"/>
      <c r="N521" s="27"/>
      <c r="O521" s="27"/>
      <c r="P521" s="27"/>
      <c r="Q521" s="27"/>
      <c r="R521" s="27"/>
      <c r="S521" s="27"/>
      <c r="T521" s="27"/>
      <c r="U521" s="27"/>
      <c r="V521" s="27"/>
      <c r="W521" s="27"/>
      <c r="X521" s="27"/>
      <c r="Y521" s="27"/>
      <c r="Z521" s="27"/>
      <c r="AA521" s="27"/>
      <c r="AB521" s="27"/>
      <c r="AC521" s="27"/>
    </row>
    <row r="522" spans="1:29">
      <c r="A522" s="358"/>
      <c r="B522" s="359"/>
      <c r="C522" s="360"/>
      <c r="D522" s="27"/>
      <c r="E522" s="27"/>
      <c r="F522" s="27"/>
      <c r="G522" s="27"/>
      <c r="H522" s="27"/>
      <c r="I522" s="27"/>
      <c r="J522" s="27"/>
      <c r="K522" s="27"/>
      <c r="L522" s="27"/>
      <c r="M522" s="27"/>
      <c r="N522" s="27"/>
      <c r="O522" s="27"/>
      <c r="P522" s="27"/>
      <c r="Q522" s="27"/>
      <c r="R522" s="27"/>
      <c r="S522" s="27"/>
      <c r="T522" s="27"/>
      <c r="U522" s="27"/>
      <c r="V522" s="27"/>
      <c r="W522" s="27"/>
      <c r="X522" s="27"/>
      <c r="Y522" s="27"/>
      <c r="Z522" s="27"/>
      <c r="AA522" s="27"/>
      <c r="AB522" s="27"/>
      <c r="AC522" s="27"/>
    </row>
    <row r="523" spans="1:29">
      <c r="A523" s="358"/>
      <c r="B523" s="359"/>
      <c r="C523" s="360"/>
      <c r="D523" s="27"/>
      <c r="E523" s="27"/>
      <c r="F523" s="27"/>
      <c r="G523" s="27"/>
      <c r="H523" s="27"/>
      <c r="I523" s="27"/>
      <c r="J523" s="27"/>
      <c r="K523" s="27"/>
      <c r="L523" s="27"/>
      <c r="M523" s="27"/>
      <c r="N523" s="27"/>
      <c r="O523" s="27"/>
      <c r="P523" s="27"/>
      <c r="Q523" s="27"/>
      <c r="R523" s="27"/>
      <c r="S523" s="27"/>
      <c r="T523" s="27"/>
      <c r="U523" s="27"/>
      <c r="V523" s="27"/>
      <c r="W523" s="27"/>
      <c r="X523" s="27"/>
      <c r="Y523" s="27"/>
      <c r="Z523" s="27"/>
      <c r="AA523" s="27"/>
      <c r="AB523" s="27"/>
      <c r="AC523" s="27"/>
    </row>
    <row r="524" spans="1:29">
      <c r="A524" s="358"/>
      <c r="B524" s="359"/>
      <c r="C524" s="360"/>
      <c r="D524" s="27"/>
      <c r="E524" s="27"/>
      <c r="F524" s="27"/>
      <c r="G524" s="27"/>
      <c r="H524" s="27"/>
      <c r="I524" s="27"/>
      <c r="J524" s="27"/>
      <c r="K524" s="27"/>
      <c r="L524" s="27"/>
      <c r="M524" s="27"/>
      <c r="N524" s="27"/>
      <c r="O524" s="27"/>
      <c r="P524" s="27"/>
      <c r="Q524" s="27"/>
      <c r="R524" s="27"/>
      <c r="S524" s="27"/>
      <c r="T524" s="27"/>
      <c r="U524" s="27"/>
      <c r="V524" s="27"/>
      <c r="W524" s="27"/>
      <c r="X524" s="27"/>
      <c r="Y524" s="27"/>
      <c r="Z524" s="27"/>
      <c r="AA524" s="27"/>
      <c r="AB524" s="27"/>
      <c r="AC524" s="27"/>
    </row>
    <row r="525" spans="1:29">
      <c r="A525" s="358"/>
      <c r="B525" s="359"/>
      <c r="C525" s="360"/>
      <c r="D525" s="27"/>
      <c r="E525" s="27"/>
      <c r="F525" s="27"/>
      <c r="G525" s="27"/>
      <c r="H525" s="27"/>
      <c r="I525" s="27"/>
      <c r="J525" s="27"/>
      <c r="K525" s="27"/>
      <c r="L525" s="27"/>
      <c r="M525" s="27"/>
      <c r="N525" s="27"/>
      <c r="O525" s="27"/>
      <c r="P525" s="27"/>
      <c r="Q525" s="27"/>
      <c r="R525" s="27"/>
      <c r="S525" s="27"/>
      <c r="T525" s="27"/>
      <c r="U525" s="27"/>
      <c r="V525" s="27"/>
      <c r="W525" s="27"/>
      <c r="X525" s="27"/>
      <c r="Y525" s="27"/>
      <c r="Z525" s="27"/>
      <c r="AA525" s="27"/>
      <c r="AB525" s="27"/>
      <c r="AC525" s="27"/>
    </row>
    <row r="526" spans="1:29">
      <c r="A526" s="358"/>
      <c r="B526" s="359"/>
      <c r="C526" s="360"/>
      <c r="D526" s="27"/>
      <c r="E526" s="27"/>
      <c r="F526" s="27"/>
      <c r="G526" s="27"/>
      <c r="H526" s="27"/>
      <c r="I526" s="27"/>
      <c r="J526" s="27"/>
      <c r="K526" s="27"/>
      <c r="L526" s="27"/>
      <c r="M526" s="27"/>
      <c r="N526" s="27"/>
      <c r="O526" s="27"/>
      <c r="P526" s="27"/>
      <c r="Q526" s="27"/>
      <c r="R526" s="27"/>
      <c r="S526" s="27"/>
      <c r="T526" s="27"/>
      <c r="U526" s="27"/>
      <c r="V526" s="27"/>
      <c r="W526" s="27"/>
      <c r="X526" s="27"/>
      <c r="Y526" s="27"/>
      <c r="Z526" s="27"/>
      <c r="AA526" s="27"/>
      <c r="AB526" s="27"/>
      <c r="AC526" s="27"/>
    </row>
    <row r="527" spans="1:29">
      <c r="A527" s="358"/>
      <c r="B527" s="359"/>
      <c r="C527" s="360"/>
      <c r="D527" s="27"/>
      <c r="E527" s="27"/>
      <c r="F527" s="27"/>
      <c r="G527" s="27"/>
      <c r="H527" s="27"/>
      <c r="I527" s="27"/>
      <c r="J527" s="27"/>
      <c r="K527" s="27"/>
      <c r="L527" s="27"/>
      <c r="M527" s="27"/>
      <c r="N527" s="27"/>
      <c r="O527" s="27"/>
      <c r="P527" s="27"/>
      <c r="Q527" s="27"/>
      <c r="R527" s="27"/>
      <c r="S527" s="27"/>
      <c r="T527" s="27"/>
      <c r="U527" s="27"/>
      <c r="V527" s="27"/>
      <c r="W527" s="27"/>
      <c r="X527" s="27"/>
      <c r="Y527" s="27"/>
      <c r="Z527" s="27"/>
      <c r="AA527" s="27"/>
      <c r="AB527" s="27"/>
      <c r="AC527" s="27"/>
    </row>
    <row r="528" spans="1:29">
      <c r="A528" s="358"/>
      <c r="B528" s="359"/>
      <c r="C528" s="360"/>
      <c r="D528" s="27"/>
      <c r="E528" s="27"/>
      <c r="F528" s="27"/>
      <c r="G528" s="27"/>
      <c r="H528" s="27"/>
      <c r="I528" s="27"/>
      <c r="J528" s="27"/>
      <c r="K528" s="27"/>
      <c r="L528" s="27"/>
      <c r="M528" s="27"/>
      <c r="N528" s="27"/>
      <c r="O528" s="27"/>
      <c r="P528" s="27"/>
      <c r="Q528" s="27"/>
      <c r="R528" s="27"/>
      <c r="S528" s="27"/>
      <c r="T528" s="27"/>
      <c r="U528" s="27"/>
      <c r="V528" s="27"/>
      <c r="W528" s="27"/>
      <c r="X528" s="27"/>
      <c r="Y528" s="27"/>
      <c r="Z528" s="27"/>
      <c r="AA528" s="27"/>
      <c r="AB528" s="27"/>
      <c r="AC528" s="27"/>
    </row>
    <row r="529" spans="1:29">
      <c r="A529" s="358"/>
      <c r="B529" s="359"/>
      <c r="C529" s="360"/>
      <c r="D529" s="27"/>
      <c r="E529" s="27"/>
      <c r="F529" s="27"/>
      <c r="G529" s="27"/>
      <c r="H529" s="27"/>
      <c r="I529" s="27"/>
      <c r="J529" s="27"/>
      <c r="K529" s="27"/>
      <c r="L529" s="27"/>
      <c r="M529" s="27"/>
      <c r="N529" s="27"/>
      <c r="O529" s="27"/>
      <c r="P529" s="27"/>
      <c r="Q529" s="27"/>
      <c r="R529" s="27"/>
      <c r="S529" s="27"/>
      <c r="T529" s="27"/>
      <c r="U529" s="27"/>
      <c r="V529" s="27"/>
      <c r="W529" s="27"/>
      <c r="X529" s="27"/>
      <c r="Y529" s="27"/>
      <c r="Z529" s="27"/>
      <c r="AA529" s="27"/>
      <c r="AB529" s="27"/>
      <c r="AC529" s="27"/>
    </row>
    <row r="530" spans="1:29">
      <c r="A530" s="358"/>
      <c r="B530" s="359"/>
      <c r="C530" s="360"/>
      <c r="D530" s="27"/>
      <c r="E530" s="27"/>
      <c r="F530" s="27"/>
      <c r="G530" s="27"/>
      <c r="H530" s="27"/>
      <c r="I530" s="27"/>
      <c r="J530" s="27"/>
      <c r="K530" s="27"/>
      <c r="L530" s="27"/>
      <c r="M530" s="27"/>
      <c r="N530" s="27"/>
      <c r="O530" s="27"/>
      <c r="P530" s="27"/>
      <c r="Q530" s="27"/>
      <c r="R530" s="27"/>
      <c r="S530" s="27"/>
      <c r="T530" s="27"/>
      <c r="U530" s="27"/>
      <c r="V530" s="27"/>
      <c r="W530" s="27"/>
      <c r="X530" s="27"/>
      <c r="Y530" s="27"/>
      <c r="Z530" s="27"/>
      <c r="AA530" s="27"/>
      <c r="AB530" s="27"/>
      <c r="AC530" s="27"/>
    </row>
    <row r="531" spans="1:29">
      <c r="A531" s="358"/>
      <c r="B531" s="359"/>
      <c r="C531" s="360"/>
      <c r="D531" s="27"/>
      <c r="E531" s="27"/>
      <c r="F531" s="27"/>
      <c r="G531" s="27"/>
      <c r="H531" s="27"/>
      <c r="I531" s="27"/>
      <c r="J531" s="27"/>
      <c r="K531" s="27"/>
      <c r="L531" s="27"/>
      <c r="M531" s="27"/>
      <c r="N531" s="27"/>
      <c r="O531" s="27"/>
      <c r="P531" s="27"/>
      <c r="Q531" s="27"/>
      <c r="R531" s="27"/>
      <c r="S531" s="27"/>
      <c r="T531" s="27"/>
      <c r="U531" s="27"/>
      <c r="V531" s="27"/>
      <c r="W531" s="27"/>
      <c r="X531" s="27"/>
      <c r="Y531" s="27"/>
      <c r="Z531" s="27"/>
      <c r="AA531" s="27"/>
      <c r="AB531" s="27"/>
      <c r="AC531" s="27"/>
    </row>
    <row r="532" spans="1:29">
      <c r="A532" s="358"/>
      <c r="B532" s="359"/>
      <c r="C532" s="360"/>
      <c r="D532" s="27"/>
      <c r="E532" s="27"/>
      <c r="F532" s="27"/>
      <c r="G532" s="27"/>
      <c r="H532" s="27"/>
      <c r="I532" s="27"/>
      <c r="J532" s="27"/>
      <c r="K532" s="27"/>
      <c r="L532" s="27"/>
      <c r="M532" s="27"/>
      <c r="N532" s="27"/>
      <c r="O532" s="27"/>
      <c r="P532" s="27"/>
      <c r="Q532" s="27"/>
      <c r="R532" s="27"/>
      <c r="S532" s="27"/>
      <c r="T532" s="27"/>
      <c r="U532" s="27"/>
      <c r="V532" s="27"/>
      <c r="W532" s="27"/>
      <c r="X532" s="27"/>
      <c r="Y532" s="27"/>
      <c r="Z532" s="27"/>
      <c r="AA532" s="27"/>
      <c r="AB532" s="27"/>
      <c r="AC532" s="27"/>
    </row>
    <row r="533" spans="1:29">
      <c r="A533" s="358"/>
      <c r="B533" s="359"/>
      <c r="C533" s="360"/>
      <c r="D533" s="27"/>
      <c r="E533" s="27"/>
      <c r="F533" s="27"/>
      <c r="G533" s="27"/>
      <c r="H533" s="27"/>
      <c r="I533" s="27"/>
      <c r="J533" s="27"/>
      <c r="K533" s="27"/>
      <c r="L533" s="27"/>
      <c r="M533" s="27"/>
      <c r="N533" s="27"/>
      <c r="O533" s="27"/>
      <c r="P533" s="27"/>
      <c r="Q533" s="27"/>
      <c r="R533" s="27"/>
      <c r="S533" s="27"/>
      <c r="T533" s="27"/>
      <c r="U533" s="27"/>
      <c r="V533" s="27"/>
      <c r="W533" s="27"/>
      <c r="X533" s="27"/>
      <c r="Y533" s="27"/>
      <c r="Z533" s="27"/>
      <c r="AA533" s="27"/>
      <c r="AB533" s="27"/>
      <c r="AC533" s="27"/>
    </row>
    <row r="534" spans="1:29">
      <c r="A534" s="358"/>
      <c r="B534" s="359"/>
      <c r="C534" s="360"/>
      <c r="D534" s="27"/>
      <c r="E534" s="27"/>
      <c r="F534" s="27"/>
      <c r="G534" s="27"/>
      <c r="H534" s="27"/>
      <c r="I534" s="27"/>
      <c r="J534" s="27"/>
      <c r="K534" s="27"/>
      <c r="L534" s="27"/>
      <c r="M534" s="27"/>
      <c r="N534" s="27"/>
      <c r="O534" s="27"/>
      <c r="P534" s="27"/>
      <c r="Q534" s="27"/>
      <c r="R534" s="27"/>
      <c r="S534" s="27"/>
      <c r="T534" s="27"/>
      <c r="U534" s="27"/>
      <c r="V534" s="27"/>
      <c r="W534" s="27"/>
      <c r="X534" s="27"/>
      <c r="Y534" s="27"/>
      <c r="Z534" s="27"/>
      <c r="AA534" s="27"/>
      <c r="AB534" s="27"/>
      <c r="AC534" s="27"/>
    </row>
    <row r="535" spans="1:29">
      <c r="A535" s="358"/>
      <c r="B535" s="359"/>
      <c r="C535" s="360"/>
      <c r="D535" s="27"/>
      <c r="E535" s="27"/>
      <c r="F535" s="27"/>
      <c r="G535" s="27"/>
      <c r="H535" s="27"/>
      <c r="I535" s="27"/>
      <c r="J535" s="27"/>
      <c r="K535" s="27"/>
      <c r="L535" s="27"/>
      <c r="M535" s="27"/>
      <c r="N535" s="27"/>
      <c r="O535" s="27"/>
      <c r="P535" s="27"/>
      <c r="Q535" s="27"/>
      <c r="R535" s="27"/>
      <c r="S535" s="27"/>
      <c r="T535" s="27"/>
      <c r="U535" s="27"/>
      <c r="V535" s="27"/>
      <c r="W535" s="27"/>
      <c r="X535" s="27"/>
      <c r="Y535" s="27"/>
      <c r="Z535" s="27"/>
      <c r="AA535" s="27"/>
      <c r="AB535" s="27"/>
      <c r="AC535" s="27"/>
    </row>
    <row r="536" spans="1:29">
      <c r="A536" s="358"/>
      <c r="B536" s="359"/>
      <c r="C536" s="360"/>
      <c r="D536" s="27"/>
      <c r="E536" s="27"/>
      <c r="F536" s="27"/>
      <c r="G536" s="27"/>
      <c r="H536" s="27"/>
      <c r="I536" s="27"/>
      <c r="J536" s="27"/>
      <c r="K536" s="27"/>
      <c r="L536" s="27"/>
      <c r="M536" s="27"/>
      <c r="N536" s="27"/>
      <c r="O536" s="27"/>
      <c r="P536" s="27"/>
      <c r="Q536" s="27"/>
      <c r="R536" s="27"/>
      <c r="S536" s="27"/>
      <c r="T536" s="27"/>
      <c r="U536" s="27"/>
      <c r="V536" s="27"/>
      <c r="W536" s="27"/>
      <c r="X536" s="27"/>
      <c r="Y536" s="27"/>
      <c r="Z536" s="27"/>
      <c r="AA536" s="27"/>
      <c r="AB536" s="27"/>
      <c r="AC536" s="27"/>
    </row>
    <row r="537" spans="1:29">
      <c r="A537" s="358"/>
      <c r="B537" s="359"/>
      <c r="C537" s="360"/>
      <c r="D537" s="27"/>
      <c r="E537" s="27"/>
      <c r="F537" s="27"/>
      <c r="G537" s="27"/>
      <c r="H537" s="27"/>
      <c r="I537" s="27"/>
      <c r="J537" s="27"/>
      <c r="K537" s="27"/>
      <c r="L537" s="27"/>
      <c r="M537" s="27"/>
      <c r="N537" s="27"/>
      <c r="O537" s="27"/>
      <c r="P537" s="27"/>
      <c r="Q537" s="27"/>
      <c r="R537" s="27"/>
      <c r="S537" s="27"/>
      <c r="T537" s="27"/>
      <c r="U537" s="27"/>
      <c r="V537" s="27"/>
      <c r="W537" s="27"/>
      <c r="X537" s="27"/>
      <c r="Y537" s="27"/>
      <c r="Z537" s="27"/>
      <c r="AA537" s="27"/>
      <c r="AB537" s="27"/>
      <c r="AC537" s="27"/>
    </row>
    <row r="538" spans="1:29">
      <c r="A538" s="358"/>
      <c r="B538" s="359"/>
      <c r="C538" s="360"/>
      <c r="D538" s="27"/>
      <c r="E538" s="27"/>
      <c r="F538" s="27"/>
      <c r="G538" s="27"/>
      <c r="H538" s="27"/>
      <c r="I538" s="27"/>
      <c r="J538" s="27"/>
      <c r="K538" s="27"/>
      <c r="L538" s="27"/>
      <c r="M538" s="27"/>
      <c r="N538" s="27"/>
      <c r="O538" s="27"/>
      <c r="P538" s="27"/>
      <c r="Q538" s="27"/>
      <c r="R538" s="27"/>
      <c r="S538" s="27"/>
      <c r="T538" s="27"/>
      <c r="U538" s="27"/>
      <c r="V538" s="27"/>
      <c r="W538" s="27"/>
      <c r="X538" s="27"/>
      <c r="Y538" s="27"/>
      <c r="Z538" s="27"/>
      <c r="AA538" s="27"/>
      <c r="AB538" s="27"/>
      <c r="AC538" s="27"/>
    </row>
    <row r="539" spans="1:29">
      <c r="A539" s="358"/>
      <c r="B539" s="359"/>
      <c r="C539" s="360"/>
      <c r="D539" s="27"/>
      <c r="E539" s="27"/>
      <c r="F539" s="27"/>
      <c r="G539" s="27"/>
      <c r="H539" s="27"/>
      <c r="I539" s="27"/>
      <c r="J539" s="27"/>
      <c r="K539" s="27"/>
      <c r="L539" s="27"/>
      <c r="M539" s="27"/>
      <c r="N539" s="27"/>
      <c r="O539" s="27"/>
      <c r="P539" s="27"/>
      <c r="Q539" s="27"/>
      <c r="R539" s="27"/>
      <c r="S539" s="27"/>
      <c r="T539" s="27"/>
      <c r="U539" s="27"/>
      <c r="V539" s="27"/>
      <c r="W539" s="27"/>
      <c r="X539" s="27"/>
      <c r="Y539" s="27"/>
      <c r="Z539" s="27"/>
      <c r="AA539" s="27"/>
      <c r="AB539" s="27"/>
      <c r="AC539" s="27"/>
    </row>
    <row r="540" spans="1:29">
      <c r="A540" s="358"/>
      <c r="B540" s="359"/>
      <c r="C540" s="360"/>
      <c r="D540" s="27"/>
      <c r="E540" s="27"/>
      <c r="F540" s="27"/>
      <c r="G540" s="27"/>
      <c r="H540" s="27"/>
      <c r="I540" s="27"/>
      <c r="J540" s="27"/>
      <c r="K540" s="27"/>
      <c r="L540" s="27"/>
      <c r="M540" s="27"/>
      <c r="N540" s="27"/>
      <c r="O540" s="27"/>
      <c r="P540" s="27"/>
      <c r="Q540" s="27"/>
      <c r="R540" s="27"/>
      <c r="S540" s="27"/>
      <c r="T540" s="27"/>
      <c r="U540" s="27"/>
      <c r="V540" s="27"/>
      <c r="W540" s="27"/>
      <c r="X540" s="27"/>
      <c r="Y540" s="27"/>
      <c r="Z540" s="27"/>
      <c r="AA540" s="27"/>
      <c r="AB540" s="27"/>
      <c r="AC540" s="27"/>
    </row>
    <row r="541" spans="1:29">
      <c r="A541" s="358"/>
      <c r="B541" s="359"/>
      <c r="C541" s="360"/>
      <c r="D541" s="27"/>
      <c r="E541" s="27"/>
      <c r="F541" s="27"/>
      <c r="G541" s="27"/>
      <c r="H541" s="27"/>
      <c r="I541" s="27"/>
      <c r="J541" s="27"/>
      <c r="K541" s="27"/>
      <c r="L541" s="27"/>
      <c r="M541" s="27"/>
      <c r="N541" s="27"/>
      <c r="O541" s="27"/>
      <c r="P541" s="27"/>
      <c r="Q541" s="27"/>
      <c r="R541" s="27"/>
      <c r="S541" s="27"/>
      <c r="T541" s="27"/>
      <c r="U541" s="27"/>
      <c r="V541" s="27"/>
      <c r="W541" s="27"/>
      <c r="X541" s="27"/>
      <c r="Y541" s="27"/>
      <c r="Z541" s="27"/>
      <c r="AA541" s="27"/>
      <c r="AB541" s="27"/>
      <c r="AC541" s="27"/>
    </row>
    <row r="542" spans="1:29">
      <c r="A542" s="358"/>
      <c r="B542" s="359"/>
      <c r="C542" s="360"/>
      <c r="D542" s="27"/>
      <c r="E542" s="27"/>
      <c r="F542" s="27"/>
      <c r="G542" s="27"/>
      <c r="H542" s="27"/>
      <c r="I542" s="27"/>
      <c r="J542" s="27"/>
      <c r="K542" s="27"/>
      <c r="L542" s="27"/>
      <c r="M542" s="27"/>
      <c r="N542" s="27"/>
      <c r="O542" s="27"/>
      <c r="P542" s="27"/>
      <c r="Q542" s="27"/>
      <c r="R542" s="27"/>
      <c r="S542" s="27"/>
      <c r="T542" s="27"/>
      <c r="U542" s="27"/>
      <c r="V542" s="27"/>
      <c r="W542" s="27"/>
      <c r="X542" s="27"/>
      <c r="Y542" s="27"/>
      <c r="Z542" s="27"/>
      <c r="AA542" s="27"/>
      <c r="AB542" s="27"/>
      <c r="AC542" s="27"/>
    </row>
    <row r="543" spans="1:29">
      <c r="A543" s="358"/>
      <c r="B543" s="359"/>
      <c r="C543" s="360"/>
      <c r="D543" s="27"/>
      <c r="E543" s="27"/>
      <c r="F543" s="27"/>
      <c r="G543" s="27"/>
      <c r="H543" s="27"/>
      <c r="I543" s="27"/>
      <c r="J543" s="27"/>
      <c r="K543" s="27"/>
      <c r="L543" s="27"/>
      <c r="M543" s="27"/>
      <c r="N543" s="27"/>
      <c r="O543" s="27"/>
      <c r="P543" s="27"/>
      <c r="Q543" s="27"/>
      <c r="R543" s="27"/>
      <c r="S543" s="27"/>
      <c r="T543" s="27"/>
      <c r="U543" s="27"/>
      <c r="V543" s="27"/>
      <c r="W543" s="27"/>
      <c r="X543" s="27"/>
      <c r="Y543" s="27"/>
      <c r="Z543" s="27"/>
      <c r="AA543" s="27"/>
      <c r="AB543" s="27"/>
      <c r="AC543" s="27"/>
    </row>
    <row r="544" spans="1:29">
      <c r="A544" s="358"/>
      <c r="B544" s="359"/>
      <c r="C544" s="360"/>
      <c r="D544" s="27"/>
      <c r="E544" s="27"/>
      <c r="F544" s="27"/>
      <c r="G544" s="27"/>
      <c r="H544" s="27"/>
      <c r="I544" s="27"/>
      <c r="J544" s="27"/>
      <c r="K544" s="27"/>
      <c r="L544" s="27"/>
      <c r="M544" s="27"/>
      <c r="N544" s="27"/>
      <c r="O544" s="27"/>
      <c r="P544" s="27"/>
      <c r="Q544" s="27"/>
      <c r="R544" s="27"/>
      <c r="S544" s="27"/>
      <c r="T544" s="27"/>
      <c r="U544" s="27"/>
      <c r="V544" s="27"/>
      <c r="W544" s="27"/>
      <c r="X544" s="27"/>
      <c r="Y544" s="27"/>
      <c r="Z544" s="27"/>
      <c r="AA544" s="27"/>
      <c r="AB544" s="27"/>
      <c r="AC544" s="27"/>
    </row>
    <row r="545" spans="1:29">
      <c r="A545" s="358"/>
      <c r="B545" s="359"/>
      <c r="C545" s="360"/>
      <c r="D545" s="27"/>
      <c r="E545" s="27"/>
      <c r="F545" s="27"/>
      <c r="G545" s="27"/>
      <c r="H545" s="27"/>
      <c r="I545" s="27"/>
      <c r="J545" s="27"/>
      <c r="K545" s="27"/>
      <c r="L545" s="27"/>
      <c r="M545" s="27"/>
      <c r="N545" s="27"/>
      <c r="O545" s="27"/>
      <c r="P545" s="27"/>
      <c r="Q545" s="27"/>
      <c r="R545" s="27"/>
      <c r="S545" s="27"/>
      <c r="T545" s="27"/>
      <c r="U545" s="27"/>
      <c r="V545" s="27"/>
      <c r="W545" s="27"/>
      <c r="X545" s="27"/>
      <c r="Y545" s="27"/>
      <c r="Z545" s="27"/>
      <c r="AA545" s="27"/>
      <c r="AB545" s="27"/>
      <c r="AC545" s="27"/>
    </row>
    <row r="546" spans="1:29">
      <c r="A546" s="358"/>
      <c r="B546" s="359"/>
      <c r="C546" s="360"/>
      <c r="D546" s="27"/>
      <c r="E546" s="27"/>
      <c r="F546" s="27"/>
      <c r="G546" s="27"/>
      <c r="H546" s="27"/>
      <c r="I546" s="27"/>
      <c r="J546" s="27"/>
      <c r="K546" s="27"/>
      <c r="L546" s="27"/>
      <c r="M546" s="27"/>
      <c r="N546" s="27"/>
      <c r="O546" s="27"/>
      <c r="P546" s="27"/>
      <c r="Q546" s="27"/>
      <c r="R546" s="27"/>
      <c r="S546" s="27"/>
      <c r="T546" s="27"/>
      <c r="U546" s="27"/>
      <c r="V546" s="27"/>
      <c r="W546" s="27"/>
      <c r="X546" s="27"/>
      <c r="Y546" s="27"/>
      <c r="Z546" s="27"/>
      <c r="AA546" s="27"/>
      <c r="AB546" s="27"/>
      <c r="AC546" s="27"/>
    </row>
    <row r="547" spans="1:29">
      <c r="A547" s="358"/>
      <c r="B547" s="359"/>
      <c r="C547" s="360"/>
      <c r="D547" s="27"/>
      <c r="E547" s="27"/>
      <c r="F547" s="27"/>
      <c r="G547" s="27"/>
      <c r="H547" s="27"/>
      <c r="I547" s="27"/>
      <c r="J547" s="27"/>
      <c r="K547" s="27"/>
      <c r="L547" s="27"/>
      <c r="M547" s="27"/>
      <c r="N547" s="27"/>
      <c r="O547" s="27"/>
      <c r="P547" s="27"/>
      <c r="Q547" s="27"/>
      <c r="R547" s="27"/>
      <c r="S547" s="27"/>
      <c r="T547" s="27"/>
      <c r="U547" s="27"/>
      <c r="V547" s="27"/>
      <c r="W547" s="27"/>
      <c r="X547" s="27"/>
      <c r="Y547" s="27"/>
      <c r="Z547" s="27"/>
      <c r="AA547" s="27"/>
      <c r="AB547" s="27"/>
      <c r="AC547" s="27"/>
    </row>
    <row r="548" spans="1:29">
      <c r="A548" s="358"/>
      <c r="B548" s="359"/>
      <c r="C548" s="360"/>
      <c r="D548" s="27"/>
      <c r="E548" s="27"/>
      <c r="F548" s="27"/>
      <c r="G548" s="27"/>
      <c r="H548" s="27"/>
      <c r="I548" s="27"/>
      <c r="J548" s="27"/>
      <c r="K548" s="27"/>
      <c r="L548" s="27"/>
      <c r="M548" s="27"/>
      <c r="N548" s="27"/>
      <c r="O548" s="27"/>
      <c r="P548" s="27"/>
      <c r="Q548" s="27"/>
      <c r="R548" s="27"/>
      <c r="S548" s="27"/>
      <c r="T548" s="27"/>
      <c r="U548" s="27"/>
      <c r="V548" s="27"/>
      <c r="W548" s="27"/>
      <c r="X548" s="27"/>
      <c r="Y548" s="27"/>
      <c r="Z548" s="27"/>
      <c r="AA548" s="27"/>
      <c r="AB548" s="27"/>
      <c r="AC548" s="27"/>
    </row>
    <row r="549" spans="1:29">
      <c r="A549" s="358"/>
      <c r="B549" s="359"/>
      <c r="C549" s="360"/>
      <c r="D549" s="27"/>
      <c r="E549" s="27"/>
      <c r="F549" s="27"/>
      <c r="G549" s="27"/>
      <c r="H549" s="27"/>
      <c r="I549" s="27"/>
      <c r="J549" s="27"/>
      <c r="K549" s="27"/>
      <c r="L549" s="27"/>
      <c r="M549" s="27"/>
      <c r="N549" s="27"/>
      <c r="O549" s="27"/>
      <c r="P549" s="27"/>
      <c r="Q549" s="27"/>
      <c r="R549" s="27"/>
      <c r="S549" s="27"/>
      <c r="T549" s="27"/>
      <c r="U549" s="27"/>
      <c r="V549" s="27"/>
      <c r="W549" s="27"/>
      <c r="X549" s="27"/>
      <c r="Y549" s="27"/>
      <c r="Z549" s="27"/>
      <c r="AA549" s="27"/>
      <c r="AB549" s="27"/>
      <c r="AC549" s="27"/>
    </row>
    <row r="550" spans="1:29">
      <c r="A550" s="358"/>
      <c r="B550" s="359"/>
      <c r="C550" s="360"/>
      <c r="D550" s="27"/>
      <c r="E550" s="27"/>
      <c r="F550" s="27"/>
      <c r="G550" s="27"/>
      <c r="H550" s="27"/>
      <c r="I550" s="27"/>
      <c r="J550" s="27"/>
      <c r="K550" s="27"/>
      <c r="L550" s="27"/>
      <c r="M550" s="27"/>
      <c r="N550" s="27"/>
      <c r="O550" s="27"/>
      <c r="P550" s="27"/>
      <c r="Q550" s="27"/>
      <c r="R550" s="27"/>
      <c r="S550" s="27"/>
      <c r="T550" s="27"/>
      <c r="U550" s="27"/>
      <c r="V550" s="27"/>
      <c r="W550" s="27"/>
      <c r="X550" s="27"/>
      <c r="Y550" s="27"/>
      <c r="Z550" s="27"/>
      <c r="AA550" s="27"/>
      <c r="AB550" s="27"/>
      <c r="AC550" s="27"/>
    </row>
    <row r="551" spans="1:29">
      <c r="A551" s="358"/>
      <c r="B551" s="359"/>
      <c r="C551" s="360"/>
      <c r="D551" s="27"/>
      <c r="E551" s="27"/>
      <c r="F551" s="27"/>
      <c r="G551" s="27"/>
      <c r="H551" s="27"/>
      <c r="I551" s="27"/>
      <c r="J551" s="27"/>
      <c r="K551" s="27"/>
      <c r="L551" s="27"/>
      <c r="M551" s="27"/>
      <c r="N551" s="27"/>
      <c r="O551" s="27"/>
      <c r="P551" s="27"/>
      <c r="Q551" s="27"/>
      <c r="R551" s="27"/>
      <c r="S551" s="27"/>
      <c r="T551" s="27"/>
      <c r="U551" s="27"/>
      <c r="V551" s="27"/>
      <c r="W551" s="27"/>
      <c r="X551" s="27"/>
      <c r="Y551" s="27"/>
      <c r="Z551" s="27"/>
      <c r="AA551" s="27"/>
      <c r="AB551" s="27"/>
      <c r="AC551" s="27"/>
    </row>
    <row r="552" spans="1:29">
      <c r="A552" s="358"/>
      <c r="B552" s="359"/>
      <c r="C552" s="360"/>
      <c r="D552" s="27"/>
      <c r="E552" s="27"/>
      <c r="F552" s="27"/>
      <c r="G552" s="27"/>
      <c r="H552" s="27"/>
      <c r="I552" s="27"/>
      <c r="J552" s="27"/>
      <c r="K552" s="27"/>
      <c r="L552" s="27"/>
      <c r="M552" s="27"/>
      <c r="N552" s="27"/>
      <c r="O552" s="27"/>
      <c r="P552" s="27"/>
      <c r="Q552" s="27"/>
      <c r="R552" s="27"/>
      <c r="S552" s="27"/>
      <c r="T552" s="27"/>
      <c r="U552" s="27"/>
      <c r="V552" s="27"/>
      <c r="W552" s="27"/>
      <c r="X552" s="27"/>
      <c r="Y552" s="27"/>
      <c r="Z552" s="27"/>
      <c r="AA552" s="27"/>
      <c r="AB552" s="27"/>
      <c r="AC552" s="27"/>
    </row>
    <row r="553" spans="1:29">
      <c r="A553" s="358"/>
      <c r="B553" s="359"/>
      <c r="C553" s="360"/>
      <c r="D553" s="27"/>
      <c r="E553" s="27"/>
      <c r="F553" s="27"/>
      <c r="G553" s="27"/>
      <c r="H553" s="27"/>
      <c r="I553" s="27"/>
      <c r="J553" s="27"/>
      <c r="K553" s="27"/>
      <c r="L553" s="27"/>
      <c r="M553" s="27"/>
      <c r="N553" s="27"/>
      <c r="O553" s="27"/>
      <c r="P553" s="27"/>
      <c r="Q553" s="27"/>
      <c r="R553" s="27"/>
      <c r="S553" s="27"/>
      <c r="T553" s="27"/>
      <c r="U553" s="27"/>
      <c r="V553" s="27"/>
      <c r="W553" s="27"/>
      <c r="X553" s="27"/>
      <c r="Y553" s="27"/>
      <c r="Z553" s="27"/>
      <c r="AA553" s="27"/>
      <c r="AB553" s="27"/>
      <c r="AC553" s="27"/>
    </row>
    <row r="554" spans="1:29">
      <c r="A554" s="358"/>
      <c r="B554" s="359"/>
      <c r="C554" s="360"/>
      <c r="D554" s="27"/>
      <c r="E554" s="27"/>
      <c r="F554" s="27"/>
      <c r="G554" s="27"/>
      <c r="H554" s="27"/>
      <c r="I554" s="27"/>
      <c r="J554" s="27"/>
      <c r="K554" s="27"/>
      <c r="L554" s="27"/>
      <c r="M554" s="27"/>
      <c r="N554" s="27"/>
      <c r="O554" s="27"/>
      <c r="P554" s="27"/>
      <c r="Q554" s="27"/>
      <c r="R554" s="27"/>
      <c r="S554" s="27"/>
      <c r="T554" s="27"/>
      <c r="U554" s="27"/>
      <c r="V554" s="27"/>
      <c r="W554" s="27"/>
      <c r="X554" s="27"/>
      <c r="Y554" s="27"/>
      <c r="Z554" s="27"/>
      <c r="AA554" s="27"/>
      <c r="AB554" s="27"/>
      <c r="AC554" s="27"/>
    </row>
    <row r="555" spans="1:29">
      <c r="A555" s="358"/>
      <c r="B555" s="359"/>
      <c r="C555" s="360"/>
      <c r="D555" s="27"/>
      <c r="E555" s="27"/>
      <c r="F555" s="27"/>
      <c r="G555" s="27"/>
      <c r="H555" s="27"/>
      <c r="I555" s="27"/>
      <c r="J555" s="27"/>
      <c r="K555" s="27"/>
      <c r="L555" s="27"/>
      <c r="M555" s="27"/>
      <c r="N555" s="27"/>
      <c r="O555" s="27"/>
      <c r="P555" s="27"/>
      <c r="Q555" s="27"/>
      <c r="R555" s="27"/>
      <c r="S555" s="27"/>
      <c r="T555" s="27"/>
      <c r="U555" s="27"/>
      <c r="V555" s="27"/>
      <c r="W555" s="27"/>
      <c r="X555" s="27"/>
      <c r="Y555" s="27"/>
      <c r="Z555" s="27"/>
      <c r="AA555" s="27"/>
      <c r="AB555" s="27"/>
      <c r="AC555" s="27"/>
    </row>
    <row r="556" spans="1:29">
      <c r="A556" s="358"/>
      <c r="B556" s="359"/>
      <c r="C556" s="360"/>
      <c r="D556" s="27"/>
      <c r="E556" s="27"/>
      <c r="F556" s="27"/>
      <c r="G556" s="27"/>
      <c r="H556" s="27"/>
      <c r="I556" s="27"/>
      <c r="J556" s="27"/>
      <c r="K556" s="27"/>
      <c r="L556" s="27"/>
      <c r="M556" s="27"/>
      <c r="N556" s="27"/>
      <c r="O556" s="27"/>
      <c r="P556" s="27"/>
      <c r="Q556" s="27"/>
      <c r="R556" s="27"/>
      <c r="S556" s="27"/>
      <c r="T556" s="27"/>
      <c r="U556" s="27"/>
      <c r="V556" s="27"/>
      <c r="W556" s="27"/>
      <c r="X556" s="27"/>
      <c r="Y556" s="27"/>
      <c r="Z556" s="27"/>
      <c r="AA556" s="27"/>
      <c r="AB556" s="27"/>
      <c r="AC556" s="27"/>
    </row>
    <row r="557" spans="1:29">
      <c r="A557" s="358"/>
      <c r="B557" s="359"/>
      <c r="C557" s="360"/>
      <c r="D557" s="27"/>
      <c r="E557" s="27"/>
      <c r="F557" s="27"/>
      <c r="G557" s="27"/>
      <c r="H557" s="27"/>
      <c r="I557" s="27"/>
      <c r="J557" s="27"/>
      <c r="K557" s="27"/>
      <c r="L557" s="27"/>
      <c r="M557" s="27"/>
      <c r="N557" s="27"/>
      <c r="O557" s="27"/>
      <c r="P557" s="27"/>
      <c r="Q557" s="27"/>
      <c r="R557" s="27"/>
      <c r="S557" s="27"/>
      <c r="T557" s="27"/>
      <c r="U557" s="27"/>
      <c r="V557" s="27"/>
      <c r="W557" s="27"/>
      <c r="X557" s="27"/>
      <c r="Y557" s="27"/>
      <c r="Z557" s="27"/>
      <c r="AA557" s="27"/>
      <c r="AB557" s="27"/>
      <c r="AC557" s="27"/>
    </row>
    <row r="558" spans="1:29">
      <c r="A558" s="358"/>
      <c r="B558" s="359"/>
      <c r="C558" s="360"/>
      <c r="D558" s="27"/>
      <c r="E558" s="27"/>
      <c r="F558" s="27"/>
      <c r="G558" s="27"/>
      <c r="H558" s="27"/>
      <c r="I558" s="27"/>
      <c r="J558" s="27"/>
      <c r="K558" s="27"/>
      <c r="L558" s="27"/>
      <c r="M558" s="27"/>
      <c r="N558" s="27"/>
      <c r="O558" s="27"/>
      <c r="P558" s="27"/>
      <c r="Q558" s="27"/>
      <c r="R558" s="27"/>
      <c r="S558" s="27"/>
      <c r="T558" s="27"/>
      <c r="U558" s="27"/>
      <c r="V558" s="27"/>
      <c r="W558" s="27"/>
      <c r="X558" s="27"/>
      <c r="Y558" s="27"/>
      <c r="Z558" s="27"/>
      <c r="AA558" s="27"/>
      <c r="AB558" s="27"/>
      <c r="AC558" s="27"/>
    </row>
    <row r="559" spans="1:29">
      <c r="A559" s="358"/>
      <c r="B559" s="359"/>
      <c r="C559" s="360"/>
      <c r="D559" s="27"/>
      <c r="E559" s="27"/>
      <c r="F559" s="27"/>
      <c r="G559" s="27"/>
      <c r="H559" s="27"/>
      <c r="I559" s="27"/>
      <c r="J559" s="27"/>
      <c r="K559" s="27"/>
      <c r="L559" s="27"/>
      <c r="M559" s="27"/>
      <c r="N559" s="27"/>
      <c r="O559" s="27"/>
      <c r="P559" s="27"/>
      <c r="Q559" s="27"/>
      <c r="R559" s="27"/>
      <c r="S559" s="27"/>
      <c r="T559" s="27"/>
      <c r="U559" s="27"/>
      <c r="V559" s="27"/>
      <c r="W559" s="27"/>
      <c r="X559" s="27"/>
      <c r="Y559" s="27"/>
      <c r="Z559" s="27"/>
      <c r="AA559" s="27"/>
      <c r="AB559" s="27"/>
      <c r="AC559" s="27"/>
    </row>
    <row r="560" spans="1:29">
      <c r="A560" s="358"/>
      <c r="B560" s="359"/>
      <c r="C560" s="360"/>
      <c r="D560" s="27"/>
      <c r="E560" s="27"/>
      <c r="F560" s="27"/>
      <c r="G560" s="27"/>
      <c r="H560" s="27"/>
      <c r="I560" s="27"/>
      <c r="J560" s="27"/>
      <c r="K560" s="27"/>
      <c r="L560" s="27"/>
      <c r="M560" s="27"/>
      <c r="N560" s="27"/>
      <c r="O560" s="27"/>
      <c r="P560" s="27"/>
      <c r="Q560" s="27"/>
      <c r="R560" s="27"/>
      <c r="S560" s="27"/>
      <c r="T560" s="27"/>
      <c r="U560" s="27"/>
      <c r="V560" s="27"/>
      <c r="W560" s="27"/>
      <c r="X560" s="27"/>
      <c r="Y560" s="27"/>
      <c r="Z560" s="27"/>
      <c r="AA560" s="27"/>
      <c r="AB560" s="27"/>
      <c r="AC560" s="27"/>
    </row>
    <row r="561" spans="1:29">
      <c r="A561" s="358"/>
      <c r="B561" s="359"/>
      <c r="C561" s="360"/>
      <c r="D561" s="27"/>
      <c r="E561" s="27"/>
      <c r="F561" s="27"/>
      <c r="G561" s="27"/>
      <c r="H561" s="27"/>
      <c r="I561" s="27"/>
      <c r="J561" s="27"/>
      <c r="K561" s="27"/>
      <c r="L561" s="27"/>
      <c r="M561" s="27"/>
      <c r="N561" s="27"/>
      <c r="O561" s="27"/>
      <c r="P561" s="27"/>
      <c r="Q561" s="27"/>
      <c r="R561" s="27"/>
      <c r="S561" s="27"/>
      <c r="T561" s="27"/>
      <c r="U561" s="27"/>
      <c r="V561" s="27"/>
      <c r="W561" s="27"/>
      <c r="X561" s="27"/>
      <c r="Y561" s="27"/>
      <c r="Z561" s="27"/>
      <c r="AA561" s="27"/>
      <c r="AB561" s="27"/>
      <c r="AC561" s="27"/>
    </row>
    <row r="562" spans="1:29">
      <c r="A562" s="358"/>
      <c r="B562" s="359"/>
      <c r="C562" s="360"/>
      <c r="D562" s="27"/>
      <c r="E562" s="27"/>
      <c r="F562" s="27"/>
      <c r="G562" s="27"/>
      <c r="H562" s="27"/>
      <c r="I562" s="27"/>
      <c r="J562" s="27"/>
      <c r="K562" s="27"/>
      <c r="L562" s="27"/>
      <c r="M562" s="27"/>
      <c r="N562" s="27"/>
      <c r="O562" s="27"/>
      <c r="P562" s="27"/>
      <c r="Q562" s="27"/>
      <c r="R562" s="27"/>
      <c r="S562" s="27"/>
      <c r="T562" s="27"/>
      <c r="U562" s="27"/>
      <c r="V562" s="27"/>
      <c r="W562" s="27"/>
      <c r="X562" s="27"/>
      <c r="Y562" s="27"/>
      <c r="Z562" s="27"/>
      <c r="AA562" s="27"/>
      <c r="AB562" s="27"/>
      <c r="AC562" s="27"/>
    </row>
    <row r="563" spans="1:29">
      <c r="A563" s="358"/>
      <c r="B563" s="359"/>
      <c r="C563" s="360"/>
      <c r="D563" s="27"/>
      <c r="E563" s="27"/>
      <c r="F563" s="27"/>
      <c r="G563" s="27"/>
      <c r="H563" s="27"/>
      <c r="I563" s="27"/>
      <c r="J563" s="27"/>
      <c r="K563" s="27"/>
      <c r="L563" s="27"/>
      <c r="M563" s="27"/>
      <c r="N563" s="27"/>
      <c r="O563" s="27"/>
      <c r="P563" s="27"/>
      <c r="Q563" s="27"/>
      <c r="R563" s="27"/>
      <c r="S563" s="27"/>
      <c r="T563" s="27"/>
      <c r="U563" s="27"/>
      <c r="V563" s="27"/>
      <c r="W563" s="27"/>
      <c r="X563" s="27"/>
      <c r="Y563" s="27"/>
      <c r="Z563" s="27"/>
      <c r="AA563" s="27"/>
      <c r="AB563" s="27"/>
      <c r="AC563" s="27"/>
    </row>
    <row r="564" spans="1:29">
      <c r="A564" s="358"/>
      <c r="B564" s="359"/>
      <c r="C564" s="360"/>
      <c r="D564" s="27"/>
      <c r="E564" s="27"/>
      <c r="F564" s="27"/>
      <c r="G564" s="27"/>
      <c r="H564" s="27"/>
      <c r="I564" s="27"/>
      <c r="J564" s="27"/>
      <c r="K564" s="27"/>
      <c r="L564" s="27"/>
      <c r="M564" s="27"/>
      <c r="N564" s="27"/>
      <c r="O564" s="27"/>
      <c r="P564" s="27"/>
      <c r="Q564" s="27"/>
      <c r="R564" s="27"/>
      <c r="S564" s="27"/>
      <c r="T564" s="27"/>
      <c r="U564" s="27"/>
      <c r="V564" s="27"/>
      <c r="W564" s="27"/>
      <c r="X564" s="27"/>
      <c r="Y564" s="27"/>
      <c r="Z564" s="27"/>
      <c r="AA564" s="27"/>
      <c r="AB564" s="27"/>
      <c r="AC564" s="27"/>
    </row>
    <row r="565" spans="1:29">
      <c r="A565" s="358"/>
      <c r="B565" s="359"/>
      <c r="C565" s="360"/>
      <c r="D565" s="27"/>
      <c r="E565" s="27"/>
      <c r="F565" s="27"/>
      <c r="G565" s="27"/>
      <c r="H565" s="27"/>
      <c r="I565" s="27"/>
      <c r="J565" s="27"/>
      <c r="K565" s="27"/>
      <c r="L565" s="27"/>
      <c r="M565" s="27"/>
      <c r="N565" s="27"/>
      <c r="O565" s="27"/>
      <c r="P565" s="27"/>
      <c r="Q565" s="27"/>
      <c r="R565" s="27"/>
      <c r="S565" s="27"/>
      <c r="T565" s="27"/>
      <c r="U565" s="27"/>
      <c r="V565" s="27"/>
      <c r="W565" s="27"/>
      <c r="X565" s="27"/>
      <c r="Y565" s="27"/>
      <c r="Z565" s="27"/>
      <c r="AA565" s="27"/>
      <c r="AB565" s="27"/>
      <c r="AC565" s="27"/>
    </row>
    <row r="566" spans="1:29">
      <c r="A566" s="358"/>
      <c r="B566" s="359"/>
      <c r="C566" s="360"/>
      <c r="D566" s="27"/>
      <c r="E566" s="27"/>
      <c r="F566" s="27"/>
      <c r="G566" s="27"/>
      <c r="H566" s="27"/>
      <c r="I566" s="27"/>
      <c r="J566" s="27"/>
      <c r="K566" s="27"/>
      <c r="L566" s="27"/>
      <c r="M566" s="27"/>
      <c r="N566" s="27"/>
      <c r="O566" s="27"/>
      <c r="P566" s="27"/>
      <c r="Q566" s="27"/>
      <c r="R566" s="27"/>
      <c r="S566" s="27"/>
      <c r="T566" s="27"/>
      <c r="U566" s="27"/>
      <c r="V566" s="27"/>
      <c r="W566" s="27"/>
      <c r="X566" s="27"/>
      <c r="Y566" s="27"/>
      <c r="Z566" s="27"/>
      <c r="AA566" s="27"/>
      <c r="AB566" s="27"/>
      <c r="AC566" s="27"/>
    </row>
    <row r="567" spans="1:29">
      <c r="A567" s="358"/>
      <c r="B567" s="359"/>
      <c r="C567" s="360"/>
      <c r="D567" s="27"/>
      <c r="E567" s="27"/>
      <c r="F567" s="27"/>
      <c r="G567" s="27"/>
      <c r="H567" s="27"/>
      <c r="I567" s="27"/>
      <c r="J567" s="27"/>
      <c r="K567" s="27"/>
      <c r="L567" s="27"/>
      <c r="M567" s="27"/>
      <c r="N567" s="27"/>
      <c r="O567" s="27"/>
      <c r="P567" s="27"/>
      <c r="Q567" s="27"/>
      <c r="R567" s="27"/>
      <c r="S567" s="27"/>
      <c r="T567" s="27"/>
      <c r="U567" s="27"/>
      <c r="V567" s="27"/>
      <c r="W567" s="27"/>
      <c r="X567" s="27"/>
      <c r="Y567" s="27"/>
      <c r="Z567" s="27"/>
      <c r="AA567" s="27"/>
      <c r="AB567" s="27"/>
      <c r="AC567" s="27"/>
    </row>
    <row r="568" spans="1:29">
      <c r="A568" s="358"/>
      <c r="B568" s="359"/>
      <c r="C568" s="360"/>
      <c r="D568" s="27"/>
      <c r="E568" s="27"/>
      <c r="F568" s="27"/>
      <c r="G568" s="27"/>
      <c r="H568" s="27"/>
      <c r="I568" s="27"/>
      <c r="J568" s="27"/>
      <c r="K568" s="27"/>
      <c r="L568" s="27"/>
      <c r="M568" s="27"/>
      <c r="N568" s="27"/>
      <c r="O568" s="27"/>
      <c r="P568" s="27"/>
      <c r="Q568" s="27"/>
      <c r="R568" s="27"/>
      <c r="S568" s="27"/>
      <c r="T568" s="27"/>
      <c r="U568" s="27"/>
      <c r="V568" s="27"/>
      <c r="W568" s="27"/>
      <c r="X568" s="27"/>
      <c r="Y568" s="27"/>
      <c r="Z568" s="27"/>
      <c r="AA568" s="27"/>
      <c r="AB568" s="27"/>
      <c r="AC568" s="27"/>
    </row>
    <row r="569" spans="1:29">
      <c r="A569" s="358"/>
      <c r="B569" s="359"/>
      <c r="C569" s="360"/>
      <c r="D569" s="27"/>
      <c r="E569" s="27"/>
      <c r="F569" s="27"/>
      <c r="G569" s="27"/>
      <c r="H569" s="27"/>
      <c r="I569" s="27"/>
      <c r="J569" s="27"/>
      <c r="K569" s="27"/>
      <c r="L569" s="27"/>
      <c r="M569" s="27"/>
      <c r="N569" s="27"/>
      <c r="O569" s="27"/>
      <c r="P569" s="27"/>
      <c r="Q569" s="27"/>
      <c r="R569" s="27"/>
      <c r="S569" s="27"/>
      <c r="T569" s="27"/>
      <c r="U569" s="27"/>
      <c r="V569" s="27"/>
      <c r="W569" s="27"/>
      <c r="X569" s="27"/>
      <c r="Y569" s="27"/>
      <c r="Z569" s="27"/>
      <c r="AA569" s="27"/>
      <c r="AB569" s="27"/>
      <c r="AC569" s="27"/>
    </row>
    <row r="570" spans="1:29">
      <c r="A570" s="358"/>
      <c r="B570" s="359"/>
      <c r="C570" s="360"/>
      <c r="D570" s="27"/>
      <c r="E570" s="27"/>
      <c r="F570" s="27"/>
      <c r="G570" s="27"/>
      <c r="H570" s="27"/>
      <c r="I570" s="27"/>
      <c r="J570" s="27"/>
      <c r="K570" s="27"/>
      <c r="L570" s="27"/>
      <c r="M570" s="27"/>
      <c r="N570" s="27"/>
      <c r="O570" s="27"/>
      <c r="P570" s="27"/>
      <c r="Q570" s="27"/>
      <c r="R570" s="27"/>
      <c r="S570" s="27"/>
      <c r="T570" s="27"/>
      <c r="U570" s="27"/>
      <c r="V570" s="27"/>
      <c r="W570" s="27"/>
      <c r="X570" s="27"/>
      <c r="Y570" s="27"/>
      <c r="Z570" s="27"/>
      <c r="AA570" s="27"/>
      <c r="AB570" s="27"/>
      <c r="AC570" s="27"/>
    </row>
    <row r="571" spans="1:29">
      <c r="A571" s="358"/>
      <c r="B571" s="359"/>
      <c r="C571" s="360"/>
      <c r="D571" s="27"/>
      <c r="E571" s="27"/>
      <c r="F571" s="27"/>
      <c r="G571" s="27"/>
      <c r="H571" s="27"/>
      <c r="I571" s="27"/>
      <c r="J571" s="27"/>
      <c r="K571" s="27"/>
      <c r="L571" s="27"/>
      <c r="M571" s="27"/>
      <c r="N571" s="27"/>
      <c r="O571" s="27"/>
      <c r="P571" s="27"/>
      <c r="Q571" s="27"/>
      <c r="R571" s="27"/>
      <c r="S571" s="27"/>
      <c r="T571" s="27"/>
      <c r="U571" s="27"/>
      <c r="V571" s="27"/>
      <c r="W571" s="27"/>
      <c r="X571" s="27"/>
      <c r="Y571" s="27"/>
      <c r="Z571" s="27"/>
      <c r="AA571" s="27"/>
      <c r="AB571" s="27"/>
      <c r="AC571" s="27"/>
    </row>
    <row r="572" spans="1:29">
      <c r="A572" s="358"/>
      <c r="B572" s="359"/>
      <c r="C572" s="360"/>
      <c r="D572" s="27"/>
      <c r="E572" s="27"/>
      <c r="F572" s="27"/>
      <c r="G572" s="27"/>
      <c r="H572" s="27"/>
      <c r="I572" s="27"/>
      <c r="J572" s="27"/>
      <c r="K572" s="27"/>
      <c r="L572" s="27"/>
      <c r="M572" s="27"/>
      <c r="N572" s="27"/>
      <c r="O572" s="27"/>
      <c r="P572" s="27"/>
      <c r="Q572" s="27"/>
      <c r="R572" s="27"/>
      <c r="S572" s="27"/>
      <c r="T572" s="27"/>
      <c r="U572" s="27"/>
      <c r="V572" s="27"/>
      <c r="W572" s="27"/>
      <c r="X572" s="27"/>
      <c r="Y572" s="27"/>
      <c r="Z572" s="27"/>
      <c r="AA572" s="27"/>
      <c r="AB572" s="27"/>
      <c r="AC572" s="27"/>
    </row>
    <row r="573" spans="1:29">
      <c r="A573" s="358"/>
      <c r="B573" s="359"/>
      <c r="C573" s="360"/>
      <c r="D573" s="27"/>
      <c r="E573" s="27"/>
      <c r="F573" s="27"/>
      <c r="G573" s="27"/>
      <c r="H573" s="27"/>
      <c r="I573" s="27"/>
      <c r="J573" s="27"/>
      <c r="K573" s="27"/>
      <c r="L573" s="27"/>
      <c r="M573" s="27"/>
      <c r="N573" s="27"/>
      <c r="O573" s="27"/>
      <c r="P573" s="27"/>
      <c r="Q573" s="27"/>
      <c r="R573" s="27"/>
      <c r="S573" s="27"/>
      <c r="T573" s="27"/>
      <c r="U573" s="27"/>
      <c r="V573" s="27"/>
      <c r="W573" s="27"/>
      <c r="X573" s="27"/>
      <c r="Y573" s="27"/>
      <c r="Z573" s="27"/>
      <c r="AA573" s="27"/>
      <c r="AB573" s="27"/>
      <c r="AC573" s="27"/>
    </row>
    <row r="574" spans="1:29">
      <c r="A574" s="358"/>
      <c r="B574" s="359"/>
      <c r="C574" s="360"/>
      <c r="D574" s="27"/>
      <c r="E574" s="27"/>
      <c r="F574" s="27"/>
      <c r="G574" s="27"/>
      <c r="H574" s="27"/>
      <c r="I574" s="27"/>
      <c r="J574" s="27"/>
      <c r="K574" s="27"/>
      <c r="L574" s="27"/>
      <c r="M574" s="27"/>
      <c r="N574" s="27"/>
      <c r="O574" s="27"/>
      <c r="P574" s="27"/>
      <c r="Q574" s="27"/>
      <c r="R574" s="27"/>
      <c r="S574" s="27"/>
      <c r="T574" s="27"/>
      <c r="U574" s="27"/>
      <c r="V574" s="27"/>
      <c r="W574" s="27"/>
      <c r="X574" s="27"/>
      <c r="Y574" s="27"/>
      <c r="Z574" s="27"/>
      <c r="AA574" s="27"/>
      <c r="AB574" s="27"/>
      <c r="AC574" s="27"/>
    </row>
    <row r="575" spans="1:29">
      <c r="A575" s="358"/>
      <c r="B575" s="359"/>
      <c r="C575" s="360"/>
      <c r="D575" s="27"/>
      <c r="E575" s="27"/>
      <c r="F575" s="27"/>
      <c r="G575" s="27"/>
      <c r="H575" s="27"/>
      <c r="I575" s="27"/>
      <c r="J575" s="27"/>
      <c r="K575" s="27"/>
      <c r="L575" s="27"/>
      <c r="M575" s="27"/>
      <c r="N575" s="27"/>
      <c r="O575" s="27"/>
      <c r="P575" s="27"/>
      <c r="Q575" s="27"/>
      <c r="R575" s="27"/>
      <c r="S575" s="27"/>
      <c r="T575" s="27"/>
      <c r="U575" s="27"/>
      <c r="V575" s="27"/>
      <c r="W575" s="27"/>
      <c r="X575" s="27"/>
      <c r="Y575" s="27"/>
      <c r="Z575" s="27"/>
      <c r="AA575" s="27"/>
      <c r="AB575" s="27"/>
      <c r="AC575" s="27"/>
    </row>
    <row r="576" spans="1:29">
      <c r="A576" s="358"/>
      <c r="B576" s="359"/>
      <c r="C576" s="360"/>
      <c r="D576" s="27"/>
      <c r="E576" s="27"/>
      <c r="F576" s="27"/>
      <c r="G576" s="27"/>
      <c r="H576" s="27"/>
      <c r="I576" s="27"/>
      <c r="J576" s="27"/>
      <c r="K576" s="27"/>
      <c r="L576" s="27"/>
      <c r="M576" s="27"/>
      <c r="N576" s="27"/>
      <c r="O576" s="27"/>
      <c r="P576" s="27"/>
      <c r="Q576" s="27"/>
      <c r="R576" s="27"/>
      <c r="S576" s="27"/>
      <c r="T576" s="27"/>
      <c r="U576" s="27"/>
      <c r="V576" s="27"/>
      <c r="W576" s="27"/>
      <c r="X576" s="27"/>
      <c r="Y576" s="27"/>
      <c r="Z576" s="27"/>
      <c r="AA576" s="27"/>
      <c r="AB576" s="27"/>
      <c r="AC576" s="27"/>
    </row>
    <row r="577" spans="1:29">
      <c r="A577" s="358"/>
      <c r="B577" s="359"/>
      <c r="C577" s="360"/>
      <c r="D577" s="27"/>
      <c r="E577" s="27"/>
      <c r="F577" s="27"/>
      <c r="G577" s="27"/>
      <c r="H577" s="27"/>
      <c r="I577" s="27"/>
      <c r="J577" s="27"/>
      <c r="K577" s="27"/>
      <c r="L577" s="27"/>
      <c r="M577" s="27"/>
      <c r="N577" s="27"/>
      <c r="O577" s="27"/>
      <c r="P577" s="27"/>
      <c r="Q577" s="27"/>
      <c r="R577" s="27"/>
      <c r="S577" s="27"/>
      <c r="T577" s="27"/>
      <c r="U577" s="27"/>
      <c r="V577" s="27"/>
      <c r="W577" s="27"/>
      <c r="X577" s="27"/>
      <c r="Y577" s="27"/>
      <c r="Z577" s="27"/>
      <c r="AA577" s="27"/>
      <c r="AB577" s="27"/>
      <c r="AC577" s="27"/>
    </row>
    <row r="578" spans="1:29">
      <c r="A578" s="358"/>
      <c r="B578" s="359"/>
      <c r="C578" s="360"/>
      <c r="D578" s="27"/>
      <c r="E578" s="27"/>
      <c r="F578" s="27"/>
      <c r="G578" s="27"/>
      <c r="H578" s="27"/>
      <c r="I578" s="27"/>
      <c r="J578" s="27"/>
      <c r="K578" s="27"/>
      <c r="L578" s="27"/>
      <c r="M578" s="27"/>
      <c r="N578" s="27"/>
      <c r="O578" s="27"/>
      <c r="P578" s="27"/>
      <c r="Q578" s="27"/>
      <c r="R578" s="27"/>
      <c r="S578" s="27"/>
      <c r="T578" s="27"/>
      <c r="U578" s="27"/>
      <c r="V578" s="27"/>
      <c r="W578" s="27"/>
      <c r="X578" s="27"/>
      <c r="Y578" s="27"/>
      <c r="Z578" s="27"/>
      <c r="AA578" s="27"/>
      <c r="AB578" s="27"/>
      <c r="AC578" s="27"/>
    </row>
    <row r="579" spans="1:29">
      <c r="A579" s="358"/>
      <c r="B579" s="359"/>
      <c r="C579" s="360"/>
      <c r="D579" s="27"/>
      <c r="E579" s="27"/>
      <c r="F579" s="27"/>
      <c r="G579" s="27"/>
      <c r="H579" s="27"/>
      <c r="I579" s="27"/>
      <c r="J579" s="27"/>
      <c r="K579" s="27"/>
      <c r="L579" s="27"/>
      <c r="M579" s="27"/>
      <c r="N579" s="27"/>
      <c r="O579" s="27"/>
      <c r="P579" s="27"/>
      <c r="Q579" s="27"/>
      <c r="R579" s="27"/>
      <c r="S579" s="27"/>
      <c r="T579" s="27"/>
      <c r="U579" s="27"/>
      <c r="V579" s="27"/>
      <c r="W579" s="27"/>
      <c r="X579" s="27"/>
      <c r="Y579" s="27"/>
      <c r="Z579" s="27"/>
      <c r="AA579" s="27"/>
      <c r="AB579" s="27"/>
      <c r="AC579" s="27"/>
    </row>
    <row r="580" spans="1:29">
      <c r="A580" s="358"/>
      <c r="B580" s="359"/>
      <c r="C580" s="360"/>
      <c r="D580" s="27"/>
      <c r="E580" s="27"/>
      <c r="F580" s="27"/>
      <c r="G580" s="27"/>
      <c r="H580" s="27"/>
      <c r="I580" s="27"/>
      <c r="J580" s="27"/>
      <c r="K580" s="27"/>
      <c r="L580" s="27"/>
      <c r="M580" s="27"/>
      <c r="N580" s="27"/>
      <c r="O580" s="27"/>
      <c r="P580" s="27"/>
      <c r="Q580" s="27"/>
      <c r="R580" s="27"/>
      <c r="S580" s="27"/>
      <c r="T580" s="27"/>
      <c r="U580" s="27"/>
      <c r="V580" s="27"/>
      <c r="W580" s="27"/>
      <c r="X580" s="27"/>
      <c r="Y580" s="27"/>
      <c r="Z580" s="27"/>
      <c r="AA580" s="27"/>
      <c r="AB580" s="27"/>
      <c r="AC580" s="27"/>
    </row>
    <row r="581" spans="1:29">
      <c r="A581" s="358"/>
      <c r="B581" s="359"/>
      <c r="C581" s="360"/>
      <c r="D581" s="27"/>
      <c r="E581" s="27"/>
      <c r="F581" s="27"/>
      <c r="G581" s="27"/>
      <c r="H581" s="27"/>
      <c r="I581" s="27"/>
      <c r="J581" s="27"/>
      <c r="K581" s="27"/>
      <c r="L581" s="27"/>
      <c r="M581" s="27"/>
      <c r="N581" s="27"/>
      <c r="O581" s="27"/>
      <c r="P581" s="27"/>
      <c r="Q581" s="27"/>
      <c r="R581" s="27"/>
      <c r="S581" s="27"/>
      <c r="T581" s="27"/>
      <c r="U581" s="27"/>
      <c r="V581" s="27"/>
      <c r="W581" s="27"/>
      <c r="X581" s="27"/>
      <c r="Y581" s="27"/>
      <c r="Z581" s="27"/>
      <c r="AA581" s="27"/>
      <c r="AB581" s="27"/>
      <c r="AC581" s="27"/>
    </row>
    <row r="582" spans="1:29">
      <c r="A582" s="358"/>
      <c r="B582" s="359"/>
      <c r="C582" s="360"/>
      <c r="D582" s="27"/>
      <c r="E582" s="27"/>
      <c r="F582" s="27"/>
      <c r="G582" s="27"/>
      <c r="H582" s="27"/>
      <c r="I582" s="27"/>
      <c r="J582" s="27"/>
      <c r="K582" s="27"/>
      <c r="L582" s="27"/>
      <c r="M582" s="27"/>
      <c r="N582" s="27"/>
      <c r="O582" s="27"/>
      <c r="P582" s="27"/>
      <c r="Q582" s="27"/>
      <c r="R582" s="27"/>
      <c r="S582" s="27"/>
      <c r="T582" s="27"/>
      <c r="U582" s="27"/>
      <c r="V582" s="27"/>
      <c r="W582" s="27"/>
      <c r="X582" s="27"/>
      <c r="Y582" s="27"/>
      <c r="Z582" s="27"/>
      <c r="AA582" s="27"/>
      <c r="AB582" s="27"/>
      <c r="AC582" s="27"/>
    </row>
    <row r="583" spans="1:29">
      <c r="A583" s="358"/>
      <c r="B583" s="359"/>
      <c r="C583" s="360"/>
      <c r="D583" s="27"/>
      <c r="E583" s="27"/>
      <c r="F583" s="27"/>
      <c r="G583" s="27"/>
      <c r="H583" s="27"/>
      <c r="I583" s="27"/>
      <c r="J583" s="27"/>
      <c r="K583" s="27"/>
      <c r="L583" s="27"/>
      <c r="M583" s="27"/>
      <c r="N583" s="27"/>
      <c r="O583" s="27"/>
      <c r="P583" s="27"/>
      <c r="Q583" s="27"/>
      <c r="R583" s="27"/>
      <c r="S583" s="27"/>
      <c r="T583" s="27"/>
      <c r="U583" s="27"/>
      <c r="V583" s="27"/>
      <c r="W583" s="27"/>
      <c r="X583" s="27"/>
      <c r="Y583" s="27"/>
      <c r="Z583" s="27"/>
      <c r="AA583" s="27"/>
      <c r="AB583" s="27"/>
      <c r="AC583" s="27"/>
    </row>
    <row r="584" spans="1:29">
      <c r="A584" s="358"/>
      <c r="B584" s="359"/>
      <c r="C584" s="360"/>
      <c r="D584" s="27"/>
      <c r="E584" s="27"/>
      <c r="F584" s="27"/>
      <c r="G584" s="27"/>
      <c r="H584" s="27"/>
      <c r="I584" s="27"/>
      <c r="J584" s="27"/>
      <c r="K584" s="27"/>
      <c r="L584" s="27"/>
      <c r="M584" s="27"/>
      <c r="N584" s="27"/>
      <c r="O584" s="27"/>
      <c r="P584" s="27"/>
      <c r="Q584" s="27"/>
      <c r="R584" s="27"/>
      <c r="S584" s="27"/>
      <c r="T584" s="27"/>
      <c r="U584" s="27"/>
      <c r="V584" s="27"/>
      <c r="W584" s="27"/>
      <c r="X584" s="27"/>
      <c r="Y584" s="27"/>
      <c r="Z584" s="27"/>
      <c r="AA584" s="27"/>
      <c r="AB584" s="27"/>
      <c r="AC584" s="27"/>
    </row>
    <row r="585" spans="1:29">
      <c r="A585" s="358"/>
      <c r="B585" s="359"/>
      <c r="C585" s="360"/>
      <c r="D585" s="27"/>
      <c r="E585" s="27"/>
      <c r="F585" s="27"/>
      <c r="G585" s="27"/>
      <c r="H585" s="27"/>
      <c r="I585" s="27"/>
      <c r="J585" s="27"/>
      <c r="K585" s="27"/>
      <c r="L585" s="27"/>
      <c r="M585" s="27"/>
      <c r="N585" s="27"/>
      <c r="O585" s="27"/>
      <c r="P585" s="27"/>
      <c r="Q585" s="27"/>
      <c r="R585" s="27"/>
      <c r="S585" s="27"/>
      <c r="T585" s="27"/>
      <c r="U585" s="27"/>
      <c r="V585" s="27"/>
      <c r="W585" s="27"/>
      <c r="X585" s="27"/>
      <c r="Y585" s="27"/>
      <c r="Z585" s="27"/>
      <c r="AA585" s="27"/>
      <c r="AB585" s="27"/>
      <c r="AC585" s="27"/>
    </row>
    <row r="586" spans="1:29">
      <c r="A586" s="358"/>
      <c r="B586" s="359"/>
      <c r="C586" s="360"/>
      <c r="D586" s="27"/>
      <c r="E586" s="27"/>
      <c r="F586" s="27"/>
      <c r="G586" s="27"/>
      <c r="H586" s="27"/>
      <c r="I586" s="27"/>
      <c r="J586" s="27"/>
      <c r="K586" s="27"/>
      <c r="L586" s="27"/>
      <c r="M586" s="27"/>
      <c r="N586" s="27"/>
      <c r="O586" s="27"/>
      <c r="P586" s="27"/>
      <c r="Q586" s="27"/>
      <c r="R586" s="27"/>
      <c r="S586" s="27"/>
      <c r="T586" s="27"/>
      <c r="U586" s="27"/>
      <c r="V586" s="27"/>
      <c r="W586" s="27"/>
      <c r="X586" s="27"/>
      <c r="Y586" s="27"/>
      <c r="Z586" s="27"/>
      <c r="AA586" s="27"/>
      <c r="AB586" s="27"/>
      <c r="AC586" s="27"/>
    </row>
    <row r="587" spans="1:29">
      <c r="A587" s="358"/>
      <c r="B587" s="359"/>
      <c r="C587" s="360"/>
      <c r="D587" s="27"/>
      <c r="E587" s="27"/>
      <c r="F587" s="27"/>
      <c r="G587" s="27"/>
      <c r="H587" s="27"/>
      <c r="I587" s="27"/>
      <c r="J587" s="27"/>
      <c r="K587" s="27"/>
      <c r="L587" s="27"/>
      <c r="M587" s="27"/>
      <c r="N587" s="27"/>
      <c r="O587" s="27"/>
      <c r="P587" s="27"/>
      <c r="Q587" s="27"/>
      <c r="R587" s="27"/>
      <c r="S587" s="27"/>
      <c r="T587" s="27"/>
      <c r="U587" s="27"/>
      <c r="V587" s="27"/>
      <c r="W587" s="27"/>
      <c r="X587" s="27"/>
      <c r="Y587" s="27"/>
      <c r="Z587" s="27"/>
      <c r="AA587" s="27"/>
      <c r="AB587" s="27"/>
      <c r="AC587" s="27"/>
    </row>
    <row r="588" spans="1:29">
      <c r="A588" s="358"/>
      <c r="B588" s="359"/>
      <c r="C588" s="360"/>
      <c r="D588" s="27"/>
      <c r="E588" s="27"/>
      <c r="F588" s="27"/>
      <c r="G588" s="27"/>
      <c r="H588" s="27"/>
      <c r="I588" s="27"/>
      <c r="J588" s="27"/>
      <c r="K588" s="27"/>
      <c r="L588" s="27"/>
      <c r="M588" s="27"/>
      <c r="N588" s="27"/>
      <c r="O588" s="27"/>
      <c r="P588" s="27"/>
      <c r="Q588" s="27"/>
      <c r="R588" s="27"/>
      <c r="S588" s="27"/>
      <c r="T588" s="27"/>
      <c r="U588" s="27"/>
      <c r="V588" s="27"/>
      <c r="W588" s="27"/>
      <c r="X588" s="27"/>
      <c r="Y588" s="27"/>
      <c r="Z588" s="27"/>
      <c r="AA588" s="27"/>
      <c r="AB588" s="27"/>
      <c r="AC588" s="27"/>
    </row>
    <row r="589" spans="1:29">
      <c r="A589" s="358"/>
      <c r="B589" s="359"/>
      <c r="C589" s="360"/>
      <c r="D589" s="27"/>
      <c r="E589" s="27"/>
      <c r="F589" s="27"/>
      <c r="G589" s="27"/>
      <c r="H589" s="27"/>
      <c r="I589" s="27"/>
      <c r="J589" s="27"/>
      <c r="K589" s="27"/>
      <c r="L589" s="27"/>
      <c r="M589" s="27"/>
      <c r="N589" s="27"/>
      <c r="O589" s="27"/>
      <c r="P589" s="27"/>
      <c r="Q589" s="27"/>
      <c r="R589" s="27"/>
      <c r="S589" s="27"/>
      <c r="T589" s="27"/>
      <c r="U589" s="27"/>
      <c r="V589" s="27"/>
      <c r="W589" s="27"/>
      <c r="X589" s="27"/>
      <c r="Y589" s="27"/>
      <c r="Z589" s="27"/>
      <c r="AA589" s="27"/>
      <c r="AB589" s="27"/>
      <c r="AC589" s="27"/>
    </row>
    <row r="590" spans="1:29">
      <c r="A590" s="358"/>
      <c r="B590" s="359"/>
      <c r="C590" s="360"/>
      <c r="D590" s="27"/>
      <c r="E590" s="27"/>
      <c r="F590" s="27"/>
      <c r="G590" s="27"/>
      <c r="H590" s="27"/>
      <c r="I590" s="27"/>
      <c r="J590" s="27"/>
      <c r="K590" s="27"/>
      <c r="L590" s="27"/>
      <c r="M590" s="27"/>
      <c r="N590" s="27"/>
      <c r="O590" s="27"/>
      <c r="P590" s="27"/>
      <c r="Q590" s="27"/>
      <c r="R590" s="27"/>
      <c r="S590" s="27"/>
      <c r="T590" s="27"/>
      <c r="U590" s="27"/>
      <c r="V590" s="27"/>
      <c r="W590" s="27"/>
      <c r="X590" s="27"/>
      <c r="Y590" s="27"/>
      <c r="Z590" s="27"/>
      <c r="AA590" s="27"/>
      <c r="AB590" s="27"/>
      <c r="AC590" s="27"/>
    </row>
    <row r="591" spans="1:29">
      <c r="A591" s="358"/>
      <c r="B591" s="359"/>
      <c r="C591" s="360"/>
      <c r="D591" s="27"/>
      <c r="E591" s="27"/>
      <c r="F591" s="27"/>
      <c r="G591" s="27"/>
      <c r="H591" s="27"/>
      <c r="I591" s="27"/>
      <c r="J591" s="27"/>
      <c r="K591" s="27"/>
      <c r="L591" s="27"/>
      <c r="M591" s="27"/>
      <c r="N591" s="27"/>
      <c r="O591" s="27"/>
      <c r="P591" s="27"/>
      <c r="Q591" s="27"/>
      <c r="R591" s="27"/>
      <c r="S591" s="27"/>
      <c r="T591" s="27"/>
      <c r="U591" s="27"/>
      <c r="V591" s="27"/>
      <c r="W591" s="27"/>
      <c r="X591" s="27"/>
      <c r="Y591" s="27"/>
      <c r="Z591" s="27"/>
      <c r="AA591" s="27"/>
      <c r="AB591" s="27"/>
      <c r="AC591" s="27"/>
    </row>
    <row r="592" spans="1:29">
      <c r="A592" s="358"/>
      <c r="B592" s="359"/>
      <c r="C592" s="360"/>
      <c r="D592" s="27"/>
      <c r="E592" s="27"/>
      <c r="F592" s="27"/>
      <c r="G592" s="27"/>
      <c r="H592" s="27"/>
      <c r="I592" s="27"/>
      <c r="J592" s="27"/>
      <c r="K592" s="27"/>
      <c r="L592" s="27"/>
      <c r="M592" s="27"/>
      <c r="N592" s="27"/>
      <c r="O592" s="27"/>
      <c r="P592" s="27"/>
      <c r="Q592" s="27"/>
      <c r="R592" s="27"/>
      <c r="S592" s="27"/>
      <c r="T592" s="27"/>
      <c r="U592" s="27"/>
      <c r="V592" s="27"/>
      <c r="W592" s="27"/>
      <c r="X592" s="27"/>
      <c r="Y592" s="27"/>
      <c r="Z592" s="27"/>
      <c r="AA592" s="27"/>
      <c r="AB592" s="27"/>
      <c r="AC592" s="27"/>
    </row>
    <row r="593" spans="1:29">
      <c r="A593" s="358"/>
      <c r="B593" s="359"/>
      <c r="C593" s="360"/>
      <c r="D593" s="27"/>
      <c r="E593" s="27"/>
      <c r="F593" s="27"/>
      <c r="G593" s="27"/>
      <c r="H593" s="27"/>
      <c r="I593" s="27"/>
      <c r="J593" s="27"/>
      <c r="K593" s="27"/>
      <c r="L593" s="27"/>
      <c r="M593" s="27"/>
      <c r="N593" s="27"/>
      <c r="O593" s="27"/>
      <c r="P593" s="27"/>
      <c r="Q593" s="27"/>
      <c r="R593" s="27"/>
      <c r="S593" s="27"/>
      <c r="T593" s="27"/>
      <c r="U593" s="27"/>
      <c r="V593" s="27"/>
      <c r="W593" s="27"/>
      <c r="X593" s="27"/>
      <c r="Y593" s="27"/>
      <c r="Z593" s="27"/>
      <c r="AA593" s="27"/>
      <c r="AB593" s="27"/>
      <c r="AC593" s="27"/>
    </row>
    <row r="594" spans="1:29">
      <c r="A594" s="358"/>
      <c r="B594" s="359"/>
      <c r="C594" s="360"/>
      <c r="D594" s="27"/>
      <c r="E594" s="27"/>
      <c r="F594" s="27"/>
      <c r="G594" s="27"/>
      <c r="H594" s="27"/>
      <c r="I594" s="27"/>
      <c r="J594" s="27"/>
      <c r="K594" s="27"/>
      <c r="L594" s="27"/>
      <c r="M594" s="27"/>
      <c r="N594" s="27"/>
      <c r="O594" s="27"/>
      <c r="P594" s="27"/>
      <c r="Q594" s="27"/>
      <c r="R594" s="27"/>
      <c r="S594" s="27"/>
      <c r="T594" s="27"/>
      <c r="U594" s="27"/>
      <c r="V594" s="27"/>
      <c r="W594" s="27"/>
      <c r="X594" s="27"/>
      <c r="Y594" s="27"/>
      <c r="Z594" s="27"/>
      <c r="AA594" s="27"/>
      <c r="AB594" s="27"/>
      <c r="AC594" s="27"/>
    </row>
    <row r="595" spans="1:29">
      <c r="A595" s="358"/>
      <c r="B595" s="359"/>
      <c r="C595" s="360"/>
      <c r="D595" s="27"/>
      <c r="E595" s="27"/>
      <c r="F595" s="27"/>
      <c r="G595" s="27"/>
      <c r="H595" s="27"/>
      <c r="I595" s="27"/>
      <c r="J595" s="27"/>
      <c r="K595" s="27"/>
      <c r="L595" s="27"/>
      <c r="M595" s="27"/>
      <c r="N595" s="27"/>
      <c r="O595" s="27"/>
      <c r="P595" s="27"/>
      <c r="Q595" s="27"/>
      <c r="R595" s="27"/>
      <c r="S595" s="27"/>
      <c r="T595" s="27"/>
      <c r="U595" s="27"/>
      <c r="V595" s="27"/>
      <c r="W595" s="27"/>
      <c r="X595" s="27"/>
      <c r="Y595" s="27"/>
      <c r="Z595" s="27"/>
      <c r="AA595" s="27"/>
      <c r="AB595" s="27"/>
      <c r="AC595" s="27"/>
    </row>
    <row r="596" spans="1:29">
      <c r="A596" s="358"/>
      <c r="B596" s="359"/>
      <c r="C596" s="360"/>
      <c r="D596" s="27"/>
      <c r="E596" s="27"/>
      <c r="F596" s="27"/>
      <c r="G596" s="27"/>
      <c r="H596" s="27"/>
      <c r="I596" s="27"/>
      <c r="J596" s="27"/>
      <c r="K596" s="27"/>
      <c r="L596" s="27"/>
      <c r="M596" s="27"/>
      <c r="N596" s="27"/>
      <c r="O596" s="27"/>
      <c r="P596" s="27"/>
      <c r="Q596" s="27"/>
      <c r="R596" s="27"/>
      <c r="S596" s="27"/>
      <c r="T596" s="27"/>
      <c r="U596" s="27"/>
      <c r="V596" s="27"/>
      <c r="W596" s="27"/>
      <c r="X596" s="27"/>
      <c r="Y596" s="27"/>
      <c r="Z596" s="27"/>
      <c r="AA596" s="27"/>
      <c r="AB596" s="27"/>
      <c r="AC596" s="27"/>
    </row>
    <row r="597" spans="1:29">
      <c r="A597" s="358"/>
      <c r="B597" s="359"/>
      <c r="C597" s="360"/>
      <c r="D597" s="27"/>
      <c r="E597" s="27"/>
      <c r="F597" s="27"/>
      <c r="G597" s="27"/>
      <c r="H597" s="27"/>
      <c r="I597" s="27"/>
      <c r="J597" s="27"/>
      <c r="K597" s="27"/>
      <c r="L597" s="27"/>
      <c r="M597" s="27"/>
      <c r="N597" s="27"/>
      <c r="O597" s="27"/>
      <c r="P597" s="27"/>
      <c r="Q597" s="27"/>
      <c r="R597" s="27"/>
      <c r="S597" s="27"/>
      <c r="T597" s="27"/>
      <c r="U597" s="27"/>
      <c r="V597" s="27"/>
      <c r="W597" s="27"/>
      <c r="X597" s="27"/>
      <c r="Y597" s="27"/>
      <c r="Z597" s="27"/>
      <c r="AA597" s="27"/>
      <c r="AB597" s="27"/>
      <c r="AC597" s="27"/>
    </row>
    <row r="598" spans="1:29">
      <c r="A598" s="358"/>
      <c r="B598" s="359"/>
      <c r="C598" s="360"/>
      <c r="D598" s="27"/>
      <c r="E598" s="27"/>
      <c r="F598" s="27"/>
      <c r="G598" s="27"/>
      <c r="H598" s="27"/>
      <c r="I598" s="27"/>
      <c r="J598" s="27"/>
      <c r="K598" s="27"/>
      <c r="L598" s="27"/>
      <c r="M598" s="27"/>
      <c r="N598" s="27"/>
      <c r="O598" s="27"/>
      <c r="P598" s="27"/>
      <c r="Q598" s="27"/>
      <c r="R598" s="27"/>
      <c r="S598" s="27"/>
      <c r="T598" s="27"/>
      <c r="U598" s="27"/>
      <c r="V598" s="27"/>
      <c r="W598" s="27"/>
      <c r="X598" s="27"/>
      <c r="Y598" s="27"/>
      <c r="Z598" s="27"/>
      <c r="AA598" s="27"/>
      <c r="AB598" s="27"/>
      <c r="AC598" s="27"/>
    </row>
    <row r="599" spans="1:29">
      <c r="A599" s="358"/>
      <c r="B599" s="359"/>
      <c r="C599" s="360"/>
      <c r="D599" s="27"/>
      <c r="E599" s="27"/>
      <c r="F599" s="27"/>
      <c r="G599" s="27"/>
      <c r="H599" s="27"/>
      <c r="I599" s="27"/>
      <c r="J599" s="27"/>
      <c r="K599" s="27"/>
      <c r="L599" s="27"/>
      <c r="M599" s="27"/>
      <c r="N599" s="27"/>
      <c r="O599" s="27"/>
      <c r="P599" s="27"/>
      <c r="Q599" s="27"/>
      <c r="R599" s="27"/>
      <c r="S599" s="27"/>
      <c r="T599" s="27"/>
      <c r="U599" s="27"/>
      <c r="V599" s="27"/>
      <c r="W599" s="27"/>
      <c r="X599" s="27"/>
      <c r="Y599" s="27"/>
      <c r="Z599" s="27"/>
      <c r="AA599" s="27"/>
      <c r="AB599" s="27"/>
      <c r="AC599" s="27"/>
    </row>
    <row r="600" spans="1:29">
      <c r="A600" s="358"/>
      <c r="B600" s="359"/>
      <c r="C600" s="360"/>
      <c r="D600" s="27"/>
      <c r="E600" s="27"/>
      <c r="F600" s="27"/>
      <c r="G600" s="27"/>
      <c r="H600" s="27"/>
      <c r="I600" s="27"/>
      <c r="J600" s="27"/>
      <c r="K600" s="27"/>
      <c r="L600" s="27"/>
      <c r="M600" s="27"/>
      <c r="N600" s="27"/>
      <c r="O600" s="27"/>
      <c r="P600" s="27"/>
      <c r="Q600" s="27"/>
      <c r="R600" s="27"/>
      <c r="S600" s="27"/>
      <c r="T600" s="27"/>
      <c r="U600" s="27"/>
      <c r="V600" s="27"/>
      <c r="W600" s="27"/>
      <c r="X600" s="27"/>
      <c r="Y600" s="27"/>
      <c r="Z600" s="27"/>
      <c r="AA600" s="27"/>
      <c r="AB600" s="27"/>
      <c r="AC600" s="27"/>
    </row>
    <row r="601" spans="1:29">
      <c r="A601" s="358"/>
      <c r="B601" s="359"/>
      <c r="C601" s="360"/>
      <c r="D601" s="27"/>
      <c r="E601" s="27"/>
      <c r="F601" s="27"/>
      <c r="G601" s="27"/>
      <c r="H601" s="27"/>
      <c r="I601" s="27"/>
      <c r="J601" s="27"/>
      <c r="K601" s="27"/>
      <c r="L601" s="27"/>
      <c r="M601" s="27"/>
      <c r="N601" s="27"/>
      <c r="O601" s="27"/>
      <c r="P601" s="27"/>
      <c r="Q601" s="27"/>
      <c r="R601" s="27"/>
      <c r="S601" s="27"/>
      <c r="T601" s="27"/>
      <c r="U601" s="27"/>
      <c r="V601" s="27"/>
      <c r="W601" s="27"/>
      <c r="X601" s="27"/>
      <c r="Y601" s="27"/>
      <c r="Z601" s="27"/>
      <c r="AA601" s="27"/>
      <c r="AB601" s="27"/>
      <c r="AC601" s="27"/>
    </row>
    <row r="602" spans="1:29">
      <c r="A602" s="358"/>
      <c r="B602" s="359"/>
      <c r="C602" s="360"/>
      <c r="D602" s="27"/>
      <c r="E602" s="27"/>
      <c r="F602" s="27"/>
      <c r="G602" s="27"/>
      <c r="H602" s="27"/>
      <c r="I602" s="27"/>
      <c r="J602" s="27"/>
      <c r="K602" s="27"/>
      <c r="L602" s="27"/>
      <c r="M602" s="27"/>
      <c r="N602" s="27"/>
      <c r="O602" s="27"/>
      <c r="P602" s="27"/>
      <c r="Q602" s="27"/>
      <c r="R602" s="27"/>
      <c r="S602" s="27"/>
      <c r="T602" s="27"/>
      <c r="U602" s="27"/>
      <c r="V602" s="27"/>
      <c r="W602" s="27"/>
      <c r="X602" s="27"/>
      <c r="Y602" s="27"/>
      <c r="Z602" s="27"/>
      <c r="AA602" s="27"/>
      <c r="AB602" s="27"/>
      <c r="AC602" s="27"/>
    </row>
    <row r="603" spans="1:29">
      <c r="A603" s="358"/>
      <c r="B603" s="359"/>
      <c r="C603" s="360"/>
      <c r="D603" s="27"/>
      <c r="E603" s="27"/>
      <c r="F603" s="27"/>
      <c r="G603" s="27"/>
      <c r="H603" s="27"/>
      <c r="I603" s="27"/>
      <c r="J603" s="27"/>
      <c r="K603" s="27"/>
      <c r="L603" s="27"/>
      <c r="M603" s="27"/>
      <c r="N603" s="27"/>
      <c r="O603" s="27"/>
      <c r="P603" s="27"/>
      <c r="Q603" s="27"/>
      <c r="R603" s="27"/>
      <c r="S603" s="27"/>
      <c r="T603" s="27"/>
      <c r="U603" s="27"/>
      <c r="V603" s="27"/>
      <c r="W603" s="27"/>
      <c r="X603" s="27"/>
      <c r="Y603" s="27"/>
      <c r="Z603" s="27"/>
      <c r="AA603" s="27"/>
      <c r="AB603" s="27"/>
      <c r="AC603" s="27"/>
    </row>
    <row r="604" spans="1:29">
      <c r="A604" s="358"/>
      <c r="B604" s="359"/>
      <c r="C604" s="360"/>
      <c r="D604" s="27"/>
      <c r="E604" s="27"/>
      <c r="F604" s="27"/>
      <c r="G604" s="27"/>
      <c r="H604" s="27"/>
      <c r="I604" s="27"/>
      <c r="J604" s="27"/>
      <c r="K604" s="27"/>
      <c r="L604" s="27"/>
      <c r="M604" s="27"/>
      <c r="N604" s="27"/>
      <c r="O604" s="27"/>
      <c r="P604" s="27"/>
      <c r="Q604" s="27"/>
      <c r="R604" s="27"/>
      <c r="S604" s="27"/>
      <c r="T604" s="27"/>
      <c r="U604" s="27"/>
      <c r="V604" s="27"/>
      <c r="W604" s="27"/>
      <c r="X604" s="27"/>
      <c r="Y604" s="27"/>
      <c r="Z604" s="27"/>
      <c r="AA604" s="27"/>
      <c r="AB604" s="27"/>
      <c r="AC604" s="27"/>
    </row>
    <row r="605" spans="1:29">
      <c r="A605" s="358"/>
      <c r="B605" s="359"/>
      <c r="C605" s="360"/>
      <c r="D605" s="27"/>
      <c r="E605" s="27"/>
      <c r="F605" s="27"/>
      <c r="G605" s="27"/>
      <c r="H605" s="27"/>
      <c r="I605" s="27"/>
      <c r="J605" s="27"/>
      <c r="K605" s="27"/>
      <c r="L605" s="27"/>
      <c r="M605" s="27"/>
      <c r="N605" s="27"/>
      <c r="O605" s="27"/>
      <c r="P605" s="27"/>
      <c r="Q605" s="27"/>
      <c r="R605" s="27"/>
      <c r="S605" s="27"/>
      <c r="T605" s="27"/>
      <c r="U605" s="27"/>
      <c r="V605" s="27"/>
      <c r="W605" s="27"/>
      <c r="X605" s="27"/>
      <c r="Y605" s="27"/>
      <c r="Z605" s="27"/>
      <c r="AA605" s="27"/>
      <c r="AB605" s="27"/>
      <c r="AC605" s="27"/>
    </row>
    <row r="606" spans="1:29">
      <c r="A606" s="358"/>
      <c r="B606" s="359"/>
      <c r="C606" s="360"/>
      <c r="D606" s="27"/>
      <c r="E606" s="27"/>
      <c r="F606" s="27"/>
      <c r="G606" s="27"/>
      <c r="H606" s="27"/>
      <c r="I606" s="27"/>
      <c r="J606" s="27"/>
      <c r="K606" s="27"/>
      <c r="L606" s="27"/>
      <c r="M606" s="27"/>
      <c r="N606" s="27"/>
      <c r="O606" s="27"/>
      <c r="P606" s="27"/>
      <c r="Q606" s="27"/>
      <c r="R606" s="27"/>
      <c r="S606" s="27"/>
      <c r="T606" s="27"/>
      <c r="U606" s="27"/>
      <c r="V606" s="27"/>
      <c r="W606" s="27"/>
      <c r="X606" s="27"/>
      <c r="Y606" s="27"/>
      <c r="Z606" s="27"/>
      <c r="AA606" s="27"/>
      <c r="AB606" s="27"/>
      <c r="AC606" s="27"/>
    </row>
    <row r="607" spans="1:29">
      <c r="A607" s="358"/>
      <c r="B607" s="359"/>
      <c r="C607" s="360"/>
      <c r="D607" s="27"/>
      <c r="E607" s="27"/>
      <c r="F607" s="27"/>
      <c r="G607" s="27"/>
      <c r="H607" s="27"/>
      <c r="I607" s="27"/>
      <c r="J607" s="27"/>
      <c r="K607" s="27"/>
      <c r="L607" s="27"/>
      <c r="M607" s="27"/>
      <c r="N607" s="27"/>
      <c r="O607" s="27"/>
      <c r="P607" s="27"/>
      <c r="Q607" s="27"/>
      <c r="R607" s="27"/>
      <c r="S607" s="27"/>
      <c r="T607" s="27"/>
      <c r="U607" s="27"/>
      <c r="V607" s="27"/>
      <c r="W607" s="27"/>
      <c r="X607" s="27"/>
      <c r="Y607" s="27"/>
      <c r="Z607" s="27"/>
      <c r="AA607" s="27"/>
      <c r="AB607" s="27"/>
      <c r="AC607" s="27"/>
    </row>
    <row r="608" spans="1:29">
      <c r="A608" s="358"/>
      <c r="B608" s="359"/>
      <c r="C608" s="360"/>
      <c r="D608" s="27"/>
      <c r="E608" s="27"/>
      <c r="F608" s="27"/>
      <c r="G608" s="27"/>
      <c r="H608" s="27"/>
      <c r="I608" s="27"/>
      <c r="J608" s="27"/>
      <c r="K608" s="27"/>
      <c r="L608" s="27"/>
      <c r="M608" s="27"/>
      <c r="N608" s="27"/>
      <c r="O608" s="27"/>
      <c r="P608" s="27"/>
      <c r="Q608" s="27"/>
      <c r="R608" s="27"/>
      <c r="S608" s="27"/>
      <c r="T608" s="27"/>
      <c r="U608" s="27"/>
      <c r="V608" s="27"/>
      <c r="W608" s="27"/>
      <c r="X608" s="27"/>
      <c r="Y608" s="27"/>
      <c r="Z608" s="27"/>
      <c r="AA608" s="27"/>
      <c r="AB608" s="27"/>
      <c r="AC608" s="27"/>
    </row>
    <row r="609" spans="1:29">
      <c r="A609" s="358"/>
      <c r="B609" s="359"/>
      <c r="C609" s="360"/>
      <c r="D609" s="27"/>
      <c r="E609" s="27"/>
      <c r="F609" s="27"/>
      <c r="G609" s="27"/>
      <c r="H609" s="27"/>
      <c r="I609" s="27"/>
      <c r="J609" s="27"/>
      <c r="K609" s="27"/>
      <c r="L609" s="27"/>
      <c r="M609" s="27"/>
      <c r="N609" s="27"/>
      <c r="O609" s="27"/>
      <c r="P609" s="27"/>
      <c r="Q609" s="27"/>
      <c r="R609" s="27"/>
      <c r="S609" s="27"/>
      <c r="T609" s="27"/>
      <c r="U609" s="27"/>
      <c r="V609" s="27"/>
      <c r="W609" s="27"/>
      <c r="X609" s="27"/>
      <c r="Y609" s="27"/>
      <c r="Z609" s="27"/>
      <c r="AA609" s="27"/>
      <c r="AB609" s="27"/>
      <c r="AC609" s="27"/>
    </row>
    <row r="610" spans="1:29">
      <c r="A610" s="358"/>
      <c r="B610" s="359"/>
      <c r="C610" s="360"/>
      <c r="D610" s="27"/>
      <c r="E610" s="27"/>
      <c r="F610" s="27"/>
      <c r="G610" s="27"/>
      <c r="H610" s="27"/>
      <c r="I610" s="27"/>
      <c r="J610" s="27"/>
      <c r="K610" s="27"/>
      <c r="L610" s="27"/>
      <c r="M610" s="27"/>
      <c r="N610" s="27"/>
      <c r="O610" s="27"/>
      <c r="P610" s="27"/>
      <c r="Q610" s="27"/>
      <c r="R610" s="27"/>
      <c r="S610" s="27"/>
      <c r="T610" s="27"/>
      <c r="U610" s="27"/>
      <c r="V610" s="27"/>
      <c r="W610" s="27"/>
      <c r="X610" s="27"/>
      <c r="Y610" s="27"/>
      <c r="Z610" s="27"/>
      <c r="AA610" s="27"/>
      <c r="AB610" s="27"/>
      <c r="AC610" s="27"/>
    </row>
    <row r="611" spans="1:29">
      <c r="A611" s="358"/>
      <c r="B611" s="359"/>
      <c r="C611" s="360"/>
      <c r="D611" s="27"/>
      <c r="E611" s="27"/>
      <c r="F611" s="27"/>
      <c r="G611" s="27"/>
      <c r="H611" s="27"/>
      <c r="I611" s="27"/>
      <c r="J611" s="27"/>
      <c r="K611" s="27"/>
      <c r="L611" s="27"/>
      <c r="M611" s="27"/>
      <c r="N611" s="27"/>
      <c r="O611" s="27"/>
      <c r="P611" s="27"/>
      <c r="Q611" s="27"/>
      <c r="R611" s="27"/>
      <c r="S611" s="27"/>
      <c r="T611" s="27"/>
      <c r="U611" s="27"/>
      <c r="V611" s="27"/>
      <c r="W611" s="27"/>
      <c r="X611" s="27"/>
      <c r="Y611" s="27"/>
      <c r="Z611" s="27"/>
      <c r="AA611" s="27"/>
      <c r="AB611" s="27"/>
      <c r="AC611" s="27"/>
    </row>
    <row r="612" spans="1:29">
      <c r="A612" s="358"/>
      <c r="B612" s="359"/>
      <c r="C612" s="360"/>
      <c r="D612" s="27"/>
      <c r="E612" s="27"/>
      <c r="F612" s="27"/>
      <c r="G612" s="27"/>
      <c r="H612" s="27"/>
      <c r="I612" s="27"/>
      <c r="J612" s="27"/>
      <c r="K612" s="27"/>
      <c r="L612" s="27"/>
      <c r="M612" s="27"/>
      <c r="N612" s="27"/>
      <c r="O612" s="27"/>
      <c r="P612" s="27"/>
      <c r="Q612" s="27"/>
      <c r="R612" s="27"/>
      <c r="S612" s="27"/>
      <c r="T612" s="27"/>
      <c r="U612" s="27"/>
      <c r="V612" s="27"/>
      <c r="W612" s="27"/>
      <c r="X612" s="27"/>
      <c r="Y612" s="27"/>
      <c r="Z612" s="27"/>
      <c r="AA612" s="27"/>
      <c r="AB612" s="27"/>
      <c r="AC612" s="27"/>
    </row>
    <row r="613" spans="1:29">
      <c r="A613" s="358"/>
      <c r="B613" s="359"/>
      <c r="C613" s="360"/>
      <c r="D613" s="27"/>
      <c r="E613" s="27"/>
      <c r="F613" s="27"/>
      <c r="G613" s="27"/>
      <c r="H613" s="27"/>
      <c r="I613" s="27"/>
      <c r="J613" s="27"/>
      <c r="K613" s="27"/>
      <c r="L613" s="27"/>
      <c r="M613" s="27"/>
      <c r="N613" s="27"/>
      <c r="O613" s="27"/>
      <c r="P613" s="27"/>
      <c r="Q613" s="27"/>
      <c r="R613" s="27"/>
      <c r="S613" s="27"/>
      <c r="T613" s="27"/>
      <c r="U613" s="27"/>
      <c r="V613" s="27"/>
      <c r="W613" s="27"/>
      <c r="X613" s="27"/>
      <c r="Y613" s="27"/>
      <c r="Z613" s="27"/>
      <c r="AA613" s="27"/>
      <c r="AB613" s="27"/>
      <c r="AC613" s="27"/>
    </row>
    <row r="614" spans="1:29">
      <c r="A614" s="358"/>
      <c r="B614" s="359"/>
      <c r="C614" s="360"/>
      <c r="D614" s="27"/>
      <c r="E614" s="27"/>
      <c r="F614" s="27"/>
      <c r="G614" s="27"/>
      <c r="H614" s="27"/>
      <c r="I614" s="27"/>
      <c r="J614" s="27"/>
      <c r="K614" s="27"/>
      <c r="L614" s="27"/>
      <c r="M614" s="27"/>
      <c r="N614" s="27"/>
      <c r="O614" s="27"/>
      <c r="P614" s="27"/>
      <c r="Q614" s="27"/>
      <c r="R614" s="27"/>
      <c r="S614" s="27"/>
      <c r="T614" s="27"/>
      <c r="U614" s="27"/>
      <c r="V614" s="27"/>
      <c r="W614" s="27"/>
      <c r="X614" s="27"/>
      <c r="Y614" s="27"/>
      <c r="Z614" s="27"/>
      <c r="AA614" s="27"/>
      <c r="AB614" s="27"/>
      <c r="AC614" s="27"/>
    </row>
    <row r="615" spans="1:29">
      <c r="A615" s="358"/>
      <c r="B615" s="359"/>
      <c r="C615" s="360"/>
      <c r="D615" s="27"/>
      <c r="E615" s="27"/>
      <c r="F615" s="27"/>
      <c r="G615" s="27"/>
      <c r="H615" s="27"/>
      <c r="I615" s="27"/>
      <c r="J615" s="27"/>
      <c r="K615" s="27"/>
      <c r="L615" s="27"/>
      <c r="M615" s="27"/>
      <c r="N615" s="27"/>
      <c r="O615" s="27"/>
      <c r="P615" s="27"/>
      <c r="Q615" s="27"/>
      <c r="R615" s="27"/>
      <c r="S615" s="27"/>
      <c r="T615" s="27"/>
      <c r="U615" s="27"/>
      <c r="V615" s="27"/>
      <c r="W615" s="27"/>
      <c r="X615" s="27"/>
      <c r="Y615" s="27"/>
      <c r="Z615" s="27"/>
      <c r="AA615" s="27"/>
      <c r="AB615" s="27"/>
      <c r="AC615" s="27"/>
    </row>
    <row r="616" spans="1:29">
      <c r="A616" s="358"/>
      <c r="B616" s="359"/>
      <c r="C616" s="360"/>
      <c r="D616" s="27"/>
      <c r="E616" s="27"/>
      <c r="F616" s="27"/>
      <c r="G616" s="27"/>
      <c r="H616" s="27"/>
      <c r="I616" s="27"/>
      <c r="J616" s="27"/>
      <c r="K616" s="27"/>
      <c r="L616" s="27"/>
      <c r="M616" s="27"/>
      <c r="N616" s="27"/>
      <c r="O616" s="27"/>
      <c r="P616" s="27"/>
      <c r="Q616" s="27"/>
      <c r="R616" s="27"/>
      <c r="S616" s="27"/>
      <c r="T616" s="27"/>
      <c r="U616" s="27"/>
      <c r="V616" s="27"/>
      <c r="W616" s="27"/>
      <c r="X616" s="27"/>
      <c r="Y616" s="27"/>
      <c r="Z616" s="27"/>
      <c r="AA616" s="27"/>
      <c r="AB616" s="27"/>
      <c r="AC616" s="27"/>
    </row>
    <row r="617" spans="1:29">
      <c r="A617" s="358"/>
      <c r="B617" s="359"/>
      <c r="C617" s="360"/>
      <c r="D617" s="27"/>
      <c r="E617" s="27"/>
      <c r="F617" s="27"/>
      <c r="G617" s="27"/>
      <c r="H617" s="27"/>
      <c r="I617" s="27"/>
      <c r="J617" s="27"/>
      <c r="K617" s="27"/>
      <c r="L617" s="27"/>
      <c r="M617" s="27"/>
      <c r="N617" s="27"/>
      <c r="O617" s="27"/>
      <c r="P617" s="27"/>
      <c r="Q617" s="27"/>
      <c r="R617" s="27"/>
      <c r="S617" s="27"/>
      <c r="T617" s="27"/>
      <c r="U617" s="27"/>
      <c r="V617" s="27"/>
      <c r="W617" s="27"/>
      <c r="X617" s="27"/>
      <c r="Y617" s="27"/>
      <c r="Z617" s="27"/>
      <c r="AA617" s="27"/>
      <c r="AB617" s="27"/>
      <c r="AC617" s="27"/>
    </row>
    <row r="618" spans="1:29">
      <c r="A618" s="358"/>
      <c r="B618" s="359"/>
      <c r="C618" s="360"/>
      <c r="D618" s="27"/>
      <c r="E618" s="27"/>
      <c r="F618" s="27"/>
      <c r="G618" s="27"/>
      <c r="H618" s="27"/>
      <c r="I618" s="27"/>
      <c r="J618" s="27"/>
      <c r="K618" s="27"/>
      <c r="L618" s="27"/>
      <c r="M618" s="27"/>
      <c r="N618" s="27"/>
      <c r="O618" s="27"/>
      <c r="P618" s="27"/>
      <c r="Q618" s="27"/>
      <c r="R618" s="27"/>
      <c r="S618" s="27"/>
      <c r="T618" s="27"/>
      <c r="U618" s="27"/>
      <c r="V618" s="27"/>
      <c r="W618" s="27"/>
      <c r="X618" s="27"/>
      <c r="Y618" s="27"/>
      <c r="Z618" s="27"/>
      <c r="AA618" s="27"/>
      <c r="AB618" s="27"/>
      <c r="AC618" s="27"/>
    </row>
    <row r="619" spans="1:29">
      <c r="A619" s="358"/>
      <c r="B619" s="359"/>
      <c r="C619" s="360"/>
      <c r="D619" s="27"/>
      <c r="E619" s="27"/>
      <c r="F619" s="27"/>
      <c r="G619" s="27"/>
      <c r="H619" s="27"/>
      <c r="I619" s="27"/>
      <c r="J619" s="27"/>
      <c r="K619" s="27"/>
      <c r="L619" s="27"/>
      <c r="M619" s="27"/>
      <c r="N619" s="27"/>
      <c r="O619" s="27"/>
      <c r="P619" s="27"/>
      <c r="Q619" s="27"/>
      <c r="R619" s="27"/>
      <c r="S619" s="27"/>
      <c r="T619" s="27"/>
      <c r="U619" s="27"/>
      <c r="V619" s="27"/>
      <c r="W619" s="27"/>
      <c r="X619" s="27"/>
      <c r="Y619" s="27"/>
      <c r="Z619" s="27"/>
      <c r="AA619" s="27"/>
      <c r="AB619" s="27"/>
      <c r="AC619" s="27"/>
    </row>
    <row r="620" spans="1:29">
      <c r="A620" s="358"/>
      <c r="B620" s="359"/>
      <c r="C620" s="360"/>
      <c r="D620" s="27"/>
      <c r="E620" s="27"/>
      <c r="F620" s="27"/>
      <c r="G620" s="27"/>
      <c r="H620" s="27"/>
      <c r="I620" s="27"/>
      <c r="J620" s="27"/>
      <c r="K620" s="27"/>
      <c r="L620" s="27"/>
      <c r="M620" s="27"/>
      <c r="N620" s="27"/>
      <c r="O620" s="27"/>
      <c r="P620" s="27"/>
      <c r="Q620" s="27"/>
      <c r="R620" s="27"/>
      <c r="S620" s="27"/>
      <c r="T620" s="27"/>
      <c r="U620" s="27"/>
      <c r="V620" s="27"/>
      <c r="W620" s="27"/>
      <c r="X620" s="27"/>
      <c r="Y620" s="27"/>
      <c r="Z620" s="27"/>
      <c r="AA620" s="27"/>
      <c r="AB620" s="27"/>
      <c r="AC620" s="27"/>
    </row>
    <row r="621" spans="1:29">
      <c r="A621" s="358"/>
      <c r="B621" s="359"/>
      <c r="C621" s="360"/>
      <c r="D621" s="27"/>
      <c r="E621" s="27"/>
      <c r="F621" s="27"/>
      <c r="G621" s="27"/>
      <c r="H621" s="27"/>
      <c r="I621" s="27"/>
      <c r="J621" s="27"/>
      <c r="K621" s="27"/>
      <c r="L621" s="27"/>
      <c r="M621" s="27"/>
      <c r="N621" s="27"/>
      <c r="O621" s="27"/>
      <c r="P621" s="27"/>
      <c r="Q621" s="27"/>
      <c r="R621" s="27"/>
      <c r="S621" s="27"/>
      <c r="T621" s="27"/>
      <c r="U621" s="27"/>
      <c r="V621" s="27"/>
      <c r="W621" s="27"/>
      <c r="X621" s="27"/>
      <c r="Y621" s="27"/>
      <c r="Z621" s="27"/>
      <c r="AA621" s="27"/>
      <c r="AB621" s="27"/>
      <c r="AC621" s="27"/>
    </row>
    <row r="622" spans="1:29">
      <c r="A622" s="358"/>
      <c r="B622" s="359"/>
      <c r="C622" s="360"/>
      <c r="D622" s="27"/>
      <c r="E622" s="27"/>
      <c r="F622" s="27"/>
      <c r="G622" s="27"/>
      <c r="H622" s="27"/>
      <c r="I622" s="27"/>
      <c r="J622" s="27"/>
      <c r="K622" s="27"/>
      <c r="L622" s="27"/>
      <c r="M622" s="27"/>
      <c r="N622" s="27"/>
      <c r="O622" s="27"/>
      <c r="P622" s="27"/>
      <c r="Q622" s="27"/>
      <c r="R622" s="27"/>
      <c r="S622" s="27"/>
      <c r="T622" s="27"/>
      <c r="U622" s="27"/>
      <c r="V622" s="27"/>
      <c r="W622" s="27"/>
      <c r="X622" s="27"/>
      <c r="Y622" s="27"/>
      <c r="Z622" s="27"/>
      <c r="AA622" s="27"/>
      <c r="AB622" s="27"/>
      <c r="AC622" s="27"/>
    </row>
    <row r="623" spans="1:29">
      <c r="A623" s="358"/>
      <c r="B623" s="359"/>
      <c r="C623" s="360"/>
      <c r="D623" s="27"/>
      <c r="E623" s="27"/>
      <c r="F623" s="27"/>
      <c r="G623" s="27"/>
      <c r="H623" s="27"/>
      <c r="I623" s="27"/>
      <c r="J623" s="27"/>
      <c r="K623" s="27"/>
      <c r="L623" s="27"/>
      <c r="M623" s="27"/>
      <c r="N623" s="27"/>
      <c r="O623" s="27"/>
      <c r="P623" s="27"/>
      <c r="Q623" s="27"/>
      <c r="R623" s="27"/>
      <c r="S623" s="27"/>
      <c r="T623" s="27"/>
      <c r="U623" s="27"/>
      <c r="V623" s="27"/>
      <c r="W623" s="27"/>
      <c r="X623" s="27"/>
      <c r="Y623" s="27"/>
      <c r="Z623" s="27"/>
      <c r="AA623" s="27"/>
      <c r="AB623" s="27"/>
      <c r="AC623" s="27"/>
    </row>
    <row r="624" spans="1:29">
      <c r="A624" s="358"/>
      <c r="B624" s="359"/>
      <c r="C624" s="360"/>
      <c r="D624" s="27"/>
      <c r="E624" s="27"/>
      <c r="F624" s="27"/>
      <c r="G624" s="27"/>
      <c r="H624" s="27"/>
      <c r="I624" s="27"/>
      <c r="J624" s="27"/>
      <c r="K624" s="27"/>
      <c r="L624" s="27"/>
      <c r="M624" s="27"/>
      <c r="N624" s="27"/>
      <c r="O624" s="27"/>
      <c r="P624" s="27"/>
      <c r="Q624" s="27"/>
      <c r="R624" s="27"/>
      <c r="S624" s="27"/>
      <c r="T624" s="27"/>
      <c r="U624" s="27"/>
      <c r="V624" s="27"/>
      <c r="W624" s="27"/>
      <c r="X624" s="27"/>
      <c r="Y624" s="27"/>
      <c r="Z624" s="27"/>
      <c r="AA624" s="27"/>
      <c r="AB624" s="27"/>
      <c r="AC624" s="27"/>
    </row>
    <row r="625" spans="1:29">
      <c r="A625" s="358"/>
      <c r="B625" s="359"/>
      <c r="C625" s="360"/>
      <c r="D625" s="27"/>
      <c r="E625" s="27"/>
      <c r="F625" s="27"/>
      <c r="G625" s="27"/>
      <c r="H625" s="27"/>
      <c r="I625" s="27"/>
      <c r="J625" s="27"/>
      <c r="K625" s="27"/>
      <c r="L625" s="27"/>
      <c r="M625" s="27"/>
      <c r="N625" s="27"/>
      <c r="O625" s="27"/>
      <c r="P625" s="27"/>
      <c r="Q625" s="27"/>
      <c r="R625" s="27"/>
      <c r="S625" s="27"/>
      <c r="T625" s="27"/>
      <c r="U625" s="27"/>
      <c r="V625" s="27"/>
      <c r="W625" s="27"/>
      <c r="X625" s="27"/>
      <c r="Y625" s="27"/>
      <c r="Z625" s="27"/>
      <c r="AA625" s="27"/>
      <c r="AB625" s="27"/>
      <c r="AC625" s="27"/>
    </row>
    <row r="626" spans="1:29">
      <c r="A626" s="358"/>
      <c r="B626" s="359"/>
      <c r="C626" s="360"/>
      <c r="D626" s="27"/>
      <c r="E626" s="27"/>
      <c r="F626" s="27"/>
      <c r="G626" s="27"/>
      <c r="H626" s="27"/>
      <c r="I626" s="27"/>
      <c r="J626" s="27"/>
      <c r="K626" s="27"/>
      <c r="L626" s="27"/>
      <c r="M626" s="27"/>
      <c r="N626" s="27"/>
      <c r="O626" s="27"/>
      <c r="P626" s="27"/>
      <c r="Q626" s="27"/>
      <c r="R626" s="27"/>
      <c r="S626" s="27"/>
      <c r="T626" s="27"/>
      <c r="U626" s="27"/>
      <c r="V626" s="27"/>
      <c r="W626" s="27"/>
      <c r="X626" s="27"/>
      <c r="Y626" s="27"/>
      <c r="Z626" s="27"/>
      <c r="AA626" s="27"/>
      <c r="AB626" s="27"/>
      <c r="AC626" s="27"/>
    </row>
    <row r="627" spans="1:29">
      <c r="A627" s="358"/>
      <c r="B627" s="359"/>
      <c r="C627" s="360"/>
      <c r="D627" s="27"/>
      <c r="E627" s="27"/>
      <c r="F627" s="27"/>
      <c r="G627" s="27"/>
      <c r="H627" s="27"/>
      <c r="I627" s="27"/>
      <c r="J627" s="27"/>
      <c r="K627" s="27"/>
      <c r="L627" s="27"/>
      <c r="M627" s="27"/>
      <c r="N627" s="27"/>
      <c r="O627" s="27"/>
      <c r="P627" s="27"/>
      <c r="Q627" s="27"/>
      <c r="R627" s="27"/>
      <c r="S627" s="27"/>
      <c r="T627" s="27"/>
      <c r="U627" s="27"/>
      <c r="V627" s="27"/>
      <c r="W627" s="27"/>
      <c r="X627" s="27"/>
      <c r="Y627" s="27"/>
      <c r="Z627" s="27"/>
      <c r="AA627" s="27"/>
      <c r="AB627" s="27"/>
      <c r="AC627" s="27"/>
    </row>
    <row r="628" spans="1:29">
      <c r="A628" s="358"/>
      <c r="B628" s="359"/>
      <c r="C628" s="360"/>
      <c r="D628" s="27"/>
      <c r="E628" s="27"/>
      <c r="F628" s="27"/>
      <c r="G628" s="27"/>
      <c r="H628" s="27"/>
      <c r="I628" s="27"/>
      <c r="J628" s="27"/>
      <c r="K628" s="27"/>
      <c r="L628" s="27"/>
      <c r="M628" s="27"/>
      <c r="N628" s="27"/>
      <c r="O628" s="27"/>
      <c r="P628" s="27"/>
      <c r="Q628" s="27"/>
      <c r="R628" s="27"/>
      <c r="S628" s="27"/>
      <c r="T628" s="27"/>
      <c r="U628" s="27"/>
      <c r="V628" s="27"/>
      <c r="W628" s="27"/>
      <c r="X628" s="27"/>
      <c r="Y628" s="27"/>
      <c r="Z628" s="27"/>
      <c r="AA628" s="27"/>
      <c r="AB628" s="27"/>
      <c r="AC628" s="27"/>
    </row>
    <row r="629" spans="1:29">
      <c r="A629" s="358"/>
      <c r="B629" s="359"/>
      <c r="C629" s="360"/>
      <c r="D629" s="27"/>
      <c r="E629" s="27"/>
      <c r="F629" s="27"/>
      <c r="G629" s="27"/>
      <c r="H629" s="27"/>
      <c r="I629" s="27"/>
      <c r="J629" s="27"/>
      <c r="K629" s="27"/>
      <c r="L629" s="27"/>
      <c r="M629" s="27"/>
      <c r="N629" s="27"/>
      <c r="O629" s="27"/>
      <c r="P629" s="27"/>
      <c r="Q629" s="27"/>
      <c r="R629" s="27"/>
      <c r="S629" s="27"/>
      <c r="T629" s="27"/>
      <c r="U629" s="27"/>
      <c r="V629" s="27"/>
      <c r="W629" s="27"/>
      <c r="X629" s="27"/>
      <c r="Y629" s="27"/>
      <c r="Z629" s="27"/>
      <c r="AA629" s="27"/>
      <c r="AB629" s="27"/>
      <c r="AC629" s="27"/>
    </row>
    <row r="630" spans="1:29">
      <c r="A630" s="358"/>
      <c r="B630" s="359"/>
      <c r="C630" s="360"/>
      <c r="D630" s="27"/>
      <c r="E630" s="27"/>
      <c r="F630" s="27"/>
      <c r="G630" s="27"/>
      <c r="H630" s="27"/>
      <c r="I630" s="27"/>
      <c r="J630" s="27"/>
      <c r="K630" s="27"/>
      <c r="L630" s="27"/>
      <c r="M630" s="27"/>
      <c r="N630" s="27"/>
      <c r="O630" s="27"/>
      <c r="P630" s="27"/>
      <c r="Q630" s="27"/>
      <c r="R630" s="27"/>
      <c r="S630" s="27"/>
      <c r="T630" s="27"/>
      <c r="U630" s="27"/>
      <c r="V630" s="27"/>
      <c r="W630" s="27"/>
      <c r="X630" s="27"/>
      <c r="Y630" s="27"/>
      <c r="Z630" s="27"/>
      <c r="AA630" s="27"/>
      <c r="AB630" s="27"/>
      <c r="AC630" s="27"/>
    </row>
    <row r="631" spans="1:29">
      <c r="A631" s="358"/>
      <c r="B631" s="359"/>
      <c r="C631" s="360"/>
      <c r="D631" s="27"/>
      <c r="E631" s="27"/>
      <c r="F631" s="27"/>
      <c r="G631" s="27"/>
      <c r="H631" s="27"/>
      <c r="I631" s="27"/>
      <c r="J631" s="27"/>
      <c r="K631" s="27"/>
      <c r="L631" s="27"/>
      <c r="M631" s="27"/>
      <c r="N631" s="27"/>
      <c r="O631" s="27"/>
      <c r="P631" s="27"/>
      <c r="Q631" s="27"/>
      <c r="R631" s="27"/>
      <c r="S631" s="27"/>
      <c r="T631" s="27"/>
      <c r="U631" s="27"/>
      <c r="V631" s="27"/>
      <c r="W631" s="27"/>
      <c r="X631" s="27"/>
      <c r="Y631" s="27"/>
      <c r="Z631" s="27"/>
      <c r="AA631" s="27"/>
      <c r="AB631" s="27"/>
      <c r="AC631" s="27"/>
    </row>
    <row r="632" spans="1:29">
      <c r="A632" s="358"/>
      <c r="B632" s="359"/>
      <c r="C632" s="360"/>
      <c r="D632" s="27"/>
      <c r="E632" s="27"/>
      <c r="F632" s="27"/>
      <c r="G632" s="27"/>
      <c r="H632" s="27"/>
      <c r="I632" s="27"/>
      <c r="J632" s="27"/>
      <c r="K632" s="27"/>
      <c r="L632" s="27"/>
      <c r="M632" s="27"/>
      <c r="N632" s="27"/>
      <c r="O632" s="27"/>
      <c r="P632" s="27"/>
      <c r="Q632" s="27"/>
      <c r="R632" s="27"/>
      <c r="S632" s="27"/>
      <c r="T632" s="27"/>
      <c r="U632" s="27"/>
      <c r="V632" s="27"/>
      <c r="W632" s="27"/>
      <c r="X632" s="27"/>
      <c r="Y632" s="27"/>
      <c r="Z632" s="27"/>
      <c r="AA632" s="27"/>
      <c r="AB632" s="27"/>
      <c r="AC632" s="27"/>
    </row>
    <row r="633" spans="1:29">
      <c r="A633" s="358"/>
      <c r="B633" s="359"/>
      <c r="C633" s="360"/>
      <c r="D633" s="27"/>
      <c r="E633" s="27"/>
      <c r="F633" s="27"/>
      <c r="G633" s="27"/>
      <c r="H633" s="27"/>
      <c r="I633" s="27"/>
      <c r="J633" s="27"/>
      <c r="K633" s="27"/>
      <c r="L633" s="27"/>
      <c r="M633" s="27"/>
      <c r="N633" s="27"/>
      <c r="O633" s="27"/>
      <c r="P633" s="27"/>
      <c r="Q633" s="27"/>
      <c r="R633" s="27"/>
      <c r="S633" s="27"/>
      <c r="T633" s="27"/>
      <c r="U633" s="27"/>
      <c r="V633" s="27"/>
      <c r="W633" s="27"/>
      <c r="X633" s="27"/>
      <c r="Y633" s="27"/>
      <c r="Z633" s="27"/>
      <c r="AA633" s="27"/>
      <c r="AB633" s="27"/>
      <c r="AC633" s="27"/>
    </row>
    <row r="634" spans="1:29">
      <c r="A634" s="358"/>
      <c r="B634" s="359"/>
      <c r="C634" s="360"/>
      <c r="D634" s="27"/>
      <c r="E634" s="27"/>
      <c r="F634" s="27"/>
      <c r="G634" s="27"/>
      <c r="H634" s="27"/>
      <c r="I634" s="27"/>
      <c r="J634" s="27"/>
      <c r="K634" s="27"/>
      <c r="L634" s="27"/>
      <c r="M634" s="27"/>
      <c r="N634" s="27"/>
      <c r="O634" s="27"/>
      <c r="P634" s="27"/>
      <c r="Q634" s="27"/>
      <c r="R634" s="27"/>
      <c r="S634" s="27"/>
      <c r="T634" s="27"/>
      <c r="U634" s="27"/>
      <c r="V634" s="27"/>
      <c r="W634" s="27"/>
      <c r="X634" s="27"/>
      <c r="Y634" s="27"/>
      <c r="Z634" s="27"/>
      <c r="AA634" s="27"/>
      <c r="AB634" s="27"/>
      <c r="AC634" s="27"/>
    </row>
    <row r="635" spans="1:29">
      <c r="A635" s="358"/>
      <c r="B635" s="359"/>
      <c r="C635" s="360"/>
      <c r="D635" s="27"/>
      <c r="E635" s="27"/>
      <c r="F635" s="27"/>
      <c r="G635" s="27"/>
      <c r="H635" s="27"/>
      <c r="I635" s="27"/>
      <c r="J635" s="27"/>
      <c r="K635" s="27"/>
      <c r="L635" s="27"/>
      <c r="M635" s="27"/>
      <c r="N635" s="27"/>
      <c r="O635" s="27"/>
      <c r="P635" s="27"/>
      <c r="Q635" s="27"/>
      <c r="R635" s="27"/>
      <c r="S635" s="27"/>
      <c r="T635" s="27"/>
      <c r="U635" s="27"/>
      <c r="V635" s="27"/>
      <c r="W635" s="27"/>
      <c r="X635" s="27"/>
      <c r="Y635" s="27"/>
      <c r="Z635" s="27"/>
      <c r="AA635" s="27"/>
      <c r="AB635" s="27"/>
      <c r="AC635" s="27"/>
    </row>
    <row r="636" spans="1:29">
      <c r="A636" s="358"/>
      <c r="B636" s="359"/>
      <c r="C636" s="360"/>
      <c r="D636" s="27"/>
      <c r="E636" s="27"/>
      <c r="F636" s="27"/>
      <c r="G636" s="27"/>
      <c r="H636" s="27"/>
      <c r="I636" s="27"/>
      <c r="J636" s="27"/>
      <c r="K636" s="27"/>
      <c r="L636" s="27"/>
      <c r="M636" s="27"/>
      <c r="N636" s="27"/>
      <c r="O636" s="27"/>
      <c r="P636" s="27"/>
      <c r="Q636" s="27"/>
      <c r="R636" s="27"/>
      <c r="S636" s="27"/>
      <c r="T636" s="27"/>
      <c r="U636" s="27"/>
      <c r="V636" s="27"/>
      <c r="W636" s="27"/>
      <c r="X636" s="27"/>
      <c r="Y636" s="27"/>
      <c r="Z636" s="27"/>
      <c r="AA636" s="27"/>
      <c r="AB636" s="27"/>
      <c r="AC636" s="27"/>
    </row>
    <row r="637" spans="1:29">
      <c r="A637" s="358"/>
      <c r="B637" s="359"/>
      <c r="C637" s="360"/>
      <c r="D637" s="27"/>
      <c r="E637" s="27"/>
      <c r="F637" s="27"/>
      <c r="G637" s="27"/>
      <c r="H637" s="27"/>
      <c r="I637" s="27"/>
      <c r="J637" s="27"/>
      <c r="K637" s="27"/>
      <c r="L637" s="27"/>
      <c r="M637" s="27"/>
      <c r="N637" s="27"/>
      <c r="O637" s="27"/>
      <c r="P637" s="27"/>
      <c r="Q637" s="27"/>
      <c r="R637" s="27"/>
      <c r="S637" s="27"/>
      <c r="T637" s="27"/>
      <c r="U637" s="27"/>
      <c r="V637" s="27"/>
      <c r="W637" s="27"/>
      <c r="X637" s="27"/>
      <c r="Y637" s="27"/>
      <c r="Z637" s="27"/>
      <c r="AA637" s="27"/>
      <c r="AB637" s="27"/>
      <c r="AC637" s="27"/>
    </row>
    <row r="638" spans="1:29">
      <c r="A638" s="358"/>
      <c r="B638" s="359"/>
      <c r="C638" s="360"/>
      <c r="D638" s="27"/>
      <c r="E638" s="27"/>
      <c r="F638" s="27"/>
      <c r="G638" s="27"/>
      <c r="H638" s="27"/>
      <c r="I638" s="27"/>
      <c r="J638" s="27"/>
      <c r="K638" s="27"/>
      <c r="L638" s="27"/>
      <c r="M638" s="27"/>
      <c r="N638" s="27"/>
      <c r="O638" s="27"/>
      <c r="P638" s="27"/>
      <c r="Q638" s="27"/>
      <c r="R638" s="27"/>
      <c r="S638" s="27"/>
      <c r="T638" s="27"/>
      <c r="U638" s="27"/>
      <c r="V638" s="27"/>
      <c r="W638" s="27"/>
      <c r="X638" s="27"/>
      <c r="Y638" s="27"/>
      <c r="Z638" s="27"/>
      <c r="AA638" s="27"/>
      <c r="AB638" s="27"/>
      <c r="AC638" s="27"/>
    </row>
    <row r="639" spans="1:29">
      <c r="A639" s="358"/>
      <c r="B639" s="359"/>
      <c r="C639" s="360"/>
      <c r="D639" s="27"/>
      <c r="E639" s="27"/>
      <c r="F639" s="27"/>
      <c r="G639" s="27"/>
      <c r="H639" s="27"/>
      <c r="I639" s="27"/>
      <c r="J639" s="27"/>
      <c r="K639" s="27"/>
      <c r="L639" s="27"/>
      <c r="M639" s="27"/>
      <c r="N639" s="27"/>
      <c r="O639" s="27"/>
      <c r="P639" s="27"/>
      <c r="Q639" s="27"/>
      <c r="R639" s="27"/>
      <c r="S639" s="27"/>
      <c r="T639" s="27"/>
      <c r="U639" s="27"/>
      <c r="V639" s="27"/>
      <c r="W639" s="27"/>
      <c r="X639" s="27"/>
      <c r="Y639" s="27"/>
      <c r="Z639" s="27"/>
      <c r="AA639" s="27"/>
      <c r="AB639" s="27"/>
      <c r="AC639" s="27"/>
    </row>
    <row r="640" spans="1:29">
      <c r="A640" s="358"/>
      <c r="B640" s="359"/>
      <c r="C640" s="360"/>
      <c r="D640" s="27"/>
      <c r="E640" s="27"/>
      <c r="F640" s="27"/>
      <c r="G640" s="27"/>
      <c r="H640" s="27"/>
      <c r="I640" s="27"/>
      <c r="J640" s="27"/>
      <c r="K640" s="27"/>
      <c r="L640" s="27"/>
      <c r="M640" s="27"/>
      <c r="N640" s="27"/>
      <c r="O640" s="27"/>
      <c r="P640" s="27"/>
      <c r="Q640" s="27"/>
      <c r="R640" s="27"/>
      <c r="S640" s="27"/>
      <c r="T640" s="27"/>
      <c r="U640" s="27"/>
      <c r="V640" s="27"/>
      <c r="W640" s="27"/>
      <c r="X640" s="27"/>
      <c r="Y640" s="27"/>
      <c r="Z640" s="27"/>
      <c r="AA640" s="27"/>
      <c r="AB640" s="27"/>
      <c r="AC640" s="27"/>
    </row>
    <row r="641" spans="1:29">
      <c r="A641" s="358"/>
      <c r="B641" s="359"/>
      <c r="C641" s="360"/>
      <c r="D641" s="27"/>
      <c r="E641" s="27"/>
      <c r="F641" s="27"/>
      <c r="G641" s="27"/>
      <c r="H641" s="27"/>
      <c r="I641" s="27"/>
      <c r="J641" s="27"/>
      <c r="K641" s="27"/>
      <c r="L641" s="27"/>
      <c r="M641" s="27"/>
      <c r="N641" s="27"/>
      <c r="O641" s="27"/>
      <c r="P641" s="27"/>
      <c r="Q641" s="27"/>
      <c r="R641" s="27"/>
      <c r="S641" s="27"/>
      <c r="T641" s="27"/>
      <c r="U641" s="27"/>
      <c r="V641" s="27"/>
      <c r="W641" s="27"/>
      <c r="X641" s="27"/>
      <c r="Y641" s="27"/>
      <c r="Z641" s="27"/>
      <c r="AA641" s="27"/>
      <c r="AB641" s="27"/>
      <c r="AC641" s="27"/>
    </row>
    <row r="642" spans="1:29">
      <c r="A642" s="358"/>
      <c r="B642" s="359"/>
      <c r="C642" s="360"/>
      <c r="D642" s="27"/>
      <c r="E642" s="27"/>
      <c r="F642" s="27"/>
      <c r="G642" s="27"/>
      <c r="H642" s="27"/>
      <c r="I642" s="27"/>
      <c r="J642" s="27"/>
      <c r="K642" s="27"/>
      <c r="L642" s="27"/>
      <c r="M642" s="27"/>
      <c r="N642" s="27"/>
      <c r="O642" s="27"/>
      <c r="P642" s="27"/>
      <c r="Q642" s="27"/>
      <c r="R642" s="27"/>
      <c r="S642" s="27"/>
      <c r="T642" s="27"/>
      <c r="U642" s="27"/>
      <c r="V642" s="27"/>
      <c r="W642" s="27"/>
      <c r="X642" s="27"/>
      <c r="Y642" s="27"/>
      <c r="Z642" s="27"/>
      <c r="AA642" s="27"/>
      <c r="AB642" s="27"/>
      <c r="AC642" s="27"/>
    </row>
    <row r="643" spans="1:29">
      <c r="A643" s="358"/>
      <c r="B643" s="359"/>
      <c r="C643" s="360"/>
      <c r="D643" s="27"/>
      <c r="E643" s="27"/>
      <c r="F643" s="27"/>
      <c r="G643" s="27"/>
      <c r="H643" s="27"/>
      <c r="I643" s="27"/>
      <c r="J643" s="27"/>
      <c r="K643" s="27"/>
      <c r="L643" s="27"/>
      <c r="M643" s="27"/>
      <c r="N643" s="27"/>
      <c r="O643" s="27"/>
      <c r="P643" s="27"/>
      <c r="Q643" s="27"/>
      <c r="R643" s="27"/>
      <c r="S643" s="27"/>
      <c r="T643" s="27"/>
      <c r="U643" s="27"/>
      <c r="V643" s="27"/>
      <c r="W643" s="27"/>
      <c r="X643" s="27"/>
      <c r="Y643" s="27"/>
      <c r="Z643" s="27"/>
      <c r="AA643" s="27"/>
      <c r="AB643" s="27"/>
      <c r="AC643" s="27"/>
    </row>
    <row r="644" spans="1:29">
      <c r="A644" s="358"/>
      <c r="B644" s="359"/>
      <c r="C644" s="360"/>
      <c r="D644" s="27"/>
      <c r="E644" s="27"/>
      <c r="F644" s="27"/>
      <c r="G644" s="27"/>
      <c r="H644" s="27"/>
      <c r="I644" s="27"/>
      <c r="J644" s="27"/>
      <c r="K644" s="27"/>
      <c r="L644" s="27"/>
      <c r="M644" s="27"/>
      <c r="N644" s="27"/>
      <c r="O644" s="27"/>
      <c r="P644" s="27"/>
      <c r="Q644" s="27"/>
      <c r="R644" s="27"/>
      <c r="S644" s="27"/>
      <c r="T644" s="27"/>
      <c r="U644" s="27"/>
      <c r="V644" s="27"/>
      <c r="W644" s="27"/>
      <c r="X644" s="27"/>
      <c r="Y644" s="27"/>
      <c r="Z644" s="27"/>
      <c r="AA644" s="27"/>
      <c r="AB644" s="27"/>
      <c r="AC644" s="27"/>
    </row>
    <row r="645" spans="1:29">
      <c r="A645" s="358"/>
      <c r="B645" s="359"/>
      <c r="C645" s="360"/>
      <c r="D645" s="27"/>
      <c r="E645" s="27"/>
      <c r="F645" s="27"/>
      <c r="G645" s="27"/>
      <c r="H645" s="27"/>
      <c r="I645" s="27"/>
      <c r="J645" s="27"/>
      <c r="K645" s="27"/>
      <c r="L645" s="27"/>
      <c r="M645" s="27"/>
      <c r="N645" s="27"/>
      <c r="O645" s="27"/>
      <c r="P645" s="27"/>
      <c r="Q645" s="27"/>
      <c r="R645" s="27"/>
      <c r="S645" s="27"/>
      <c r="T645" s="27"/>
      <c r="U645" s="27"/>
      <c r="V645" s="27"/>
      <c r="W645" s="27"/>
      <c r="X645" s="27"/>
      <c r="Y645" s="27"/>
      <c r="Z645" s="27"/>
      <c r="AA645" s="27"/>
      <c r="AB645" s="27"/>
      <c r="AC645" s="27"/>
    </row>
    <row r="646" spans="1:29">
      <c r="A646" s="358"/>
      <c r="B646" s="359"/>
      <c r="C646" s="360"/>
      <c r="D646" s="27"/>
      <c r="E646" s="27"/>
      <c r="F646" s="27"/>
      <c r="G646" s="27"/>
      <c r="H646" s="27"/>
      <c r="I646" s="27"/>
      <c r="J646" s="27"/>
      <c r="K646" s="27"/>
      <c r="L646" s="27"/>
      <c r="M646" s="27"/>
      <c r="N646" s="27"/>
      <c r="O646" s="27"/>
      <c r="P646" s="27"/>
      <c r="Q646" s="27"/>
      <c r="R646" s="27"/>
      <c r="S646" s="27"/>
      <c r="T646" s="27"/>
      <c r="U646" s="27"/>
      <c r="V646" s="27"/>
      <c r="W646" s="27"/>
      <c r="X646" s="27"/>
      <c r="Y646" s="27"/>
      <c r="Z646" s="27"/>
      <c r="AA646" s="27"/>
      <c r="AB646" s="27"/>
      <c r="AC646" s="27"/>
    </row>
    <row r="647" spans="1:29">
      <c r="A647" s="358"/>
      <c r="B647" s="359"/>
      <c r="C647" s="360"/>
      <c r="D647" s="27"/>
      <c r="E647" s="27"/>
      <c r="F647" s="27"/>
      <c r="G647" s="27"/>
      <c r="H647" s="27"/>
      <c r="I647" s="27"/>
      <c r="J647" s="27"/>
      <c r="K647" s="27"/>
      <c r="L647" s="27"/>
      <c r="M647" s="27"/>
      <c r="N647" s="27"/>
      <c r="O647" s="27"/>
      <c r="P647" s="27"/>
      <c r="Q647" s="27"/>
      <c r="R647" s="27"/>
      <c r="S647" s="27"/>
      <c r="T647" s="27"/>
      <c r="U647" s="27"/>
      <c r="V647" s="27"/>
      <c r="W647" s="27"/>
      <c r="X647" s="27"/>
      <c r="Y647" s="27"/>
      <c r="Z647" s="27"/>
      <c r="AA647" s="27"/>
      <c r="AB647" s="27"/>
      <c r="AC647" s="27"/>
    </row>
    <row r="648" spans="1:29">
      <c r="A648" s="358"/>
      <c r="B648" s="359"/>
      <c r="C648" s="360"/>
      <c r="D648" s="27"/>
      <c r="E648" s="27"/>
      <c r="F648" s="27"/>
      <c r="G648" s="27"/>
      <c r="H648" s="27"/>
      <c r="I648" s="27"/>
      <c r="J648" s="27"/>
      <c r="K648" s="27"/>
      <c r="L648" s="27"/>
      <c r="M648" s="27"/>
      <c r="N648" s="27"/>
      <c r="O648" s="27"/>
      <c r="P648" s="27"/>
      <c r="Q648" s="27"/>
      <c r="R648" s="27"/>
      <c r="S648" s="27"/>
      <c r="T648" s="27"/>
      <c r="U648" s="27"/>
      <c r="V648" s="27"/>
      <c r="W648" s="27"/>
      <c r="X648" s="27"/>
      <c r="Y648" s="27"/>
      <c r="Z648" s="27"/>
      <c r="AA648" s="27"/>
      <c r="AB648" s="27"/>
      <c r="AC648" s="27"/>
    </row>
    <row r="649" spans="1:29">
      <c r="A649" s="358"/>
      <c r="B649" s="359"/>
      <c r="C649" s="360"/>
      <c r="D649" s="27"/>
      <c r="E649" s="27"/>
      <c r="F649" s="27"/>
      <c r="G649" s="27"/>
      <c r="H649" s="27"/>
      <c r="I649" s="27"/>
      <c r="J649" s="27"/>
      <c r="K649" s="27"/>
      <c r="L649" s="27"/>
      <c r="M649" s="27"/>
      <c r="N649" s="27"/>
      <c r="O649" s="27"/>
      <c r="P649" s="27"/>
      <c r="Q649" s="27"/>
      <c r="R649" s="27"/>
      <c r="S649" s="27"/>
      <c r="T649" s="27"/>
      <c r="U649" s="27"/>
      <c r="V649" s="27"/>
      <c r="W649" s="27"/>
      <c r="X649" s="27"/>
      <c r="Y649" s="27"/>
      <c r="Z649" s="27"/>
      <c r="AA649" s="27"/>
      <c r="AB649" s="27"/>
      <c r="AC649" s="27"/>
    </row>
    <row r="650" spans="1:29">
      <c r="A650" s="358"/>
      <c r="B650" s="359"/>
      <c r="C650" s="360"/>
      <c r="D650" s="27"/>
      <c r="E650" s="27"/>
      <c r="F650" s="27"/>
      <c r="G650" s="27"/>
      <c r="H650" s="27"/>
      <c r="I650" s="27"/>
      <c r="J650" s="27"/>
      <c r="K650" s="27"/>
      <c r="L650" s="27"/>
      <c r="M650" s="27"/>
      <c r="N650" s="27"/>
      <c r="O650" s="27"/>
      <c r="P650" s="27"/>
      <c r="Q650" s="27"/>
      <c r="R650" s="27"/>
      <c r="S650" s="27"/>
      <c r="T650" s="27"/>
      <c r="U650" s="27"/>
      <c r="V650" s="27"/>
      <c r="W650" s="27"/>
      <c r="X650" s="27"/>
      <c r="Y650" s="27"/>
      <c r="Z650" s="27"/>
      <c r="AA650" s="27"/>
      <c r="AB650" s="27"/>
      <c r="AC650" s="27"/>
    </row>
    <row r="651" spans="1:29">
      <c r="A651" s="358"/>
      <c r="B651" s="359"/>
      <c r="C651" s="360"/>
      <c r="D651" s="27"/>
      <c r="E651" s="27"/>
      <c r="F651" s="27"/>
      <c r="G651" s="27"/>
      <c r="H651" s="27"/>
      <c r="I651" s="27"/>
      <c r="J651" s="27"/>
      <c r="K651" s="27"/>
      <c r="L651" s="27"/>
      <c r="M651" s="27"/>
      <c r="N651" s="27"/>
      <c r="O651" s="27"/>
      <c r="P651" s="27"/>
      <c r="Q651" s="27"/>
      <c r="R651" s="27"/>
      <c r="S651" s="27"/>
      <c r="T651" s="27"/>
      <c r="U651" s="27"/>
      <c r="V651" s="27"/>
      <c r="W651" s="27"/>
      <c r="X651" s="27"/>
      <c r="Y651" s="27"/>
      <c r="Z651" s="27"/>
      <c r="AA651" s="27"/>
      <c r="AB651" s="27"/>
      <c r="AC651" s="27"/>
    </row>
    <row r="652" spans="1:29">
      <c r="A652" s="358"/>
      <c r="B652" s="359"/>
      <c r="C652" s="360"/>
      <c r="D652" s="27"/>
      <c r="E652" s="27"/>
      <c r="F652" s="27"/>
      <c r="G652" s="27"/>
      <c r="H652" s="27"/>
      <c r="I652" s="27"/>
      <c r="J652" s="27"/>
      <c r="K652" s="27"/>
      <c r="L652" s="27"/>
      <c r="M652" s="27"/>
      <c r="N652" s="27"/>
      <c r="O652" s="27"/>
      <c r="P652" s="27"/>
      <c r="Q652" s="27"/>
      <c r="R652" s="27"/>
      <c r="S652" s="27"/>
      <c r="T652" s="27"/>
      <c r="U652" s="27"/>
      <c r="V652" s="27"/>
      <c r="W652" s="27"/>
      <c r="X652" s="27"/>
      <c r="Y652" s="27"/>
      <c r="Z652" s="27"/>
      <c r="AA652" s="27"/>
      <c r="AB652" s="27"/>
      <c r="AC652" s="27"/>
    </row>
    <row r="653" spans="1:29">
      <c r="A653" s="358"/>
      <c r="B653" s="359"/>
      <c r="C653" s="360"/>
      <c r="D653" s="27"/>
      <c r="E653" s="27"/>
      <c r="F653" s="27"/>
      <c r="G653" s="27"/>
      <c r="H653" s="27"/>
      <c r="I653" s="27"/>
      <c r="J653" s="27"/>
      <c r="K653" s="27"/>
      <c r="L653" s="27"/>
      <c r="M653" s="27"/>
      <c r="N653" s="27"/>
      <c r="O653" s="27"/>
      <c r="P653" s="27"/>
      <c r="Q653" s="27"/>
      <c r="R653" s="27"/>
      <c r="S653" s="27"/>
      <c r="T653" s="27"/>
      <c r="U653" s="27"/>
      <c r="V653" s="27"/>
      <c r="W653" s="27"/>
      <c r="X653" s="27"/>
      <c r="Y653" s="27"/>
      <c r="Z653" s="27"/>
      <c r="AA653" s="27"/>
      <c r="AB653" s="27"/>
      <c r="AC653" s="27"/>
    </row>
    <row r="654" spans="1:29">
      <c r="A654" s="358"/>
      <c r="B654" s="359"/>
      <c r="C654" s="360"/>
      <c r="D654" s="27"/>
      <c r="E654" s="27"/>
      <c r="F654" s="27"/>
      <c r="G654" s="27"/>
      <c r="H654" s="27"/>
      <c r="I654" s="27"/>
      <c r="J654" s="27"/>
      <c r="K654" s="27"/>
      <c r="L654" s="27"/>
      <c r="M654" s="27"/>
      <c r="N654" s="27"/>
      <c r="O654" s="27"/>
      <c r="P654" s="27"/>
      <c r="Q654" s="27"/>
      <c r="R654" s="27"/>
      <c r="S654" s="27"/>
      <c r="T654" s="27"/>
      <c r="U654" s="27"/>
      <c r="V654" s="27"/>
      <c r="W654" s="27"/>
      <c r="X654" s="27"/>
      <c r="Y654" s="27"/>
      <c r="Z654" s="27"/>
      <c r="AA654" s="27"/>
      <c r="AB654" s="27"/>
      <c r="AC654" s="27"/>
    </row>
    <row r="655" spans="1:29">
      <c r="A655" s="358"/>
      <c r="B655" s="359"/>
      <c r="C655" s="360"/>
      <c r="D655" s="27"/>
      <c r="E655" s="27"/>
      <c r="F655" s="27"/>
      <c r="G655" s="27"/>
      <c r="H655" s="27"/>
      <c r="I655" s="27"/>
      <c r="J655" s="27"/>
      <c r="K655" s="27"/>
      <c r="L655" s="27"/>
      <c r="M655" s="27"/>
      <c r="N655" s="27"/>
      <c r="O655" s="27"/>
      <c r="P655" s="27"/>
      <c r="Q655" s="27"/>
      <c r="R655" s="27"/>
      <c r="S655" s="27"/>
      <c r="T655" s="27"/>
      <c r="U655" s="27"/>
      <c r="V655" s="27"/>
      <c r="W655" s="27"/>
      <c r="X655" s="27"/>
      <c r="Y655" s="27"/>
      <c r="Z655" s="27"/>
      <c r="AA655" s="27"/>
      <c r="AB655" s="27"/>
      <c r="AC655" s="27"/>
    </row>
    <row r="656" spans="1:29">
      <c r="A656" s="358"/>
      <c r="B656" s="359"/>
      <c r="C656" s="360"/>
      <c r="D656" s="27"/>
      <c r="E656" s="27"/>
      <c r="F656" s="27"/>
      <c r="G656" s="27"/>
      <c r="H656" s="27"/>
      <c r="I656" s="27"/>
      <c r="J656" s="27"/>
      <c r="K656" s="27"/>
      <c r="L656" s="27"/>
      <c r="M656" s="27"/>
      <c r="N656" s="27"/>
      <c r="O656" s="27"/>
      <c r="P656" s="27"/>
      <c r="Q656" s="27"/>
      <c r="R656" s="27"/>
      <c r="S656" s="27"/>
      <c r="T656" s="27"/>
      <c r="U656" s="27"/>
      <c r="V656" s="27"/>
      <c r="W656" s="27"/>
      <c r="X656" s="27"/>
      <c r="Y656" s="27"/>
      <c r="Z656" s="27"/>
      <c r="AA656" s="27"/>
      <c r="AB656" s="27"/>
      <c r="AC656" s="27"/>
    </row>
    <row r="657" spans="1:29">
      <c r="A657" s="358"/>
      <c r="B657" s="359"/>
      <c r="C657" s="360"/>
      <c r="D657" s="27"/>
      <c r="E657" s="27"/>
      <c r="F657" s="27"/>
      <c r="G657" s="27"/>
      <c r="H657" s="27"/>
      <c r="I657" s="27"/>
      <c r="J657" s="27"/>
      <c r="K657" s="27"/>
      <c r="L657" s="27"/>
      <c r="M657" s="27"/>
      <c r="N657" s="27"/>
      <c r="O657" s="27"/>
      <c r="P657" s="27"/>
      <c r="Q657" s="27"/>
      <c r="R657" s="27"/>
      <c r="S657" s="27"/>
      <c r="T657" s="27"/>
      <c r="U657" s="27"/>
      <c r="V657" s="27"/>
      <c r="W657" s="27"/>
      <c r="X657" s="27"/>
      <c r="Y657" s="27"/>
      <c r="Z657" s="27"/>
      <c r="AA657" s="27"/>
      <c r="AB657" s="27"/>
      <c r="AC657" s="27"/>
    </row>
    <row r="658" spans="1:29">
      <c r="A658" s="358"/>
      <c r="B658" s="359"/>
      <c r="C658" s="360"/>
      <c r="D658" s="27"/>
      <c r="E658" s="27"/>
      <c r="F658" s="27"/>
      <c r="G658" s="27"/>
      <c r="H658" s="27"/>
      <c r="I658" s="27"/>
      <c r="J658" s="27"/>
      <c r="K658" s="27"/>
      <c r="L658" s="27"/>
      <c r="M658" s="27"/>
      <c r="N658" s="27"/>
      <c r="O658" s="27"/>
      <c r="P658" s="27"/>
      <c r="Q658" s="27"/>
      <c r="R658" s="27"/>
      <c r="S658" s="27"/>
      <c r="T658" s="27"/>
      <c r="U658" s="27"/>
      <c r="V658" s="27"/>
      <c r="W658" s="27"/>
      <c r="X658" s="27"/>
      <c r="Y658" s="27"/>
      <c r="Z658" s="27"/>
      <c r="AA658" s="27"/>
      <c r="AB658" s="27"/>
      <c r="AC658" s="27"/>
    </row>
    <row r="659" spans="1:29">
      <c r="A659" s="358"/>
      <c r="B659" s="359"/>
      <c r="C659" s="360"/>
      <c r="D659" s="27"/>
      <c r="E659" s="27"/>
      <c r="F659" s="27"/>
      <c r="G659" s="27"/>
      <c r="H659" s="27"/>
      <c r="I659" s="27"/>
      <c r="J659" s="27"/>
      <c r="K659" s="27"/>
      <c r="L659" s="27"/>
      <c r="M659" s="27"/>
      <c r="N659" s="27"/>
      <c r="O659" s="27"/>
      <c r="P659" s="27"/>
      <c r="Q659" s="27"/>
      <c r="R659" s="27"/>
      <c r="S659" s="27"/>
      <c r="T659" s="27"/>
      <c r="U659" s="27"/>
      <c r="V659" s="27"/>
      <c r="W659" s="27"/>
      <c r="X659" s="27"/>
      <c r="Y659" s="27"/>
      <c r="Z659" s="27"/>
      <c r="AA659" s="27"/>
      <c r="AB659" s="27"/>
      <c r="AC659" s="27"/>
    </row>
    <row r="660" spans="1:29">
      <c r="A660" s="358"/>
      <c r="B660" s="359"/>
      <c r="C660" s="360"/>
      <c r="D660" s="27"/>
      <c r="E660" s="27"/>
      <c r="F660" s="27"/>
      <c r="G660" s="27"/>
      <c r="H660" s="27"/>
      <c r="I660" s="27"/>
      <c r="J660" s="27"/>
      <c r="K660" s="27"/>
      <c r="L660" s="27"/>
      <c r="M660" s="27"/>
      <c r="N660" s="27"/>
      <c r="O660" s="27"/>
      <c r="P660" s="27"/>
      <c r="Q660" s="27"/>
      <c r="R660" s="27"/>
      <c r="S660" s="27"/>
      <c r="T660" s="27"/>
      <c r="U660" s="27"/>
      <c r="V660" s="27"/>
      <c r="W660" s="27"/>
      <c r="X660" s="27"/>
      <c r="Y660" s="27"/>
      <c r="Z660" s="27"/>
      <c r="AA660" s="27"/>
      <c r="AB660" s="27"/>
      <c r="AC660" s="27"/>
    </row>
    <row r="661" spans="1:29">
      <c r="A661" s="358"/>
      <c r="B661" s="359"/>
      <c r="C661" s="360"/>
      <c r="D661" s="27"/>
      <c r="E661" s="27"/>
      <c r="F661" s="27"/>
      <c r="G661" s="27"/>
      <c r="H661" s="27"/>
      <c r="I661" s="27"/>
      <c r="J661" s="27"/>
      <c r="K661" s="27"/>
      <c r="L661" s="27"/>
      <c r="M661" s="27"/>
      <c r="N661" s="27"/>
      <c r="O661" s="27"/>
      <c r="P661" s="27"/>
      <c r="Q661" s="27"/>
      <c r="R661" s="27"/>
      <c r="S661" s="27"/>
      <c r="T661" s="27"/>
      <c r="U661" s="27"/>
      <c r="V661" s="27"/>
      <c r="W661" s="27"/>
      <c r="X661" s="27"/>
      <c r="Y661" s="27"/>
      <c r="Z661" s="27"/>
      <c r="AA661" s="27"/>
      <c r="AB661" s="27"/>
      <c r="AC661" s="27"/>
    </row>
    <row r="662" spans="1:29">
      <c r="A662" s="358"/>
      <c r="B662" s="359"/>
      <c r="C662" s="360"/>
      <c r="D662" s="27"/>
      <c r="E662" s="27"/>
      <c r="F662" s="27"/>
      <c r="G662" s="27"/>
      <c r="H662" s="27"/>
      <c r="I662" s="27"/>
      <c r="J662" s="27"/>
      <c r="K662" s="27"/>
      <c r="L662" s="27"/>
      <c r="M662" s="27"/>
      <c r="N662" s="27"/>
      <c r="O662" s="27"/>
      <c r="P662" s="27"/>
      <c r="Q662" s="27"/>
      <c r="R662" s="27"/>
      <c r="S662" s="27"/>
      <c r="T662" s="27"/>
      <c r="U662" s="27"/>
      <c r="V662" s="27"/>
      <c r="W662" s="27"/>
      <c r="X662" s="27"/>
      <c r="Y662" s="27"/>
      <c r="Z662" s="27"/>
      <c r="AA662" s="27"/>
      <c r="AB662" s="27"/>
      <c r="AC662" s="27"/>
    </row>
    <row r="663" spans="1:29">
      <c r="A663" s="358"/>
      <c r="B663" s="359"/>
      <c r="C663" s="360"/>
      <c r="D663" s="27"/>
      <c r="E663" s="27"/>
      <c r="F663" s="27"/>
      <c r="G663" s="27"/>
      <c r="H663" s="27"/>
      <c r="I663" s="27"/>
      <c r="J663" s="27"/>
      <c r="K663" s="27"/>
      <c r="L663" s="27"/>
      <c r="M663" s="27"/>
      <c r="N663" s="27"/>
      <c r="O663" s="27"/>
      <c r="P663" s="27"/>
      <c r="Q663" s="27"/>
      <c r="R663" s="27"/>
      <c r="S663" s="27"/>
      <c r="T663" s="27"/>
      <c r="U663" s="27"/>
      <c r="V663" s="27"/>
      <c r="W663" s="27"/>
      <c r="X663" s="27"/>
      <c r="Y663" s="27"/>
      <c r="Z663" s="27"/>
      <c r="AA663" s="27"/>
      <c r="AB663" s="27"/>
      <c r="AC663" s="27"/>
    </row>
    <row r="664" spans="1:29">
      <c r="A664" s="358"/>
      <c r="B664" s="359"/>
      <c r="C664" s="360"/>
      <c r="D664" s="27"/>
      <c r="E664" s="27"/>
      <c r="F664" s="27"/>
      <c r="G664" s="27"/>
      <c r="H664" s="27"/>
      <c r="I664" s="27"/>
      <c r="J664" s="27"/>
      <c r="K664" s="27"/>
      <c r="L664" s="27"/>
      <c r="M664" s="27"/>
      <c r="N664" s="27"/>
      <c r="O664" s="27"/>
      <c r="P664" s="27"/>
      <c r="Q664" s="27"/>
      <c r="R664" s="27"/>
      <c r="S664" s="27"/>
      <c r="T664" s="27"/>
      <c r="U664" s="27"/>
      <c r="V664" s="27"/>
      <c r="W664" s="27"/>
      <c r="X664" s="27"/>
      <c r="Y664" s="27"/>
      <c r="Z664" s="27"/>
      <c r="AA664" s="27"/>
      <c r="AB664" s="27"/>
      <c r="AC664" s="27"/>
    </row>
    <row r="665" spans="1:29">
      <c r="A665" s="358"/>
      <c r="B665" s="359"/>
      <c r="C665" s="360"/>
      <c r="D665" s="27"/>
      <c r="E665" s="27"/>
      <c r="F665" s="27"/>
      <c r="G665" s="27"/>
      <c r="H665" s="27"/>
      <c r="I665" s="27"/>
      <c r="J665" s="27"/>
      <c r="K665" s="27"/>
      <c r="L665" s="27"/>
      <c r="M665" s="27"/>
      <c r="N665" s="27"/>
      <c r="O665" s="27"/>
      <c r="P665" s="27"/>
      <c r="Q665" s="27"/>
      <c r="R665" s="27"/>
      <c r="S665" s="27"/>
      <c r="T665" s="27"/>
      <c r="U665" s="27"/>
      <c r="V665" s="27"/>
      <c r="W665" s="27"/>
      <c r="X665" s="27"/>
      <c r="Y665" s="27"/>
      <c r="Z665" s="27"/>
      <c r="AA665" s="27"/>
      <c r="AB665" s="27"/>
      <c r="AC665" s="27"/>
    </row>
    <row r="666" spans="1:29">
      <c r="A666" s="358"/>
      <c r="B666" s="359"/>
      <c r="C666" s="360"/>
      <c r="D666" s="27"/>
      <c r="E666" s="27"/>
      <c r="F666" s="27"/>
      <c r="G666" s="27"/>
      <c r="H666" s="27"/>
      <c r="I666" s="27"/>
      <c r="J666" s="27"/>
      <c r="K666" s="27"/>
      <c r="L666" s="27"/>
      <c r="M666" s="27"/>
      <c r="N666" s="27"/>
      <c r="O666" s="27"/>
      <c r="P666" s="27"/>
      <c r="Q666" s="27"/>
      <c r="R666" s="27"/>
      <c r="S666" s="27"/>
      <c r="T666" s="27"/>
      <c r="U666" s="27"/>
      <c r="V666" s="27"/>
      <c r="W666" s="27"/>
      <c r="X666" s="27"/>
      <c r="Y666" s="27"/>
      <c r="Z666" s="27"/>
      <c r="AA666" s="27"/>
      <c r="AB666" s="27"/>
      <c r="AC666" s="27"/>
    </row>
    <row r="667" spans="1:29">
      <c r="A667" s="358"/>
      <c r="B667" s="359"/>
      <c r="C667" s="360"/>
      <c r="D667" s="27"/>
      <c r="E667" s="27"/>
      <c r="F667" s="27"/>
      <c r="G667" s="27"/>
      <c r="H667" s="27"/>
      <c r="I667" s="27"/>
      <c r="J667" s="27"/>
      <c r="K667" s="27"/>
      <c r="L667" s="27"/>
      <c r="M667" s="27"/>
      <c r="N667" s="27"/>
      <c r="O667" s="27"/>
      <c r="P667" s="27"/>
      <c r="Q667" s="27"/>
      <c r="R667" s="27"/>
      <c r="S667" s="27"/>
      <c r="T667" s="27"/>
      <c r="U667" s="27"/>
      <c r="V667" s="27"/>
      <c r="W667" s="27"/>
      <c r="X667" s="27"/>
      <c r="Y667" s="27"/>
      <c r="Z667" s="27"/>
      <c r="AA667" s="27"/>
      <c r="AB667" s="27"/>
      <c r="AC667" s="27"/>
    </row>
    <row r="668" spans="1:29">
      <c r="A668" s="358"/>
      <c r="B668" s="359"/>
      <c r="C668" s="360"/>
      <c r="D668" s="27"/>
      <c r="E668" s="27"/>
      <c r="F668" s="27"/>
      <c r="G668" s="27"/>
      <c r="H668" s="27"/>
      <c r="I668" s="27"/>
      <c r="J668" s="27"/>
      <c r="K668" s="27"/>
      <c r="L668" s="27"/>
      <c r="M668" s="27"/>
      <c r="N668" s="27"/>
      <c r="O668" s="27"/>
      <c r="P668" s="27"/>
      <c r="Q668" s="27"/>
      <c r="R668" s="27"/>
      <c r="S668" s="27"/>
      <c r="T668" s="27"/>
      <c r="U668" s="27"/>
      <c r="V668" s="27"/>
      <c r="W668" s="27"/>
      <c r="X668" s="27"/>
      <c r="Y668" s="27"/>
      <c r="Z668" s="27"/>
      <c r="AA668" s="27"/>
      <c r="AB668" s="27"/>
      <c r="AC668" s="27"/>
    </row>
    <row r="669" spans="1:29">
      <c r="A669" s="358"/>
      <c r="B669" s="359"/>
      <c r="C669" s="360"/>
      <c r="D669" s="27"/>
      <c r="E669" s="27"/>
      <c r="F669" s="27"/>
      <c r="G669" s="27"/>
      <c r="H669" s="27"/>
      <c r="I669" s="27"/>
      <c r="J669" s="27"/>
      <c r="K669" s="27"/>
      <c r="L669" s="27"/>
      <c r="M669" s="27"/>
      <c r="N669" s="27"/>
      <c r="O669" s="27"/>
      <c r="P669" s="27"/>
      <c r="Q669" s="27"/>
      <c r="R669" s="27"/>
      <c r="S669" s="27"/>
      <c r="T669" s="27"/>
      <c r="U669" s="27"/>
      <c r="V669" s="27"/>
      <c r="W669" s="27"/>
      <c r="X669" s="27"/>
      <c r="Y669" s="27"/>
      <c r="Z669" s="27"/>
      <c r="AA669" s="27"/>
      <c r="AB669" s="27"/>
      <c r="AC669" s="27"/>
    </row>
    <row r="670" spans="1:29">
      <c r="A670" s="358"/>
      <c r="B670" s="359"/>
      <c r="C670" s="360"/>
      <c r="D670" s="27"/>
      <c r="E670" s="27"/>
      <c r="F670" s="27"/>
      <c r="G670" s="27"/>
      <c r="H670" s="27"/>
      <c r="I670" s="27"/>
      <c r="J670" s="27"/>
      <c r="K670" s="27"/>
      <c r="L670" s="27"/>
      <c r="M670" s="27"/>
      <c r="N670" s="27"/>
      <c r="O670" s="27"/>
      <c r="P670" s="27"/>
      <c r="Q670" s="27"/>
      <c r="R670" s="27"/>
      <c r="S670" s="27"/>
      <c r="T670" s="27"/>
      <c r="U670" s="27"/>
      <c r="V670" s="27"/>
      <c r="W670" s="27"/>
      <c r="X670" s="27"/>
      <c r="Y670" s="27"/>
      <c r="Z670" s="27"/>
      <c r="AA670" s="27"/>
      <c r="AB670" s="27"/>
      <c r="AC670" s="27"/>
    </row>
    <row r="671" spans="1:29">
      <c r="A671" s="358"/>
      <c r="B671" s="359"/>
      <c r="C671" s="360"/>
      <c r="D671" s="27"/>
      <c r="E671" s="27"/>
      <c r="F671" s="27"/>
      <c r="G671" s="27"/>
      <c r="H671" s="27"/>
      <c r="I671" s="27"/>
      <c r="J671" s="27"/>
      <c r="K671" s="27"/>
      <c r="L671" s="27"/>
      <c r="M671" s="27"/>
      <c r="N671" s="27"/>
      <c r="O671" s="27"/>
      <c r="P671" s="27"/>
      <c r="Q671" s="27"/>
      <c r="R671" s="27"/>
      <c r="S671" s="27"/>
      <c r="T671" s="27"/>
      <c r="U671" s="27"/>
      <c r="V671" s="27"/>
      <c r="W671" s="27"/>
      <c r="X671" s="27"/>
      <c r="Y671" s="27"/>
      <c r="Z671" s="27"/>
      <c r="AA671" s="27"/>
      <c r="AB671" s="27"/>
      <c r="AC671" s="27"/>
    </row>
    <row r="672" spans="1:29">
      <c r="A672" s="358"/>
      <c r="B672" s="359"/>
      <c r="C672" s="360"/>
      <c r="D672" s="27"/>
      <c r="E672" s="27"/>
      <c r="F672" s="27"/>
      <c r="G672" s="27"/>
      <c r="H672" s="27"/>
      <c r="I672" s="27"/>
      <c r="J672" s="27"/>
      <c r="K672" s="27"/>
      <c r="L672" s="27"/>
      <c r="M672" s="27"/>
      <c r="N672" s="27"/>
      <c r="O672" s="27"/>
      <c r="P672" s="27"/>
      <c r="Q672" s="27"/>
      <c r="R672" s="27"/>
      <c r="S672" s="27"/>
      <c r="T672" s="27"/>
      <c r="U672" s="27"/>
      <c r="V672" s="27"/>
      <c r="W672" s="27"/>
      <c r="X672" s="27"/>
      <c r="Y672" s="27"/>
      <c r="Z672" s="27"/>
      <c r="AA672" s="27"/>
      <c r="AB672" s="27"/>
      <c r="AC672" s="27"/>
    </row>
    <row r="673" spans="1:29">
      <c r="A673" s="358"/>
      <c r="B673" s="359"/>
      <c r="C673" s="360"/>
      <c r="D673" s="27"/>
      <c r="E673" s="27"/>
      <c r="F673" s="27"/>
      <c r="G673" s="27"/>
      <c r="H673" s="27"/>
      <c r="I673" s="27"/>
      <c r="J673" s="27"/>
      <c r="K673" s="27"/>
      <c r="L673" s="27"/>
      <c r="M673" s="27"/>
      <c r="N673" s="27"/>
      <c r="O673" s="27"/>
      <c r="P673" s="27"/>
      <c r="Q673" s="27"/>
      <c r="R673" s="27"/>
      <c r="S673" s="27"/>
      <c r="T673" s="27"/>
      <c r="U673" s="27"/>
      <c r="V673" s="27"/>
      <c r="W673" s="27"/>
      <c r="X673" s="27"/>
      <c r="Y673" s="27"/>
      <c r="Z673" s="27"/>
      <c r="AA673" s="27"/>
      <c r="AB673" s="27"/>
      <c r="AC673" s="27"/>
    </row>
    <row r="674" spans="1:29">
      <c r="A674" s="358"/>
      <c r="B674" s="359"/>
      <c r="C674" s="360"/>
      <c r="D674" s="27"/>
      <c r="E674" s="27"/>
      <c r="F674" s="27"/>
      <c r="G674" s="27"/>
      <c r="H674" s="27"/>
      <c r="I674" s="27"/>
      <c r="J674" s="27"/>
      <c r="K674" s="27"/>
      <c r="L674" s="27"/>
      <c r="M674" s="27"/>
      <c r="N674" s="27"/>
      <c r="O674" s="27"/>
      <c r="P674" s="27"/>
      <c r="Q674" s="27"/>
      <c r="R674" s="27"/>
      <c r="S674" s="27"/>
      <c r="T674" s="27"/>
      <c r="U674" s="27"/>
      <c r="V674" s="27"/>
      <c r="W674" s="27"/>
      <c r="X674" s="27"/>
      <c r="Y674" s="27"/>
      <c r="Z674" s="27"/>
      <c r="AA674" s="27"/>
      <c r="AB674" s="27"/>
      <c r="AC674" s="27"/>
    </row>
    <row r="675" spans="1:29">
      <c r="A675" s="358"/>
      <c r="B675" s="359"/>
      <c r="C675" s="360"/>
      <c r="D675" s="27"/>
      <c r="E675" s="27"/>
      <c r="F675" s="27"/>
      <c r="G675" s="27"/>
      <c r="H675" s="27"/>
      <c r="I675" s="27"/>
      <c r="J675" s="27"/>
      <c r="K675" s="27"/>
      <c r="L675" s="27"/>
      <c r="M675" s="27"/>
      <c r="N675" s="27"/>
      <c r="O675" s="27"/>
      <c r="P675" s="27"/>
      <c r="Q675" s="27"/>
      <c r="R675" s="27"/>
      <c r="S675" s="27"/>
      <c r="T675" s="27"/>
      <c r="U675" s="27"/>
      <c r="V675" s="27"/>
      <c r="W675" s="27"/>
      <c r="X675" s="27"/>
      <c r="Y675" s="27"/>
      <c r="Z675" s="27"/>
      <c r="AA675" s="27"/>
      <c r="AB675" s="27"/>
      <c r="AC675" s="27"/>
    </row>
    <row r="676" spans="1:29">
      <c r="A676" s="358"/>
      <c r="B676" s="359"/>
      <c r="C676" s="360"/>
      <c r="D676" s="27"/>
      <c r="E676" s="27"/>
      <c r="F676" s="27"/>
      <c r="G676" s="27"/>
      <c r="H676" s="27"/>
      <c r="I676" s="27"/>
      <c r="J676" s="27"/>
      <c r="K676" s="27"/>
      <c r="L676" s="27"/>
      <c r="M676" s="27"/>
      <c r="N676" s="27"/>
      <c r="O676" s="27"/>
      <c r="P676" s="27"/>
      <c r="Q676" s="27"/>
      <c r="R676" s="27"/>
      <c r="S676" s="27"/>
      <c r="T676" s="27"/>
      <c r="U676" s="27"/>
      <c r="V676" s="27"/>
      <c r="W676" s="27"/>
      <c r="X676" s="27"/>
      <c r="Y676" s="27"/>
      <c r="Z676" s="27"/>
      <c r="AA676" s="27"/>
      <c r="AB676" s="27"/>
      <c r="AC676" s="27"/>
    </row>
    <row r="677" spans="1:29">
      <c r="A677" s="358"/>
      <c r="B677" s="359"/>
      <c r="C677" s="360"/>
      <c r="D677" s="27"/>
      <c r="E677" s="27"/>
      <c r="F677" s="27"/>
      <c r="G677" s="27"/>
      <c r="H677" s="27"/>
      <c r="I677" s="27"/>
      <c r="J677" s="27"/>
      <c r="K677" s="27"/>
      <c r="L677" s="27"/>
      <c r="M677" s="27"/>
      <c r="N677" s="27"/>
      <c r="O677" s="27"/>
      <c r="P677" s="27"/>
      <c r="Q677" s="27"/>
      <c r="R677" s="27"/>
      <c r="S677" s="27"/>
      <c r="T677" s="27"/>
      <c r="U677" s="27"/>
      <c r="V677" s="27"/>
      <c r="W677" s="27"/>
      <c r="X677" s="27"/>
      <c r="Y677" s="27"/>
      <c r="Z677" s="27"/>
      <c r="AA677" s="27"/>
      <c r="AB677" s="27"/>
      <c r="AC677" s="27"/>
    </row>
    <row r="678" spans="1:29">
      <c r="A678" s="358"/>
      <c r="B678" s="359"/>
      <c r="C678" s="360"/>
      <c r="D678" s="27"/>
      <c r="E678" s="27"/>
      <c r="F678" s="27"/>
      <c r="G678" s="27"/>
      <c r="H678" s="27"/>
      <c r="I678" s="27"/>
      <c r="J678" s="27"/>
      <c r="K678" s="27"/>
      <c r="L678" s="27"/>
      <c r="M678" s="27"/>
      <c r="N678" s="27"/>
      <c r="O678" s="27"/>
      <c r="P678" s="27"/>
      <c r="Q678" s="27"/>
      <c r="R678" s="27"/>
      <c r="S678" s="27"/>
      <c r="T678" s="27"/>
      <c r="U678" s="27"/>
      <c r="V678" s="27"/>
      <c r="W678" s="27"/>
      <c r="X678" s="27"/>
      <c r="Y678" s="27"/>
      <c r="Z678" s="27"/>
      <c r="AA678" s="27"/>
      <c r="AB678" s="27"/>
      <c r="AC678" s="27"/>
    </row>
    <row r="679" spans="1:29">
      <c r="A679" s="358"/>
      <c r="B679" s="359"/>
      <c r="C679" s="360"/>
      <c r="D679" s="27"/>
      <c r="E679" s="27"/>
      <c r="F679" s="27"/>
      <c r="G679" s="27"/>
      <c r="H679" s="27"/>
      <c r="I679" s="27"/>
      <c r="J679" s="27"/>
      <c r="K679" s="27"/>
      <c r="L679" s="27"/>
      <c r="M679" s="27"/>
      <c r="N679" s="27"/>
      <c r="O679" s="27"/>
      <c r="P679" s="27"/>
      <c r="Q679" s="27"/>
      <c r="R679" s="27"/>
      <c r="S679" s="27"/>
      <c r="T679" s="27"/>
      <c r="U679" s="27"/>
      <c r="V679" s="27"/>
      <c r="W679" s="27"/>
      <c r="X679" s="27"/>
      <c r="Y679" s="27"/>
      <c r="Z679" s="27"/>
      <c r="AA679" s="27"/>
      <c r="AB679" s="27"/>
      <c r="AC679" s="27"/>
    </row>
    <row r="680" spans="1:29">
      <c r="A680" s="358"/>
      <c r="B680" s="359"/>
      <c r="C680" s="360"/>
      <c r="D680" s="27"/>
      <c r="E680" s="27"/>
      <c r="F680" s="27"/>
      <c r="G680" s="27"/>
      <c r="H680" s="27"/>
      <c r="I680" s="27"/>
      <c r="J680" s="27"/>
      <c r="K680" s="27"/>
      <c r="L680" s="27"/>
      <c r="M680" s="27"/>
      <c r="N680" s="27"/>
      <c r="O680" s="27"/>
      <c r="P680" s="27"/>
      <c r="Q680" s="27"/>
      <c r="R680" s="27"/>
      <c r="S680" s="27"/>
      <c r="T680" s="27"/>
      <c r="U680" s="27"/>
      <c r="V680" s="27"/>
      <c r="W680" s="27"/>
      <c r="X680" s="27"/>
      <c r="Y680" s="27"/>
      <c r="Z680" s="27"/>
      <c r="AA680" s="27"/>
      <c r="AB680" s="27"/>
      <c r="AC680" s="27"/>
    </row>
    <row r="681" spans="1:29">
      <c r="A681" s="358"/>
      <c r="B681" s="359"/>
      <c r="C681" s="360"/>
      <c r="D681" s="27"/>
      <c r="E681" s="27"/>
      <c r="F681" s="27"/>
      <c r="G681" s="27"/>
      <c r="H681" s="27"/>
      <c r="I681" s="27"/>
      <c r="J681" s="27"/>
      <c r="K681" s="27"/>
      <c r="L681" s="27"/>
      <c r="M681" s="27"/>
      <c r="N681" s="27"/>
      <c r="O681" s="27"/>
      <c r="P681" s="27"/>
      <c r="Q681" s="27"/>
      <c r="R681" s="27"/>
      <c r="S681" s="27"/>
      <c r="T681" s="27"/>
      <c r="U681" s="27"/>
      <c r="V681" s="27"/>
      <c r="W681" s="27"/>
      <c r="X681" s="27"/>
      <c r="Y681" s="27"/>
      <c r="Z681" s="27"/>
      <c r="AA681" s="27"/>
      <c r="AB681" s="27"/>
      <c r="AC681" s="27"/>
    </row>
    <row r="682" spans="1:29">
      <c r="A682" s="358"/>
      <c r="B682" s="359"/>
      <c r="C682" s="360"/>
      <c r="D682" s="27"/>
      <c r="E682" s="27"/>
      <c r="F682" s="27"/>
      <c r="G682" s="27"/>
      <c r="H682" s="27"/>
      <c r="I682" s="27"/>
      <c r="J682" s="27"/>
      <c r="K682" s="27"/>
      <c r="L682" s="27"/>
      <c r="M682" s="27"/>
      <c r="N682" s="27"/>
      <c r="O682" s="27"/>
      <c r="P682" s="27"/>
      <c r="Q682" s="27"/>
      <c r="R682" s="27"/>
      <c r="S682" s="27"/>
      <c r="T682" s="27"/>
      <c r="U682" s="27"/>
      <c r="V682" s="27"/>
      <c r="W682" s="27"/>
      <c r="X682" s="27"/>
      <c r="Y682" s="27"/>
      <c r="Z682" s="27"/>
      <c r="AA682" s="27"/>
      <c r="AB682" s="27"/>
      <c r="AC682" s="27"/>
    </row>
    <row r="683" spans="1:29">
      <c r="A683" s="358"/>
      <c r="B683" s="359"/>
      <c r="C683" s="360"/>
      <c r="D683" s="27"/>
      <c r="E683" s="27"/>
      <c r="F683" s="27"/>
      <c r="G683" s="27"/>
      <c r="H683" s="27"/>
      <c r="I683" s="27"/>
      <c r="J683" s="27"/>
      <c r="K683" s="27"/>
      <c r="L683" s="27"/>
      <c r="M683" s="27"/>
      <c r="N683" s="27"/>
      <c r="O683" s="27"/>
      <c r="P683" s="27"/>
      <c r="Q683" s="27"/>
      <c r="R683" s="27"/>
      <c r="S683" s="27"/>
      <c r="T683" s="27"/>
      <c r="U683" s="27"/>
      <c r="V683" s="27"/>
      <c r="W683" s="27"/>
      <c r="X683" s="27"/>
      <c r="Y683" s="27"/>
      <c r="Z683" s="27"/>
      <c r="AA683" s="27"/>
      <c r="AB683" s="27"/>
      <c r="AC683" s="27"/>
    </row>
    <row r="684" spans="1:29">
      <c r="A684" s="358"/>
      <c r="B684" s="359"/>
      <c r="C684" s="360"/>
      <c r="D684" s="27"/>
      <c r="E684" s="27"/>
      <c r="F684" s="27"/>
      <c r="G684" s="27"/>
      <c r="H684" s="27"/>
      <c r="I684" s="27"/>
      <c r="J684" s="27"/>
      <c r="K684" s="27"/>
      <c r="L684" s="27"/>
      <c r="M684" s="27"/>
      <c r="N684" s="27"/>
      <c r="O684" s="27"/>
      <c r="P684" s="27"/>
      <c r="Q684" s="27"/>
      <c r="R684" s="27"/>
      <c r="S684" s="27"/>
      <c r="T684" s="27"/>
      <c r="U684" s="27"/>
      <c r="V684" s="27"/>
      <c r="W684" s="27"/>
      <c r="X684" s="27"/>
      <c r="Y684" s="27"/>
      <c r="Z684" s="27"/>
      <c r="AA684" s="27"/>
      <c r="AB684" s="27"/>
      <c r="AC684" s="27"/>
    </row>
    <row r="685" spans="1:29">
      <c r="A685" s="358"/>
      <c r="B685" s="359"/>
      <c r="C685" s="360"/>
      <c r="D685" s="27"/>
      <c r="E685" s="27"/>
      <c r="F685" s="27"/>
      <c r="G685" s="27"/>
      <c r="H685" s="27"/>
      <c r="I685" s="27"/>
      <c r="J685" s="27"/>
      <c r="K685" s="27"/>
      <c r="L685" s="27"/>
      <c r="M685" s="27"/>
      <c r="N685" s="27"/>
      <c r="O685" s="27"/>
      <c r="P685" s="27"/>
      <c r="Q685" s="27"/>
      <c r="R685" s="27"/>
      <c r="S685" s="27"/>
      <c r="T685" s="27"/>
      <c r="U685" s="27"/>
      <c r="V685" s="27"/>
      <c r="W685" s="27"/>
      <c r="X685" s="27"/>
      <c r="Y685" s="27"/>
      <c r="Z685" s="27"/>
      <c r="AA685" s="27"/>
      <c r="AB685" s="27"/>
      <c r="AC685" s="27"/>
    </row>
    <row r="686" spans="1:29">
      <c r="A686" s="358"/>
      <c r="B686" s="359"/>
      <c r="C686" s="360"/>
      <c r="D686" s="27"/>
      <c r="E686" s="27"/>
      <c r="F686" s="27"/>
      <c r="G686" s="27"/>
      <c r="H686" s="27"/>
      <c r="I686" s="27"/>
      <c r="J686" s="27"/>
      <c r="K686" s="27"/>
      <c r="L686" s="27"/>
      <c r="M686" s="27"/>
      <c r="N686" s="27"/>
      <c r="O686" s="27"/>
      <c r="P686" s="27"/>
      <c r="Q686" s="27"/>
      <c r="R686" s="27"/>
      <c r="S686" s="27"/>
      <c r="T686" s="27"/>
      <c r="U686" s="27"/>
      <c r="V686" s="27"/>
      <c r="W686" s="27"/>
      <c r="X686" s="27"/>
      <c r="Y686" s="27"/>
      <c r="Z686" s="27"/>
      <c r="AA686" s="27"/>
      <c r="AB686" s="27"/>
      <c r="AC686" s="27"/>
    </row>
    <row r="687" spans="1:29">
      <c r="A687" s="358"/>
      <c r="B687" s="359"/>
      <c r="C687" s="360"/>
      <c r="D687" s="27"/>
      <c r="E687" s="27"/>
      <c r="F687" s="27"/>
      <c r="G687" s="27"/>
      <c r="H687" s="27"/>
      <c r="I687" s="27"/>
      <c r="J687" s="27"/>
      <c r="K687" s="27"/>
      <c r="L687" s="27"/>
      <c r="M687" s="27"/>
      <c r="N687" s="27"/>
      <c r="O687" s="27"/>
      <c r="P687" s="27"/>
      <c r="Q687" s="27"/>
      <c r="R687" s="27"/>
      <c r="S687" s="27"/>
      <c r="T687" s="27"/>
      <c r="U687" s="27"/>
      <c r="V687" s="27"/>
      <c r="W687" s="27"/>
      <c r="X687" s="27"/>
      <c r="Y687" s="27"/>
      <c r="Z687" s="27"/>
      <c r="AA687" s="27"/>
      <c r="AB687" s="27"/>
      <c r="AC687" s="27"/>
    </row>
    <row r="688" spans="1:29">
      <c r="A688" s="358"/>
      <c r="B688" s="359"/>
      <c r="C688" s="360"/>
      <c r="D688" s="27"/>
      <c r="E688" s="27"/>
      <c r="F688" s="27"/>
      <c r="G688" s="27"/>
      <c r="H688" s="27"/>
      <c r="I688" s="27"/>
      <c r="J688" s="27"/>
      <c r="K688" s="27"/>
      <c r="L688" s="27"/>
      <c r="M688" s="27"/>
      <c r="N688" s="27"/>
      <c r="O688" s="27"/>
      <c r="P688" s="27"/>
      <c r="Q688" s="27"/>
      <c r="R688" s="27"/>
      <c r="S688" s="27"/>
      <c r="T688" s="27"/>
      <c r="U688" s="27"/>
      <c r="V688" s="27"/>
      <c r="W688" s="27"/>
      <c r="X688" s="27"/>
      <c r="Y688" s="27"/>
      <c r="Z688" s="27"/>
      <c r="AA688" s="27"/>
      <c r="AB688" s="27"/>
      <c r="AC688" s="27"/>
    </row>
    <row r="689" spans="1:29">
      <c r="A689" s="358"/>
      <c r="B689" s="359"/>
      <c r="C689" s="360"/>
      <c r="D689" s="27"/>
      <c r="E689" s="27"/>
      <c r="F689" s="27"/>
      <c r="G689" s="27"/>
      <c r="H689" s="27"/>
      <c r="I689" s="27"/>
      <c r="J689" s="27"/>
      <c r="K689" s="27"/>
      <c r="L689" s="27"/>
      <c r="M689" s="27"/>
      <c r="N689" s="27"/>
      <c r="O689" s="27"/>
      <c r="P689" s="27"/>
      <c r="Q689" s="27"/>
      <c r="R689" s="27"/>
      <c r="S689" s="27"/>
      <c r="T689" s="27"/>
      <c r="U689" s="27"/>
      <c r="V689" s="27"/>
      <c r="W689" s="27"/>
      <c r="X689" s="27"/>
      <c r="Y689" s="27"/>
      <c r="Z689" s="27"/>
      <c r="AA689" s="27"/>
      <c r="AB689" s="27"/>
      <c r="AC689" s="27"/>
    </row>
    <row r="690" spans="1:29">
      <c r="A690" s="358"/>
      <c r="B690" s="359"/>
      <c r="C690" s="360"/>
      <c r="D690" s="27"/>
      <c r="E690" s="27"/>
      <c r="F690" s="27"/>
      <c r="G690" s="27"/>
      <c r="H690" s="27"/>
      <c r="I690" s="27"/>
      <c r="J690" s="27"/>
      <c r="K690" s="27"/>
      <c r="L690" s="27"/>
      <c r="M690" s="27"/>
      <c r="N690" s="27"/>
      <c r="O690" s="27"/>
      <c r="P690" s="27"/>
      <c r="Q690" s="27"/>
      <c r="R690" s="27"/>
      <c r="S690" s="27"/>
      <c r="T690" s="27"/>
      <c r="U690" s="27"/>
      <c r="V690" s="27"/>
      <c r="W690" s="27"/>
      <c r="X690" s="27"/>
      <c r="Y690" s="27"/>
      <c r="Z690" s="27"/>
      <c r="AA690" s="27"/>
      <c r="AB690" s="27"/>
      <c r="AC690" s="27"/>
    </row>
    <row r="691" spans="1:29">
      <c r="A691" s="358"/>
      <c r="B691" s="359"/>
      <c r="C691" s="360"/>
      <c r="D691" s="27"/>
      <c r="E691" s="27"/>
      <c r="F691" s="27"/>
      <c r="G691" s="27"/>
      <c r="H691" s="27"/>
      <c r="I691" s="27"/>
      <c r="J691" s="27"/>
      <c r="K691" s="27"/>
      <c r="L691" s="27"/>
      <c r="M691" s="27"/>
      <c r="N691" s="27"/>
      <c r="O691" s="27"/>
      <c r="P691" s="27"/>
      <c r="Q691" s="27"/>
      <c r="R691" s="27"/>
      <c r="S691" s="27"/>
      <c r="T691" s="27"/>
      <c r="U691" s="27"/>
      <c r="V691" s="27"/>
      <c r="W691" s="27"/>
      <c r="X691" s="27"/>
      <c r="Y691" s="27"/>
      <c r="Z691" s="27"/>
      <c r="AA691" s="27"/>
      <c r="AB691" s="27"/>
      <c r="AC691" s="27"/>
    </row>
    <row r="692" spans="1:29">
      <c r="A692" s="358"/>
      <c r="B692" s="359"/>
      <c r="C692" s="360"/>
      <c r="D692" s="27"/>
      <c r="E692" s="27"/>
      <c r="F692" s="27"/>
      <c r="G692" s="27"/>
      <c r="H692" s="27"/>
      <c r="I692" s="27"/>
      <c r="J692" s="27"/>
      <c r="K692" s="27"/>
      <c r="L692" s="27"/>
      <c r="M692" s="27"/>
      <c r="N692" s="27"/>
      <c r="O692" s="27"/>
      <c r="P692" s="27"/>
      <c r="Q692" s="27"/>
      <c r="R692" s="27"/>
      <c r="S692" s="27"/>
      <c r="T692" s="27"/>
      <c r="U692" s="27"/>
      <c r="V692" s="27"/>
      <c r="W692" s="27"/>
      <c r="X692" s="27"/>
      <c r="Y692" s="27"/>
      <c r="Z692" s="27"/>
      <c r="AA692" s="27"/>
      <c r="AB692" s="27"/>
      <c r="AC692" s="27"/>
    </row>
    <row r="693" spans="1:29">
      <c r="A693" s="358"/>
      <c r="B693" s="359"/>
      <c r="C693" s="360"/>
      <c r="D693" s="27"/>
      <c r="E693" s="27"/>
      <c r="F693" s="27"/>
      <c r="G693" s="27"/>
      <c r="H693" s="27"/>
      <c r="I693" s="27"/>
      <c r="J693" s="27"/>
      <c r="K693" s="27"/>
      <c r="L693" s="27"/>
      <c r="M693" s="27"/>
      <c r="N693" s="27"/>
      <c r="O693" s="27"/>
      <c r="P693" s="27"/>
      <c r="Q693" s="27"/>
      <c r="R693" s="27"/>
      <c r="S693" s="27"/>
      <c r="T693" s="27"/>
      <c r="U693" s="27"/>
      <c r="V693" s="27"/>
      <c r="W693" s="27"/>
      <c r="X693" s="27"/>
      <c r="Y693" s="27"/>
      <c r="Z693" s="27"/>
      <c r="AA693" s="27"/>
      <c r="AB693" s="27"/>
      <c r="AC693" s="27"/>
    </row>
    <row r="694" spans="1:29">
      <c r="A694" s="358"/>
      <c r="B694" s="359"/>
      <c r="C694" s="360"/>
      <c r="D694" s="27"/>
      <c r="E694" s="27"/>
      <c r="F694" s="27"/>
      <c r="G694" s="27"/>
      <c r="H694" s="27"/>
      <c r="I694" s="27"/>
      <c r="J694" s="27"/>
      <c r="K694" s="27"/>
      <c r="L694" s="27"/>
      <c r="M694" s="27"/>
      <c r="N694" s="27"/>
      <c r="O694" s="27"/>
      <c r="P694" s="27"/>
      <c r="Q694" s="27"/>
      <c r="R694" s="27"/>
      <c r="S694" s="27"/>
      <c r="T694" s="27"/>
      <c r="U694" s="27"/>
      <c r="V694" s="27"/>
      <c r="W694" s="27"/>
      <c r="X694" s="27"/>
      <c r="Y694" s="27"/>
      <c r="Z694" s="27"/>
      <c r="AA694" s="27"/>
      <c r="AB694" s="27"/>
      <c r="AC694" s="27"/>
    </row>
    <row r="695" spans="1:29">
      <c r="A695" s="358"/>
      <c r="B695" s="359"/>
      <c r="C695" s="360"/>
      <c r="D695" s="27"/>
      <c r="E695" s="27"/>
      <c r="F695" s="27"/>
      <c r="G695" s="27"/>
      <c r="H695" s="27"/>
      <c r="I695" s="27"/>
      <c r="J695" s="27"/>
      <c r="K695" s="27"/>
      <c r="L695" s="27"/>
      <c r="M695" s="27"/>
      <c r="N695" s="27"/>
      <c r="O695" s="27"/>
      <c r="P695" s="27"/>
      <c r="Q695" s="27"/>
      <c r="R695" s="27"/>
      <c r="S695" s="27"/>
      <c r="T695" s="27"/>
      <c r="U695" s="27"/>
      <c r="V695" s="27"/>
      <c r="W695" s="27"/>
      <c r="X695" s="27"/>
      <c r="Y695" s="27"/>
      <c r="Z695" s="27"/>
      <c r="AA695" s="27"/>
      <c r="AB695" s="27"/>
      <c r="AC695" s="27"/>
    </row>
    <row r="696" spans="1:29">
      <c r="A696" s="358"/>
      <c r="B696" s="359"/>
      <c r="C696" s="360"/>
      <c r="D696" s="27"/>
      <c r="E696" s="27"/>
      <c r="F696" s="27"/>
      <c r="G696" s="27"/>
      <c r="H696" s="27"/>
      <c r="I696" s="27"/>
      <c r="J696" s="27"/>
      <c r="K696" s="27"/>
      <c r="L696" s="27"/>
      <c r="M696" s="27"/>
      <c r="N696" s="27"/>
      <c r="O696" s="27"/>
      <c r="P696" s="27"/>
      <c r="Q696" s="27"/>
      <c r="R696" s="27"/>
      <c r="S696" s="27"/>
      <c r="T696" s="27"/>
      <c r="U696" s="27"/>
      <c r="V696" s="27"/>
      <c r="W696" s="27"/>
      <c r="X696" s="27"/>
      <c r="Y696" s="27"/>
      <c r="Z696" s="27"/>
      <c r="AA696" s="27"/>
      <c r="AB696" s="27"/>
      <c r="AC696" s="27"/>
    </row>
    <row r="697" spans="1:29">
      <c r="A697" s="358"/>
      <c r="B697" s="359"/>
      <c r="C697" s="360"/>
      <c r="D697" s="27"/>
      <c r="E697" s="27"/>
      <c r="F697" s="27"/>
      <c r="G697" s="27"/>
      <c r="H697" s="27"/>
      <c r="I697" s="27"/>
      <c r="J697" s="27"/>
      <c r="K697" s="27"/>
      <c r="L697" s="27"/>
      <c r="M697" s="27"/>
      <c r="N697" s="27"/>
      <c r="O697" s="27"/>
      <c r="P697" s="27"/>
      <c r="Q697" s="27"/>
      <c r="R697" s="27"/>
      <c r="S697" s="27"/>
      <c r="T697" s="27"/>
      <c r="U697" s="27"/>
      <c r="V697" s="27"/>
      <c r="W697" s="27"/>
      <c r="X697" s="27"/>
      <c r="Y697" s="27"/>
      <c r="Z697" s="27"/>
      <c r="AA697" s="27"/>
      <c r="AB697" s="27"/>
      <c r="AC697" s="27"/>
    </row>
    <row r="698" spans="1:29">
      <c r="A698" s="358"/>
      <c r="B698" s="359"/>
      <c r="C698" s="360"/>
      <c r="D698" s="27"/>
      <c r="E698" s="27"/>
      <c r="F698" s="27"/>
      <c r="G698" s="27"/>
      <c r="H698" s="27"/>
      <c r="I698" s="27"/>
      <c r="J698" s="27"/>
      <c r="K698" s="27"/>
      <c r="L698" s="27"/>
      <c r="M698" s="27"/>
      <c r="N698" s="27"/>
      <c r="O698" s="27"/>
      <c r="P698" s="27"/>
      <c r="Q698" s="27"/>
      <c r="R698" s="27"/>
      <c r="S698" s="27"/>
      <c r="T698" s="27"/>
      <c r="U698" s="27"/>
      <c r="V698" s="27"/>
      <c r="W698" s="27"/>
      <c r="X698" s="27"/>
      <c r="Y698" s="27"/>
      <c r="Z698" s="27"/>
      <c r="AA698" s="27"/>
      <c r="AB698" s="27"/>
      <c r="AC698" s="27"/>
    </row>
    <row r="699" spans="1:29">
      <c r="A699" s="358"/>
      <c r="B699" s="359"/>
      <c r="C699" s="360"/>
      <c r="D699" s="27"/>
      <c r="E699" s="27"/>
      <c r="F699" s="27"/>
      <c r="G699" s="27"/>
      <c r="H699" s="27"/>
      <c r="I699" s="27"/>
      <c r="J699" s="27"/>
      <c r="K699" s="27"/>
      <c r="L699" s="27"/>
      <c r="M699" s="27"/>
      <c r="N699" s="27"/>
      <c r="O699" s="27"/>
      <c r="P699" s="27"/>
      <c r="Q699" s="27"/>
      <c r="R699" s="27"/>
      <c r="S699" s="27"/>
      <c r="T699" s="27"/>
      <c r="U699" s="27"/>
      <c r="V699" s="27"/>
      <c r="W699" s="27"/>
      <c r="X699" s="27"/>
      <c r="Y699" s="27"/>
      <c r="Z699" s="27"/>
      <c r="AA699" s="27"/>
      <c r="AB699" s="27"/>
      <c r="AC699" s="27"/>
    </row>
    <row r="700" spans="1:29">
      <c r="A700" s="358"/>
      <c r="B700" s="359"/>
      <c r="C700" s="360"/>
      <c r="D700" s="27"/>
      <c r="E700" s="27"/>
      <c r="F700" s="27"/>
      <c r="G700" s="27"/>
      <c r="H700" s="27"/>
      <c r="I700" s="27"/>
      <c r="J700" s="27"/>
      <c r="K700" s="27"/>
      <c r="L700" s="27"/>
      <c r="M700" s="27"/>
      <c r="N700" s="27"/>
      <c r="O700" s="27"/>
      <c r="P700" s="27"/>
      <c r="Q700" s="27"/>
      <c r="R700" s="27"/>
      <c r="S700" s="27"/>
      <c r="T700" s="27"/>
      <c r="U700" s="27"/>
      <c r="V700" s="27"/>
      <c r="W700" s="27"/>
      <c r="X700" s="27"/>
      <c r="Y700" s="27"/>
      <c r="Z700" s="27"/>
      <c r="AA700" s="27"/>
      <c r="AB700" s="27"/>
      <c r="AC700" s="27"/>
    </row>
    <row r="701" spans="1:29">
      <c r="A701" s="358"/>
      <c r="B701" s="359"/>
      <c r="C701" s="360"/>
      <c r="D701" s="27"/>
      <c r="E701" s="27"/>
      <c r="F701" s="27"/>
      <c r="G701" s="27"/>
      <c r="H701" s="27"/>
      <c r="I701" s="27"/>
      <c r="J701" s="27"/>
      <c r="K701" s="27"/>
      <c r="L701" s="27"/>
      <c r="M701" s="27"/>
      <c r="N701" s="27"/>
      <c r="O701" s="27"/>
      <c r="P701" s="27"/>
      <c r="Q701" s="27"/>
      <c r="R701" s="27"/>
      <c r="S701" s="27"/>
      <c r="T701" s="27"/>
      <c r="U701" s="27"/>
      <c r="V701" s="27"/>
      <c r="W701" s="27"/>
      <c r="X701" s="27"/>
      <c r="Y701" s="27"/>
      <c r="Z701" s="27"/>
      <c r="AA701" s="27"/>
      <c r="AB701" s="27"/>
      <c r="AC701" s="27"/>
    </row>
    <row r="702" spans="1:29">
      <c r="A702" s="358"/>
      <c r="B702" s="359"/>
      <c r="C702" s="360"/>
      <c r="D702" s="27"/>
      <c r="E702" s="27"/>
      <c r="F702" s="27"/>
      <c r="G702" s="27"/>
      <c r="H702" s="27"/>
      <c r="I702" s="27"/>
      <c r="J702" s="27"/>
      <c r="K702" s="27"/>
      <c r="L702" s="27"/>
      <c r="M702" s="27"/>
      <c r="N702" s="27"/>
      <c r="O702" s="27"/>
      <c r="P702" s="27"/>
      <c r="Q702" s="27"/>
      <c r="R702" s="27"/>
      <c r="S702" s="27"/>
      <c r="T702" s="27"/>
      <c r="U702" s="27"/>
      <c r="V702" s="27"/>
      <c r="W702" s="27"/>
      <c r="X702" s="27"/>
      <c r="Y702" s="27"/>
      <c r="Z702" s="27"/>
      <c r="AA702" s="27"/>
      <c r="AB702" s="27"/>
      <c r="AC702" s="27"/>
    </row>
    <row r="703" spans="1:29">
      <c r="A703" s="358"/>
      <c r="B703" s="359"/>
      <c r="C703" s="360"/>
      <c r="D703" s="27"/>
      <c r="E703" s="27"/>
      <c r="F703" s="27"/>
      <c r="G703" s="27"/>
      <c r="H703" s="27"/>
      <c r="I703" s="27"/>
      <c r="J703" s="27"/>
      <c r="K703" s="27"/>
      <c r="L703" s="27"/>
      <c r="M703" s="27"/>
      <c r="N703" s="27"/>
      <c r="O703" s="27"/>
      <c r="P703" s="27"/>
      <c r="Q703" s="27"/>
      <c r="R703" s="27"/>
      <c r="S703" s="27"/>
      <c r="T703" s="27"/>
      <c r="U703" s="27"/>
      <c r="V703" s="27"/>
      <c r="W703" s="27"/>
      <c r="X703" s="27"/>
      <c r="Y703" s="27"/>
      <c r="Z703" s="27"/>
      <c r="AA703" s="27"/>
      <c r="AB703" s="27"/>
      <c r="AC703" s="27"/>
    </row>
    <row r="704" spans="1:29">
      <c r="A704" s="358"/>
      <c r="B704" s="359"/>
      <c r="C704" s="360"/>
      <c r="D704" s="27"/>
      <c r="E704" s="27"/>
      <c r="F704" s="27"/>
      <c r="G704" s="27"/>
      <c r="H704" s="27"/>
      <c r="I704" s="27"/>
      <c r="J704" s="27"/>
      <c r="K704" s="27"/>
      <c r="L704" s="27"/>
      <c r="M704" s="27"/>
      <c r="N704" s="27"/>
      <c r="O704" s="27"/>
      <c r="P704" s="27"/>
      <c r="Q704" s="27"/>
      <c r="R704" s="27"/>
      <c r="S704" s="27"/>
      <c r="T704" s="27"/>
      <c r="U704" s="27"/>
      <c r="V704" s="27"/>
      <c r="W704" s="27"/>
      <c r="X704" s="27"/>
      <c r="Y704" s="27"/>
      <c r="Z704" s="27"/>
      <c r="AA704" s="27"/>
      <c r="AB704" s="27"/>
      <c r="AC704" s="27"/>
    </row>
    <row r="705" spans="1:29">
      <c r="A705" s="358"/>
      <c r="B705" s="359"/>
      <c r="C705" s="360"/>
      <c r="D705" s="27"/>
      <c r="E705" s="27"/>
      <c r="F705" s="27"/>
      <c r="G705" s="27"/>
      <c r="H705" s="27"/>
      <c r="I705" s="27"/>
      <c r="J705" s="27"/>
      <c r="K705" s="27"/>
      <c r="L705" s="27"/>
      <c r="M705" s="27"/>
      <c r="N705" s="27"/>
      <c r="O705" s="27"/>
      <c r="P705" s="27"/>
      <c r="Q705" s="27"/>
      <c r="R705" s="27"/>
      <c r="S705" s="27"/>
      <c r="T705" s="27"/>
      <c r="U705" s="27"/>
      <c r="V705" s="27"/>
      <c r="W705" s="27"/>
      <c r="X705" s="27"/>
      <c r="Y705" s="27"/>
      <c r="Z705" s="27"/>
      <c r="AA705" s="27"/>
      <c r="AB705" s="27"/>
      <c r="AC705" s="27"/>
    </row>
    <row r="706" spans="1:29">
      <c r="A706" s="358"/>
      <c r="B706" s="359"/>
      <c r="C706" s="360"/>
      <c r="D706" s="27"/>
      <c r="E706" s="27"/>
      <c r="F706" s="27"/>
      <c r="G706" s="27"/>
      <c r="H706" s="27"/>
      <c r="I706" s="27"/>
      <c r="J706" s="27"/>
      <c r="K706" s="27"/>
      <c r="L706" s="27"/>
      <c r="M706" s="27"/>
      <c r="N706" s="27"/>
      <c r="O706" s="27"/>
      <c r="P706" s="27"/>
      <c r="Q706" s="27"/>
      <c r="R706" s="27"/>
      <c r="S706" s="27"/>
      <c r="T706" s="27"/>
      <c r="U706" s="27"/>
      <c r="V706" s="27"/>
      <c r="W706" s="27"/>
      <c r="X706" s="27"/>
      <c r="Y706" s="27"/>
      <c r="Z706" s="27"/>
      <c r="AA706" s="27"/>
      <c r="AB706" s="27"/>
      <c r="AC706" s="27"/>
    </row>
    <row r="707" spans="1:29">
      <c r="A707" s="358"/>
      <c r="B707" s="359"/>
      <c r="C707" s="360"/>
      <c r="D707" s="27"/>
      <c r="E707" s="27"/>
      <c r="F707" s="27"/>
      <c r="G707" s="27"/>
      <c r="H707" s="27"/>
      <c r="I707" s="27"/>
      <c r="J707" s="27"/>
      <c r="K707" s="27"/>
      <c r="L707" s="27"/>
      <c r="M707" s="27"/>
      <c r="N707" s="27"/>
      <c r="O707" s="27"/>
      <c r="P707" s="27"/>
      <c r="Q707" s="27"/>
      <c r="R707" s="27"/>
      <c r="S707" s="27"/>
      <c r="T707" s="27"/>
      <c r="U707" s="27"/>
      <c r="V707" s="27"/>
      <c r="W707" s="27"/>
      <c r="X707" s="27"/>
      <c r="Y707" s="27"/>
      <c r="Z707" s="27"/>
      <c r="AA707" s="27"/>
      <c r="AB707" s="27"/>
      <c r="AC707" s="27"/>
    </row>
    <row r="708" spans="1:29">
      <c r="A708" s="358"/>
      <c r="B708" s="359"/>
      <c r="C708" s="360"/>
      <c r="D708" s="27"/>
      <c r="E708" s="27"/>
      <c r="F708" s="27"/>
      <c r="G708" s="27"/>
      <c r="H708" s="27"/>
      <c r="I708" s="27"/>
      <c r="J708" s="27"/>
      <c r="K708" s="27"/>
      <c r="L708" s="27"/>
      <c r="M708" s="27"/>
      <c r="N708" s="27"/>
      <c r="O708" s="27"/>
      <c r="P708" s="27"/>
      <c r="Q708" s="27"/>
      <c r="R708" s="27"/>
      <c r="S708" s="27"/>
      <c r="T708" s="27"/>
      <c r="U708" s="27"/>
      <c r="V708" s="27"/>
      <c r="W708" s="27"/>
      <c r="X708" s="27"/>
      <c r="Y708" s="27"/>
      <c r="Z708" s="27"/>
      <c r="AA708" s="27"/>
      <c r="AB708" s="27"/>
      <c r="AC708" s="27"/>
    </row>
    <row r="709" spans="1:29">
      <c r="A709" s="358"/>
      <c r="B709" s="359"/>
      <c r="C709" s="360"/>
      <c r="D709" s="27"/>
      <c r="E709" s="27"/>
      <c r="F709" s="27"/>
      <c r="G709" s="27"/>
      <c r="H709" s="27"/>
      <c r="I709" s="27"/>
      <c r="J709" s="27"/>
      <c r="K709" s="27"/>
      <c r="L709" s="27"/>
      <c r="M709" s="27"/>
      <c r="N709" s="27"/>
      <c r="O709" s="27"/>
      <c r="P709" s="27"/>
      <c r="Q709" s="27"/>
      <c r="R709" s="27"/>
      <c r="S709" s="27"/>
      <c r="T709" s="27"/>
      <c r="U709" s="27"/>
      <c r="V709" s="27"/>
      <c r="W709" s="27"/>
      <c r="X709" s="27"/>
      <c r="Y709" s="27"/>
      <c r="Z709" s="27"/>
      <c r="AA709" s="27"/>
      <c r="AB709" s="27"/>
      <c r="AC709" s="27"/>
    </row>
    <row r="710" spans="1:29">
      <c r="A710" s="358"/>
      <c r="B710" s="359"/>
      <c r="C710" s="360"/>
      <c r="D710" s="27"/>
      <c r="E710" s="27"/>
      <c r="F710" s="27"/>
      <c r="G710" s="27"/>
      <c r="H710" s="27"/>
      <c r="I710" s="27"/>
      <c r="J710" s="27"/>
      <c r="K710" s="27"/>
      <c r="L710" s="27"/>
      <c r="M710" s="27"/>
      <c r="N710" s="27"/>
      <c r="O710" s="27"/>
      <c r="P710" s="27"/>
      <c r="Q710" s="27"/>
      <c r="R710" s="27"/>
      <c r="S710" s="27"/>
      <c r="T710" s="27"/>
      <c r="U710" s="27"/>
      <c r="V710" s="27"/>
      <c r="W710" s="27"/>
      <c r="X710" s="27"/>
      <c r="Y710" s="27"/>
      <c r="Z710" s="27"/>
      <c r="AA710" s="27"/>
      <c r="AB710" s="27"/>
      <c r="AC710" s="27"/>
    </row>
    <row r="711" spans="1:29">
      <c r="A711" s="358"/>
      <c r="B711" s="359"/>
      <c r="C711" s="360"/>
      <c r="D711" s="27"/>
      <c r="E711" s="27"/>
      <c r="F711" s="27"/>
      <c r="G711" s="27"/>
      <c r="H711" s="27"/>
      <c r="I711" s="27"/>
      <c r="J711" s="27"/>
      <c r="K711" s="27"/>
      <c r="L711" s="27"/>
      <c r="M711" s="27"/>
      <c r="N711" s="27"/>
      <c r="O711" s="27"/>
      <c r="P711" s="27"/>
      <c r="Q711" s="27"/>
      <c r="R711" s="27"/>
      <c r="S711" s="27"/>
      <c r="T711" s="27"/>
      <c r="U711" s="27"/>
      <c r="V711" s="27"/>
      <c r="W711" s="27"/>
      <c r="X711" s="27"/>
      <c r="Y711" s="27"/>
      <c r="Z711" s="27"/>
      <c r="AA711" s="27"/>
      <c r="AB711" s="27"/>
      <c r="AC711" s="27"/>
    </row>
    <row r="712" spans="1:29">
      <c r="A712" s="358"/>
      <c r="B712" s="359"/>
      <c r="C712" s="360"/>
      <c r="D712" s="27"/>
      <c r="E712" s="27"/>
      <c r="F712" s="27"/>
      <c r="G712" s="27"/>
      <c r="H712" s="27"/>
      <c r="I712" s="27"/>
      <c r="J712" s="27"/>
      <c r="K712" s="27"/>
      <c r="L712" s="27"/>
      <c r="M712" s="27"/>
      <c r="N712" s="27"/>
      <c r="O712" s="27"/>
      <c r="P712" s="27"/>
      <c r="Q712" s="27"/>
      <c r="R712" s="27"/>
      <c r="S712" s="27"/>
      <c r="T712" s="27"/>
      <c r="U712" s="27"/>
      <c r="V712" s="27"/>
      <c r="W712" s="27"/>
      <c r="X712" s="27"/>
      <c r="Y712" s="27"/>
      <c r="Z712" s="27"/>
      <c r="AA712" s="27"/>
      <c r="AB712" s="27"/>
      <c r="AC712" s="27"/>
    </row>
    <row r="713" spans="1:29">
      <c r="A713" s="358"/>
      <c r="B713" s="359"/>
      <c r="C713" s="360"/>
      <c r="D713" s="27"/>
      <c r="E713" s="27"/>
      <c r="F713" s="27"/>
      <c r="G713" s="27"/>
      <c r="H713" s="27"/>
      <c r="I713" s="27"/>
      <c r="J713" s="27"/>
      <c r="K713" s="27"/>
      <c r="L713" s="27"/>
      <c r="M713" s="27"/>
      <c r="N713" s="27"/>
      <c r="O713" s="27"/>
      <c r="P713" s="27"/>
      <c r="Q713" s="27"/>
      <c r="R713" s="27"/>
      <c r="S713" s="27"/>
      <c r="T713" s="27"/>
      <c r="U713" s="27"/>
      <c r="V713" s="27"/>
      <c r="W713" s="27"/>
      <c r="X713" s="27"/>
      <c r="Y713" s="27"/>
      <c r="Z713" s="27"/>
      <c r="AA713" s="27"/>
      <c r="AB713" s="27"/>
      <c r="AC713" s="27"/>
    </row>
    <row r="714" spans="1:29">
      <c r="A714" s="358"/>
      <c r="B714" s="359"/>
      <c r="C714" s="360"/>
      <c r="D714" s="27"/>
      <c r="E714" s="27"/>
      <c r="F714" s="27"/>
      <c r="G714" s="27"/>
      <c r="H714" s="27"/>
      <c r="I714" s="27"/>
      <c r="J714" s="27"/>
      <c r="K714" s="27"/>
      <c r="L714" s="27"/>
      <c r="M714" s="27"/>
      <c r="N714" s="27"/>
      <c r="O714" s="27"/>
      <c r="P714" s="27"/>
      <c r="Q714" s="27"/>
      <c r="R714" s="27"/>
      <c r="S714" s="27"/>
      <c r="T714" s="27"/>
      <c r="U714" s="27"/>
      <c r="V714" s="27"/>
      <c r="W714" s="27"/>
      <c r="X714" s="27"/>
      <c r="Y714" s="27"/>
      <c r="Z714" s="27"/>
      <c r="AA714" s="27"/>
      <c r="AB714" s="27"/>
      <c r="AC714" s="27"/>
    </row>
    <row r="715" spans="1:29">
      <c r="A715" s="358"/>
      <c r="B715" s="359"/>
      <c r="C715" s="360"/>
      <c r="D715" s="27"/>
      <c r="E715" s="27"/>
      <c r="F715" s="27"/>
      <c r="G715" s="27"/>
      <c r="H715" s="27"/>
      <c r="I715" s="27"/>
      <c r="J715" s="27"/>
      <c r="K715" s="27"/>
      <c r="L715" s="27"/>
      <c r="M715" s="27"/>
      <c r="N715" s="27"/>
      <c r="O715" s="27"/>
      <c r="P715" s="27"/>
      <c r="Q715" s="27"/>
      <c r="R715" s="27"/>
      <c r="S715" s="27"/>
      <c r="T715" s="27"/>
      <c r="U715" s="27"/>
      <c r="V715" s="27"/>
      <c r="W715" s="27"/>
      <c r="X715" s="27"/>
      <c r="Y715" s="27"/>
      <c r="Z715" s="27"/>
      <c r="AA715" s="27"/>
      <c r="AB715" s="27"/>
      <c r="AC715" s="27"/>
    </row>
    <row r="716" spans="1:29">
      <c r="A716" s="358"/>
      <c r="B716" s="359"/>
      <c r="C716" s="360"/>
      <c r="D716" s="27"/>
      <c r="E716" s="27"/>
      <c r="F716" s="27"/>
      <c r="G716" s="27"/>
      <c r="H716" s="27"/>
      <c r="I716" s="27"/>
      <c r="J716" s="27"/>
      <c r="K716" s="27"/>
      <c r="L716" s="27"/>
      <c r="M716" s="27"/>
      <c r="N716" s="27"/>
      <c r="O716" s="27"/>
      <c r="P716" s="27"/>
      <c r="Q716" s="27"/>
      <c r="R716" s="27"/>
      <c r="S716" s="27"/>
      <c r="T716" s="27"/>
      <c r="U716" s="27"/>
      <c r="V716" s="27"/>
      <c r="W716" s="27"/>
      <c r="X716" s="27"/>
      <c r="Y716" s="27"/>
      <c r="Z716" s="27"/>
      <c r="AA716" s="27"/>
      <c r="AB716" s="27"/>
      <c r="AC716" s="27"/>
    </row>
    <row r="717" spans="1:29">
      <c r="A717" s="358"/>
      <c r="B717" s="359"/>
      <c r="C717" s="360"/>
      <c r="D717" s="27"/>
      <c r="E717" s="27"/>
      <c r="F717" s="27"/>
      <c r="G717" s="27"/>
      <c r="H717" s="27"/>
      <c r="I717" s="27"/>
      <c r="J717" s="27"/>
      <c r="K717" s="27"/>
      <c r="L717" s="27"/>
      <c r="M717" s="27"/>
      <c r="N717" s="27"/>
      <c r="O717" s="27"/>
      <c r="P717" s="27"/>
      <c r="Q717" s="27"/>
      <c r="R717" s="27"/>
      <c r="S717" s="27"/>
      <c r="T717" s="27"/>
      <c r="U717" s="27"/>
      <c r="V717" s="27"/>
      <c r="W717" s="27"/>
      <c r="X717" s="27"/>
      <c r="Y717" s="27"/>
      <c r="Z717" s="27"/>
      <c r="AA717" s="27"/>
      <c r="AB717" s="27"/>
      <c r="AC717" s="27"/>
    </row>
    <row r="718" spans="1:29">
      <c r="A718" s="358"/>
      <c r="B718" s="359"/>
      <c r="C718" s="360"/>
      <c r="D718" s="27"/>
      <c r="E718" s="27"/>
      <c r="F718" s="27"/>
      <c r="G718" s="27"/>
      <c r="H718" s="27"/>
      <c r="I718" s="27"/>
      <c r="J718" s="27"/>
      <c r="K718" s="27"/>
      <c r="L718" s="27"/>
      <c r="M718" s="27"/>
      <c r="N718" s="27"/>
      <c r="O718" s="27"/>
      <c r="P718" s="27"/>
      <c r="Q718" s="27"/>
      <c r="R718" s="27"/>
      <c r="S718" s="27"/>
      <c r="T718" s="27"/>
      <c r="U718" s="27"/>
      <c r="V718" s="27"/>
      <c r="W718" s="27"/>
      <c r="X718" s="27"/>
      <c r="Y718" s="27"/>
      <c r="Z718" s="27"/>
      <c r="AA718" s="27"/>
      <c r="AB718" s="27"/>
      <c r="AC718" s="27"/>
    </row>
    <row r="719" spans="1:29">
      <c r="A719" s="358"/>
      <c r="B719" s="359"/>
      <c r="C719" s="360"/>
      <c r="D719" s="27"/>
      <c r="E719" s="27"/>
      <c r="F719" s="27"/>
      <c r="G719" s="27"/>
      <c r="H719" s="27"/>
      <c r="I719" s="27"/>
      <c r="J719" s="27"/>
      <c r="K719" s="27"/>
      <c r="L719" s="27"/>
      <c r="M719" s="27"/>
      <c r="N719" s="27"/>
      <c r="O719" s="27"/>
      <c r="P719" s="27"/>
      <c r="Q719" s="27"/>
      <c r="R719" s="27"/>
      <c r="S719" s="27"/>
      <c r="T719" s="27"/>
      <c r="U719" s="27"/>
      <c r="V719" s="27"/>
      <c r="W719" s="27"/>
      <c r="X719" s="27"/>
      <c r="Y719" s="27"/>
      <c r="Z719" s="27"/>
      <c r="AA719" s="27"/>
      <c r="AB719" s="27"/>
      <c r="AC719" s="27"/>
    </row>
    <row r="720" spans="1:29">
      <c r="A720" s="358"/>
      <c r="B720" s="359"/>
      <c r="C720" s="360"/>
      <c r="D720" s="27"/>
      <c r="E720" s="27"/>
      <c r="F720" s="27"/>
      <c r="G720" s="27"/>
      <c r="H720" s="27"/>
      <c r="I720" s="27"/>
      <c r="J720" s="27"/>
      <c r="K720" s="27"/>
      <c r="L720" s="27"/>
      <c r="M720" s="27"/>
      <c r="N720" s="27"/>
      <c r="O720" s="27"/>
      <c r="P720" s="27"/>
      <c r="Q720" s="27"/>
      <c r="R720" s="27"/>
      <c r="S720" s="27"/>
      <c r="T720" s="27"/>
      <c r="U720" s="27"/>
      <c r="V720" s="27"/>
      <c r="W720" s="27"/>
      <c r="X720" s="27"/>
      <c r="Y720" s="27"/>
      <c r="Z720" s="27"/>
      <c r="AA720" s="27"/>
      <c r="AB720" s="27"/>
      <c r="AC720" s="27"/>
    </row>
    <row r="721" spans="1:29">
      <c r="A721" s="358"/>
      <c r="B721" s="359"/>
      <c r="C721" s="360"/>
      <c r="D721" s="27"/>
      <c r="E721" s="27"/>
      <c r="F721" s="27"/>
      <c r="G721" s="27"/>
      <c r="H721" s="27"/>
      <c r="I721" s="27"/>
      <c r="J721" s="27"/>
      <c r="K721" s="27"/>
      <c r="L721" s="27"/>
      <c r="M721" s="27"/>
      <c r="N721" s="27"/>
      <c r="O721" s="27"/>
      <c r="P721" s="27"/>
      <c r="Q721" s="27"/>
      <c r="R721" s="27"/>
      <c r="S721" s="27"/>
      <c r="T721" s="27"/>
      <c r="U721" s="27"/>
      <c r="V721" s="27"/>
      <c r="W721" s="27"/>
      <c r="X721" s="27"/>
      <c r="Y721" s="27"/>
      <c r="Z721" s="27"/>
      <c r="AA721" s="27"/>
      <c r="AB721" s="27"/>
      <c r="AC721" s="27"/>
    </row>
    <row r="722" spans="1:29">
      <c r="A722" s="358"/>
      <c r="B722" s="359"/>
      <c r="C722" s="360"/>
      <c r="D722" s="27"/>
      <c r="E722" s="27"/>
      <c r="F722" s="27"/>
      <c r="G722" s="27"/>
      <c r="H722" s="27"/>
      <c r="I722" s="27"/>
      <c r="J722" s="27"/>
      <c r="K722" s="27"/>
      <c r="L722" s="27"/>
      <c r="M722" s="27"/>
      <c r="N722" s="27"/>
      <c r="O722" s="27"/>
      <c r="P722" s="27"/>
      <c r="Q722" s="27"/>
      <c r="R722" s="27"/>
      <c r="S722" s="27"/>
      <c r="T722" s="27"/>
      <c r="U722" s="27"/>
      <c r="V722" s="27"/>
      <c r="W722" s="27"/>
      <c r="X722" s="27"/>
      <c r="Y722" s="27"/>
      <c r="Z722" s="27"/>
      <c r="AA722" s="27"/>
      <c r="AB722" s="27"/>
      <c r="AC722" s="27"/>
    </row>
    <row r="723" spans="1:29">
      <c r="A723" s="358"/>
      <c r="B723" s="359"/>
      <c r="C723" s="360"/>
      <c r="D723" s="27"/>
      <c r="E723" s="27"/>
      <c r="F723" s="27"/>
      <c r="G723" s="27"/>
      <c r="H723" s="27"/>
      <c r="I723" s="27"/>
      <c r="J723" s="27"/>
      <c r="K723" s="27"/>
      <c r="L723" s="27"/>
      <c r="M723" s="27"/>
      <c r="N723" s="27"/>
      <c r="O723" s="27"/>
      <c r="P723" s="27"/>
      <c r="Q723" s="27"/>
      <c r="R723" s="27"/>
      <c r="S723" s="27"/>
      <c r="T723" s="27"/>
      <c r="U723" s="27"/>
      <c r="V723" s="27"/>
      <c r="W723" s="27"/>
      <c r="X723" s="27"/>
      <c r="Y723" s="27"/>
      <c r="Z723" s="27"/>
      <c r="AA723" s="27"/>
      <c r="AB723" s="27"/>
      <c r="AC723" s="27"/>
    </row>
    <row r="724" spans="1:29">
      <c r="A724" s="358"/>
      <c r="B724" s="359"/>
      <c r="C724" s="360"/>
      <c r="D724" s="27"/>
      <c r="E724" s="27"/>
      <c r="F724" s="27"/>
      <c r="G724" s="27"/>
      <c r="H724" s="27"/>
      <c r="I724" s="27"/>
      <c r="J724" s="27"/>
      <c r="K724" s="27"/>
      <c r="L724" s="27"/>
      <c r="M724" s="27"/>
      <c r="N724" s="27"/>
      <c r="O724" s="27"/>
      <c r="P724" s="27"/>
      <c r="Q724" s="27"/>
      <c r="R724" s="27"/>
      <c r="S724" s="27"/>
      <c r="T724" s="27"/>
      <c r="U724" s="27"/>
      <c r="V724" s="27"/>
      <c r="W724" s="27"/>
      <c r="X724" s="27"/>
      <c r="Y724" s="27"/>
      <c r="Z724" s="27"/>
      <c r="AA724" s="27"/>
      <c r="AB724" s="27"/>
      <c r="AC724" s="27"/>
    </row>
    <row r="725" spans="1:29">
      <c r="A725" s="358"/>
      <c r="B725" s="359"/>
      <c r="C725" s="360"/>
      <c r="D725" s="27"/>
      <c r="E725" s="27"/>
      <c r="F725" s="27"/>
      <c r="G725" s="27"/>
      <c r="H725" s="27"/>
      <c r="I725" s="27"/>
      <c r="J725" s="27"/>
      <c r="K725" s="27"/>
      <c r="L725" s="27"/>
      <c r="M725" s="27"/>
      <c r="N725" s="27"/>
      <c r="O725" s="27"/>
      <c r="P725" s="27"/>
      <c r="Q725" s="27"/>
      <c r="R725" s="27"/>
      <c r="S725" s="27"/>
      <c r="T725" s="27"/>
      <c r="U725" s="27"/>
      <c r="V725" s="27"/>
      <c r="W725" s="27"/>
      <c r="X725" s="27"/>
      <c r="Y725" s="27"/>
      <c r="Z725" s="27"/>
      <c r="AA725" s="27"/>
      <c r="AB725" s="27"/>
      <c r="AC725" s="27"/>
    </row>
    <row r="726" spans="1:29">
      <c r="A726" s="358"/>
      <c r="B726" s="359"/>
      <c r="C726" s="360"/>
      <c r="D726" s="27"/>
      <c r="E726" s="27"/>
      <c r="F726" s="27"/>
      <c r="G726" s="27"/>
      <c r="H726" s="27"/>
      <c r="I726" s="27"/>
      <c r="J726" s="27"/>
      <c r="K726" s="27"/>
      <c r="L726" s="27"/>
      <c r="M726" s="27"/>
      <c r="N726" s="27"/>
      <c r="O726" s="27"/>
      <c r="P726" s="27"/>
      <c r="Q726" s="27"/>
      <c r="R726" s="27"/>
      <c r="S726" s="27"/>
      <c r="T726" s="27"/>
      <c r="U726" s="27"/>
      <c r="V726" s="27"/>
      <c r="W726" s="27"/>
      <c r="X726" s="27"/>
      <c r="Y726" s="27"/>
      <c r="Z726" s="27"/>
      <c r="AA726" s="27"/>
      <c r="AB726" s="27"/>
      <c r="AC726" s="27"/>
    </row>
    <row r="727" spans="1:29">
      <c r="A727" s="358"/>
      <c r="B727" s="359"/>
      <c r="C727" s="360"/>
      <c r="D727" s="27"/>
      <c r="E727" s="27"/>
      <c r="F727" s="27"/>
      <c r="G727" s="27"/>
      <c r="H727" s="27"/>
      <c r="I727" s="27"/>
      <c r="J727" s="27"/>
      <c r="K727" s="27"/>
      <c r="L727" s="27"/>
      <c r="M727" s="27"/>
      <c r="N727" s="27"/>
      <c r="O727" s="27"/>
      <c r="P727" s="27"/>
      <c r="Q727" s="27"/>
      <c r="R727" s="27"/>
      <c r="S727" s="27"/>
      <c r="T727" s="27"/>
      <c r="U727" s="27"/>
      <c r="V727" s="27"/>
      <c r="W727" s="27"/>
      <c r="X727" s="27"/>
      <c r="Y727" s="27"/>
      <c r="Z727" s="27"/>
      <c r="AA727" s="27"/>
      <c r="AB727" s="27"/>
      <c r="AC727" s="27"/>
    </row>
    <row r="728" spans="1:29">
      <c r="A728" s="358"/>
      <c r="B728" s="359"/>
      <c r="C728" s="360"/>
      <c r="D728" s="27"/>
      <c r="E728" s="27"/>
      <c r="F728" s="27"/>
      <c r="G728" s="27"/>
      <c r="H728" s="27"/>
      <c r="I728" s="27"/>
      <c r="J728" s="27"/>
      <c r="K728" s="27"/>
      <c r="L728" s="27"/>
      <c r="M728" s="27"/>
      <c r="N728" s="27"/>
      <c r="O728" s="27"/>
      <c r="P728" s="27"/>
      <c r="Q728" s="27"/>
      <c r="R728" s="27"/>
      <c r="S728" s="27"/>
      <c r="T728" s="27"/>
      <c r="U728" s="27"/>
      <c r="V728" s="27"/>
      <c r="W728" s="27"/>
      <c r="X728" s="27"/>
      <c r="Y728" s="27"/>
      <c r="Z728" s="27"/>
      <c r="AA728" s="27"/>
      <c r="AB728" s="27"/>
      <c r="AC728" s="27"/>
    </row>
    <row r="729" spans="1:29">
      <c r="A729" s="358"/>
      <c r="B729" s="359"/>
      <c r="C729" s="360"/>
      <c r="D729" s="27"/>
      <c r="E729" s="27"/>
      <c r="F729" s="27"/>
      <c r="G729" s="27"/>
      <c r="H729" s="27"/>
      <c r="I729" s="27"/>
      <c r="J729" s="27"/>
      <c r="K729" s="27"/>
      <c r="L729" s="27"/>
      <c r="M729" s="27"/>
      <c r="N729" s="27"/>
      <c r="O729" s="27"/>
      <c r="P729" s="27"/>
      <c r="Q729" s="27"/>
      <c r="R729" s="27"/>
      <c r="S729" s="27"/>
      <c r="T729" s="27"/>
      <c r="U729" s="27"/>
      <c r="V729" s="27"/>
      <c r="W729" s="27"/>
      <c r="X729" s="27"/>
      <c r="Y729" s="27"/>
      <c r="Z729" s="27"/>
      <c r="AA729" s="27"/>
      <c r="AB729" s="27"/>
      <c r="AC729" s="27"/>
    </row>
    <row r="730" spans="1:29">
      <c r="A730" s="358"/>
      <c r="B730" s="359"/>
      <c r="C730" s="360"/>
      <c r="D730" s="27"/>
      <c r="E730" s="27"/>
      <c r="F730" s="27"/>
      <c r="G730" s="27"/>
      <c r="H730" s="27"/>
      <c r="I730" s="27"/>
      <c r="J730" s="27"/>
      <c r="K730" s="27"/>
      <c r="L730" s="27"/>
      <c r="M730" s="27"/>
      <c r="N730" s="27"/>
      <c r="O730" s="27"/>
      <c r="P730" s="27"/>
      <c r="Q730" s="27"/>
      <c r="R730" s="27"/>
      <c r="S730" s="27"/>
      <c r="T730" s="27"/>
      <c r="U730" s="27"/>
      <c r="V730" s="27"/>
      <c r="W730" s="27"/>
      <c r="X730" s="27"/>
      <c r="Y730" s="27"/>
      <c r="Z730" s="27"/>
      <c r="AA730" s="27"/>
      <c r="AB730" s="27"/>
      <c r="AC730" s="27"/>
    </row>
    <row r="731" spans="1:29">
      <c r="A731" s="358"/>
      <c r="B731" s="359"/>
      <c r="C731" s="360"/>
      <c r="D731" s="27"/>
      <c r="E731" s="27"/>
      <c r="F731" s="27"/>
      <c r="G731" s="27"/>
      <c r="H731" s="27"/>
      <c r="I731" s="27"/>
      <c r="J731" s="27"/>
      <c r="K731" s="27"/>
      <c r="L731" s="27"/>
      <c r="M731" s="27"/>
      <c r="N731" s="27"/>
      <c r="O731" s="27"/>
      <c r="P731" s="27"/>
      <c r="Q731" s="27"/>
      <c r="R731" s="27"/>
      <c r="S731" s="27"/>
      <c r="T731" s="27"/>
      <c r="U731" s="27"/>
      <c r="V731" s="27"/>
      <c r="W731" s="27"/>
      <c r="X731" s="27"/>
      <c r="Y731" s="27"/>
      <c r="Z731" s="27"/>
      <c r="AA731" s="27"/>
      <c r="AB731" s="27"/>
      <c r="AC731" s="27"/>
    </row>
    <row r="732" spans="1:29">
      <c r="A732" s="358"/>
      <c r="B732" s="359"/>
      <c r="C732" s="360"/>
      <c r="D732" s="27"/>
      <c r="E732" s="27"/>
      <c r="F732" s="27"/>
      <c r="G732" s="27"/>
      <c r="H732" s="27"/>
      <c r="I732" s="27"/>
      <c r="J732" s="27"/>
      <c r="K732" s="27"/>
      <c r="L732" s="27"/>
      <c r="M732" s="27"/>
      <c r="N732" s="27"/>
      <c r="O732" s="27"/>
      <c r="P732" s="27"/>
      <c r="Q732" s="27"/>
      <c r="R732" s="27"/>
      <c r="S732" s="27"/>
      <c r="T732" s="27"/>
      <c r="U732" s="27"/>
      <c r="V732" s="27"/>
      <c r="W732" s="27"/>
      <c r="X732" s="27"/>
      <c r="Y732" s="27"/>
      <c r="Z732" s="27"/>
      <c r="AA732" s="27"/>
      <c r="AB732" s="27"/>
      <c r="AC732" s="27"/>
    </row>
    <row r="733" spans="1:29">
      <c r="A733" s="358"/>
      <c r="B733" s="359"/>
      <c r="C733" s="360"/>
      <c r="D733" s="27"/>
      <c r="E733" s="27"/>
      <c r="F733" s="27"/>
      <c r="G733" s="27"/>
      <c r="H733" s="27"/>
      <c r="I733" s="27"/>
      <c r="J733" s="27"/>
      <c r="K733" s="27"/>
      <c r="L733" s="27"/>
      <c r="M733" s="27"/>
      <c r="N733" s="27"/>
      <c r="O733" s="27"/>
      <c r="P733" s="27"/>
      <c r="Q733" s="27"/>
      <c r="R733" s="27"/>
      <c r="S733" s="27"/>
      <c r="T733" s="27"/>
      <c r="U733" s="27"/>
      <c r="V733" s="27"/>
      <c r="W733" s="27"/>
      <c r="X733" s="27"/>
      <c r="Y733" s="27"/>
      <c r="Z733" s="27"/>
      <c r="AA733" s="27"/>
      <c r="AB733" s="27"/>
      <c r="AC733" s="27"/>
    </row>
    <row r="734" spans="1:29">
      <c r="A734" s="358"/>
      <c r="B734" s="359"/>
      <c r="C734" s="360"/>
      <c r="D734" s="27"/>
      <c r="E734" s="27"/>
      <c r="F734" s="27"/>
      <c r="G734" s="27"/>
      <c r="H734" s="27"/>
      <c r="I734" s="27"/>
      <c r="J734" s="27"/>
      <c r="K734" s="27"/>
      <c r="L734" s="27"/>
      <c r="M734" s="27"/>
      <c r="N734" s="27"/>
      <c r="O734" s="27"/>
      <c r="P734" s="27"/>
      <c r="Q734" s="27"/>
      <c r="R734" s="27"/>
      <c r="S734" s="27"/>
      <c r="T734" s="27"/>
      <c r="U734" s="27"/>
      <c r="V734" s="27"/>
      <c r="W734" s="27"/>
      <c r="X734" s="27"/>
      <c r="Y734" s="27"/>
      <c r="Z734" s="27"/>
      <c r="AA734" s="27"/>
      <c r="AB734" s="27"/>
      <c r="AC734" s="27"/>
    </row>
    <row r="735" spans="1:29">
      <c r="A735" s="358"/>
      <c r="B735" s="359"/>
      <c r="C735" s="360"/>
      <c r="D735" s="27"/>
      <c r="E735" s="27"/>
      <c r="F735" s="27"/>
      <c r="G735" s="27"/>
      <c r="H735" s="27"/>
      <c r="I735" s="27"/>
      <c r="J735" s="27"/>
      <c r="K735" s="27"/>
      <c r="L735" s="27"/>
      <c r="M735" s="27"/>
      <c r="N735" s="27"/>
      <c r="O735" s="27"/>
      <c r="P735" s="27"/>
      <c r="Q735" s="27"/>
      <c r="R735" s="27"/>
      <c r="S735" s="27"/>
      <c r="T735" s="27"/>
      <c r="U735" s="27"/>
      <c r="V735" s="27"/>
      <c r="W735" s="27"/>
      <c r="X735" s="27"/>
      <c r="Y735" s="27"/>
      <c r="Z735" s="27"/>
      <c r="AA735" s="27"/>
      <c r="AB735" s="27"/>
      <c r="AC735" s="27"/>
    </row>
    <row r="736" spans="1:29">
      <c r="A736" s="358"/>
      <c r="B736" s="359"/>
      <c r="C736" s="360"/>
      <c r="D736" s="27"/>
      <c r="E736" s="27"/>
      <c r="F736" s="27"/>
      <c r="G736" s="27"/>
      <c r="H736" s="27"/>
      <c r="I736" s="27"/>
      <c r="J736" s="27"/>
      <c r="K736" s="27"/>
      <c r="L736" s="27"/>
      <c r="M736" s="27"/>
      <c r="N736" s="27"/>
      <c r="O736" s="27"/>
      <c r="P736" s="27"/>
      <c r="Q736" s="27"/>
      <c r="R736" s="27"/>
      <c r="S736" s="27"/>
      <c r="T736" s="27"/>
      <c r="U736" s="27"/>
      <c r="V736" s="27"/>
      <c r="W736" s="27"/>
      <c r="X736" s="27"/>
      <c r="Y736" s="27"/>
      <c r="Z736" s="27"/>
      <c r="AA736" s="27"/>
      <c r="AB736" s="27"/>
      <c r="AC736" s="27"/>
    </row>
    <row r="737" spans="1:29">
      <c r="A737" s="358"/>
      <c r="B737" s="359"/>
      <c r="C737" s="360"/>
      <c r="D737" s="27"/>
      <c r="E737" s="27"/>
      <c r="F737" s="27"/>
      <c r="G737" s="27"/>
      <c r="H737" s="27"/>
      <c r="I737" s="27"/>
      <c r="J737" s="27"/>
      <c r="K737" s="27"/>
      <c r="L737" s="27"/>
      <c r="M737" s="27"/>
      <c r="N737" s="27"/>
      <c r="O737" s="27"/>
      <c r="P737" s="27"/>
      <c r="Q737" s="27"/>
      <c r="R737" s="27"/>
      <c r="S737" s="27"/>
      <c r="T737" s="27"/>
      <c r="U737" s="27"/>
      <c r="V737" s="27"/>
      <c r="W737" s="27"/>
      <c r="X737" s="27"/>
      <c r="Y737" s="27"/>
      <c r="Z737" s="27"/>
      <c r="AA737" s="27"/>
      <c r="AB737" s="27"/>
      <c r="AC737" s="27"/>
    </row>
    <row r="738" spans="1:29">
      <c r="A738" s="358"/>
      <c r="B738" s="359"/>
      <c r="C738" s="360"/>
      <c r="D738" s="27"/>
      <c r="E738" s="27"/>
      <c r="F738" s="27"/>
      <c r="G738" s="27"/>
      <c r="H738" s="27"/>
      <c r="I738" s="27"/>
      <c r="J738" s="27"/>
      <c r="K738" s="27"/>
      <c r="L738" s="27"/>
      <c r="M738" s="27"/>
      <c r="N738" s="27"/>
      <c r="O738" s="27"/>
      <c r="P738" s="27"/>
      <c r="Q738" s="27"/>
      <c r="R738" s="27"/>
      <c r="S738" s="27"/>
      <c r="T738" s="27"/>
      <c r="U738" s="27"/>
      <c r="V738" s="27"/>
      <c r="W738" s="27"/>
      <c r="X738" s="27"/>
      <c r="Y738" s="27"/>
      <c r="Z738" s="27"/>
      <c r="AA738" s="27"/>
      <c r="AB738" s="27"/>
      <c r="AC738" s="27"/>
    </row>
    <row r="739" spans="1:29">
      <c r="A739" s="358"/>
      <c r="B739" s="359"/>
      <c r="C739" s="360"/>
      <c r="D739" s="27"/>
      <c r="E739" s="27"/>
      <c r="F739" s="27"/>
      <c r="G739" s="27"/>
      <c r="H739" s="27"/>
      <c r="I739" s="27"/>
      <c r="J739" s="27"/>
      <c r="K739" s="27"/>
      <c r="L739" s="27"/>
      <c r="M739" s="27"/>
      <c r="N739" s="27"/>
      <c r="O739" s="27"/>
      <c r="P739" s="27"/>
      <c r="Q739" s="27"/>
      <c r="R739" s="27"/>
      <c r="S739" s="27"/>
      <c r="T739" s="27"/>
      <c r="U739" s="27"/>
      <c r="V739" s="27"/>
      <c r="W739" s="27"/>
      <c r="X739" s="27"/>
      <c r="Y739" s="27"/>
      <c r="Z739" s="27"/>
      <c r="AA739" s="27"/>
      <c r="AB739" s="27"/>
      <c r="AC739" s="27"/>
    </row>
    <row r="740" spans="1:29">
      <c r="A740" s="358"/>
      <c r="B740" s="359"/>
      <c r="C740" s="360"/>
      <c r="D740" s="27"/>
      <c r="E740" s="27"/>
      <c r="F740" s="27"/>
      <c r="G740" s="27"/>
      <c r="H740" s="27"/>
      <c r="I740" s="27"/>
      <c r="J740" s="27"/>
      <c r="K740" s="27"/>
      <c r="L740" s="27"/>
      <c r="M740" s="27"/>
      <c r="N740" s="27"/>
      <c r="O740" s="27"/>
      <c r="P740" s="27"/>
      <c r="Q740" s="27"/>
      <c r="R740" s="27"/>
      <c r="S740" s="27"/>
      <c r="T740" s="27"/>
      <c r="U740" s="27"/>
      <c r="V740" s="27"/>
      <c r="W740" s="27"/>
      <c r="X740" s="27"/>
      <c r="Y740" s="27"/>
      <c r="Z740" s="27"/>
      <c r="AA740" s="27"/>
      <c r="AB740" s="27"/>
      <c r="AC740" s="27"/>
    </row>
    <row r="741" spans="1:29">
      <c r="A741" s="358"/>
      <c r="B741" s="359"/>
      <c r="C741" s="360"/>
      <c r="D741" s="27"/>
      <c r="E741" s="27"/>
      <c r="F741" s="27"/>
      <c r="G741" s="27"/>
      <c r="H741" s="27"/>
      <c r="I741" s="27"/>
      <c r="J741" s="27"/>
      <c r="K741" s="27"/>
      <c r="L741" s="27"/>
      <c r="M741" s="27"/>
      <c r="N741" s="27"/>
      <c r="O741" s="27"/>
      <c r="P741" s="27"/>
      <c r="Q741" s="27"/>
      <c r="R741" s="27"/>
      <c r="S741" s="27"/>
      <c r="T741" s="27"/>
      <c r="U741" s="27"/>
      <c r="V741" s="27"/>
      <c r="W741" s="27"/>
      <c r="X741" s="27"/>
      <c r="Y741" s="27"/>
      <c r="Z741" s="27"/>
      <c r="AA741" s="27"/>
      <c r="AB741" s="27"/>
      <c r="AC741" s="27"/>
    </row>
    <row r="742" spans="1:29">
      <c r="A742" s="358"/>
      <c r="B742" s="359"/>
      <c r="C742" s="360"/>
      <c r="D742" s="27"/>
      <c r="E742" s="27"/>
      <c r="F742" s="27"/>
      <c r="G742" s="27"/>
      <c r="H742" s="27"/>
      <c r="I742" s="27"/>
      <c r="J742" s="27"/>
      <c r="K742" s="27"/>
      <c r="L742" s="27"/>
      <c r="M742" s="27"/>
      <c r="N742" s="27"/>
      <c r="O742" s="27"/>
      <c r="P742" s="27"/>
      <c r="Q742" s="27"/>
      <c r="R742" s="27"/>
      <c r="S742" s="27"/>
      <c r="T742" s="27"/>
      <c r="U742" s="27"/>
      <c r="V742" s="27"/>
      <c r="W742" s="27"/>
      <c r="X742" s="27"/>
      <c r="Y742" s="27"/>
      <c r="Z742" s="27"/>
      <c r="AA742" s="27"/>
      <c r="AB742" s="27"/>
      <c r="AC742" s="27"/>
    </row>
    <row r="743" spans="1:29">
      <c r="A743" s="358"/>
      <c r="B743" s="359"/>
      <c r="C743" s="360"/>
      <c r="D743" s="27"/>
      <c r="E743" s="27"/>
      <c r="F743" s="27"/>
      <c r="G743" s="27"/>
      <c r="H743" s="27"/>
      <c r="I743" s="27"/>
      <c r="J743" s="27"/>
      <c r="K743" s="27"/>
      <c r="L743" s="27"/>
      <c r="M743" s="27"/>
      <c r="N743" s="27"/>
      <c r="O743" s="27"/>
      <c r="P743" s="27"/>
      <c r="Q743" s="27"/>
      <c r="R743" s="27"/>
      <c r="S743" s="27"/>
      <c r="T743" s="27"/>
      <c r="U743" s="27"/>
      <c r="V743" s="27"/>
      <c r="W743" s="27"/>
      <c r="X743" s="27"/>
      <c r="Y743" s="27"/>
      <c r="Z743" s="27"/>
      <c r="AA743" s="27"/>
      <c r="AB743" s="27"/>
      <c r="AC743" s="27"/>
    </row>
    <row r="744" spans="1:29">
      <c r="A744" s="358"/>
      <c r="B744" s="359"/>
      <c r="C744" s="360"/>
      <c r="D744" s="27"/>
      <c r="E744" s="27"/>
      <c r="F744" s="27"/>
      <c r="G744" s="27"/>
      <c r="H744" s="27"/>
      <c r="I744" s="27"/>
      <c r="J744" s="27"/>
      <c r="K744" s="27"/>
      <c r="L744" s="27"/>
      <c r="M744" s="27"/>
      <c r="N744" s="27"/>
      <c r="O744" s="27"/>
      <c r="P744" s="27"/>
      <c r="Q744" s="27"/>
      <c r="R744" s="27"/>
      <c r="S744" s="27"/>
      <c r="T744" s="27"/>
      <c r="U744" s="27"/>
      <c r="V744" s="27"/>
      <c r="W744" s="27"/>
      <c r="X744" s="27"/>
      <c r="Y744" s="27"/>
      <c r="Z744" s="27"/>
      <c r="AA744" s="27"/>
      <c r="AB744" s="27"/>
      <c r="AC744" s="27"/>
    </row>
    <row r="745" spans="1:29">
      <c r="A745" s="358"/>
      <c r="B745" s="359"/>
      <c r="C745" s="360"/>
      <c r="D745" s="27"/>
      <c r="E745" s="27"/>
      <c r="F745" s="27"/>
      <c r="G745" s="27"/>
      <c r="H745" s="27"/>
      <c r="I745" s="27"/>
      <c r="J745" s="27"/>
      <c r="K745" s="27"/>
      <c r="L745" s="27"/>
      <c r="M745" s="27"/>
      <c r="N745" s="27"/>
      <c r="O745" s="27"/>
      <c r="P745" s="27"/>
      <c r="Q745" s="27"/>
      <c r="R745" s="27"/>
      <c r="S745" s="27"/>
      <c r="T745" s="27"/>
      <c r="U745" s="27"/>
      <c r="V745" s="27"/>
      <c r="W745" s="27"/>
      <c r="X745" s="27"/>
      <c r="Y745" s="27"/>
      <c r="Z745" s="27"/>
      <c r="AA745" s="27"/>
      <c r="AB745" s="27"/>
      <c r="AC745" s="27"/>
    </row>
    <row r="746" spans="1:29">
      <c r="A746" s="358"/>
      <c r="B746" s="359"/>
      <c r="C746" s="360"/>
      <c r="D746" s="27"/>
      <c r="E746" s="27"/>
      <c r="F746" s="27"/>
      <c r="G746" s="27"/>
      <c r="H746" s="27"/>
      <c r="I746" s="27"/>
      <c r="J746" s="27"/>
      <c r="K746" s="27"/>
      <c r="L746" s="27"/>
      <c r="M746" s="27"/>
      <c r="N746" s="27"/>
      <c r="O746" s="27"/>
      <c r="P746" s="27"/>
      <c r="Q746" s="27"/>
      <c r="R746" s="27"/>
      <c r="S746" s="27"/>
      <c r="T746" s="27"/>
      <c r="U746" s="27"/>
      <c r="V746" s="27"/>
      <c r="W746" s="27"/>
      <c r="X746" s="27"/>
      <c r="Y746" s="27"/>
      <c r="Z746" s="27"/>
      <c r="AA746" s="27"/>
      <c r="AB746" s="27"/>
      <c r="AC746" s="27"/>
    </row>
    <row r="747" spans="1:29">
      <c r="A747" s="358"/>
      <c r="B747" s="359"/>
      <c r="C747" s="360"/>
      <c r="D747" s="27"/>
      <c r="E747" s="27"/>
      <c r="F747" s="27"/>
      <c r="G747" s="27"/>
      <c r="H747" s="27"/>
      <c r="I747" s="27"/>
      <c r="J747" s="27"/>
      <c r="K747" s="27"/>
      <c r="L747" s="27"/>
      <c r="M747" s="27"/>
      <c r="N747" s="27"/>
      <c r="O747" s="27"/>
      <c r="P747" s="27"/>
      <c r="Q747" s="27"/>
      <c r="R747" s="27"/>
      <c r="S747" s="27"/>
      <c r="T747" s="27"/>
      <c r="U747" s="27"/>
      <c r="V747" s="27"/>
      <c r="W747" s="27"/>
      <c r="X747" s="27"/>
      <c r="Y747" s="27"/>
      <c r="Z747" s="27"/>
      <c r="AA747" s="27"/>
      <c r="AB747" s="27"/>
      <c r="AC747" s="27"/>
    </row>
    <row r="748" spans="1:29">
      <c r="A748" s="358"/>
      <c r="B748" s="359"/>
      <c r="C748" s="360"/>
      <c r="D748" s="27"/>
      <c r="E748" s="27"/>
      <c r="F748" s="27"/>
      <c r="G748" s="27"/>
      <c r="H748" s="27"/>
      <c r="I748" s="27"/>
      <c r="J748" s="27"/>
      <c r="K748" s="27"/>
      <c r="L748" s="27"/>
      <c r="M748" s="27"/>
      <c r="N748" s="27"/>
      <c r="O748" s="27"/>
      <c r="P748" s="27"/>
      <c r="Q748" s="27"/>
      <c r="R748" s="27"/>
      <c r="S748" s="27"/>
      <c r="T748" s="27"/>
      <c r="U748" s="27"/>
      <c r="V748" s="27"/>
      <c r="W748" s="27"/>
      <c r="X748" s="27"/>
      <c r="Y748" s="27"/>
      <c r="Z748" s="27"/>
      <c r="AA748" s="27"/>
      <c r="AB748" s="27"/>
      <c r="AC748" s="27"/>
    </row>
    <row r="749" spans="1:29">
      <c r="A749" s="358"/>
      <c r="B749" s="359"/>
      <c r="C749" s="360"/>
      <c r="D749" s="27"/>
      <c r="E749" s="27"/>
      <c r="F749" s="27"/>
      <c r="G749" s="27"/>
      <c r="H749" s="27"/>
      <c r="I749" s="27"/>
      <c r="J749" s="27"/>
      <c r="K749" s="27"/>
      <c r="L749" s="27"/>
      <c r="M749" s="27"/>
      <c r="N749" s="27"/>
      <c r="O749" s="27"/>
      <c r="P749" s="27"/>
      <c r="Q749" s="27"/>
      <c r="R749" s="27"/>
      <c r="S749" s="27"/>
      <c r="T749" s="27"/>
      <c r="U749" s="27"/>
      <c r="V749" s="27"/>
      <c r="W749" s="27"/>
      <c r="X749" s="27"/>
      <c r="Y749" s="27"/>
      <c r="Z749" s="27"/>
      <c r="AA749" s="27"/>
      <c r="AB749" s="27"/>
      <c r="AC749" s="27"/>
    </row>
    <row r="750" spans="1:29">
      <c r="A750" s="358"/>
      <c r="B750" s="359"/>
      <c r="C750" s="360"/>
      <c r="D750" s="27"/>
      <c r="E750" s="27"/>
      <c r="F750" s="27"/>
      <c r="G750" s="27"/>
      <c r="H750" s="27"/>
      <c r="I750" s="27"/>
      <c r="J750" s="27"/>
      <c r="K750" s="27"/>
      <c r="L750" s="27"/>
      <c r="M750" s="27"/>
      <c r="N750" s="27"/>
      <c r="O750" s="27"/>
      <c r="P750" s="27"/>
      <c r="Q750" s="27"/>
      <c r="R750" s="27"/>
      <c r="S750" s="27"/>
      <c r="T750" s="27"/>
      <c r="U750" s="27"/>
      <c r="V750" s="27"/>
      <c r="W750" s="27"/>
      <c r="X750" s="27"/>
      <c r="Y750" s="27"/>
      <c r="Z750" s="27"/>
      <c r="AA750" s="27"/>
      <c r="AB750" s="27"/>
      <c r="AC750" s="27"/>
    </row>
    <row r="751" spans="1:29">
      <c r="A751" s="358"/>
      <c r="B751" s="359"/>
      <c r="C751" s="360"/>
      <c r="D751" s="27"/>
      <c r="E751" s="27"/>
      <c r="F751" s="27"/>
      <c r="G751" s="27"/>
      <c r="H751" s="27"/>
      <c r="I751" s="27"/>
      <c r="J751" s="27"/>
      <c r="K751" s="27"/>
      <c r="L751" s="27"/>
      <c r="M751" s="27"/>
      <c r="N751" s="27"/>
      <c r="O751" s="27"/>
      <c r="P751" s="27"/>
      <c r="Q751" s="27"/>
      <c r="R751" s="27"/>
      <c r="S751" s="27"/>
      <c r="T751" s="27"/>
      <c r="U751" s="27"/>
      <c r="V751" s="27"/>
      <c r="W751" s="27"/>
      <c r="X751" s="27"/>
      <c r="Y751" s="27"/>
      <c r="Z751" s="27"/>
      <c r="AA751" s="27"/>
      <c r="AB751" s="27"/>
      <c r="AC751" s="27"/>
    </row>
    <row r="752" spans="1:29">
      <c r="A752" s="358"/>
      <c r="B752" s="359"/>
      <c r="C752" s="360"/>
      <c r="D752" s="27"/>
      <c r="E752" s="27"/>
      <c r="F752" s="27"/>
      <c r="G752" s="27"/>
      <c r="H752" s="27"/>
      <c r="I752" s="27"/>
      <c r="J752" s="27"/>
      <c r="K752" s="27"/>
      <c r="L752" s="27"/>
      <c r="M752" s="27"/>
      <c r="N752" s="27"/>
      <c r="O752" s="27"/>
      <c r="P752" s="27"/>
      <c r="Q752" s="27"/>
      <c r="R752" s="27"/>
      <c r="S752" s="27"/>
      <c r="T752" s="27"/>
      <c r="U752" s="27"/>
      <c r="V752" s="27"/>
      <c r="W752" s="27"/>
      <c r="X752" s="27"/>
      <c r="Y752" s="27"/>
      <c r="Z752" s="27"/>
      <c r="AA752" s="27"/>
      <c r="AB752" s="27"/>
      <c r="AC752" s="27"/>
    </row>
    <row r="753" spans="1:29">
      <c r="A753" s="358"/>
      <c r="B753" s="359"/>
      <c r="C753" s="360"/>
      <c r="D753" s="27"/>
      <c r="E753" s="27"/>
      <c r="F753" s="27"/>
      <c r="G753" s="27"/>
      <c r="H753" s="27"/>
      <c r="I753" s="27"/>
      <c r="J753" s="27"/>
      <c r="K753" s="27"/>
      <c r="L753" s="27"/>
      <c r="M753" s="27"/>
      <c r="N753" s="27"/>
      <c r="O753" s="27"/>
      <c r="P753" s="27"/>
      <c r="Q753" s="27"/>
      <c r="R753" s="27"/>
      <c r="S753" s="27"/>
      <c r="T753" s="27"/>
      <c r="U753" s="27"/>
      <c r="V753" s="27"/>
      <c r="W753" s="27"/>
      <c r="X753" s="27"/>
      <c r="Y753" s="27"/>
      <c r="Z753" s="27"/>
      <c r="AA753" s="27"/>
      <c r="AB753" s="27"/>
      <c r="AC753" s="27"/>
    </row>
    <row r="754" spans="1:29">
      <c r="A754" s="358"/>
      <c r="B754" s="359"/>
      <c r="C754" s="360"/>
      <c r="D754" s="27"/>
      <c r="E754" s="27"/>
      <c r="F754" s="27"/>
      <c r="G754" s="27"/>
      <c r="H754" s="27"/>
      <c r="I754" s="27"/>
      <c r="J754" s="27"/>
      <c r="K754" s="27"/>
      <c r="L754" s="27"/>
      <c r="M754" s="27"/>
      <c r="N754" s="27"/>
      <c r="O754" s="27"/>
      <c r="P754" s="27"/>
      <c r="Q754" s="27"/>
      <c r="R754" s="27"/>
      <c r="S754" s="27"/>
      <c r="T754" s="27"/>
      <c r="U754" s="27"/>
      <c r="V754" s="27"/>
      <c r="W754" s="27"/>
      <c r="X754" s="27"/>
      <c r="Y754" s="27"/>
      <c r="Z754" s="27"/>
      <c r="AA754" s="27"/>
      <c r="AB754" s="27"/>
      <c r="AC754" s="27"/>
    </row>
    <row r="755" spans="1:29">
      <c r="A755" s="358"/>
      <c r="B755" s="359"/>
      <c r="C755" s="360"/>
      <c r="D755" s="27"/>
      <c r="E755" s="27"/>
      <c r="F755" s="27"/>
      <c r="G755" s="27"/>
      <c r="H755" s="27"/>
      <c r="I755" s="27"/>
      <c r="J755" s="27"/>
      <c r="K755" s="27"/>
      <c r="L755" s="27"/>
      <c r="M755" s="27"/>
      <c r="N755" s="27"/>
      <c r="O755" s="27"/>
      <c r="P755" s="27"/>
      <c r="Q755" s="27"/>
      <c r="R755" s="27"/>
      <c r="S755" s="27"/>
      <c r="T755" s="27"/>
      <c r="U755" s="27"/>
      <c r="V755" s="27"/>
      <c r="W755" s="27"/>
      <c r="X755" s="27"/>
      <c r="Y755" s="27"/>
      <c r="Z755" s="27"/>
      <c r="AA755" s="27"/>
      <c r="AB755" s="27"/>
      <c r="AC755" s="27"/>
    </row>
    <row r="756" spans="1:29">
      <c r="A756" s="358"/>
      <c r="B756" s="359"/>
      <c r="C756" s="360"/>
      <c r="D756" s="27"/>
      <c r="E756" s="27"/>
      <c r="F756" s="27"/>
      <c r="G756" s="27"/>
      <c r="H756" s="27"/>
      <c r="I756" s="27"/>
      <c r="J756" s="27"/>
      <c r="K756" s="27"/>
      <c r="L756" s="27"/>
      <c r="M756" s="27"/>
      <c r="N756" s="27"/>
      <c r="O756" s="27"/>
      <c r="P756" s="27"/>
      <c r="Q756" s="27"/>
      <c r="R756" s="27"/>
      <c r="S756" s="27"/>
      <c r="T756" s="27"/>
      <c r="U756" s="27"/>
      <c r="V756" s="27"/>
      <c r="W756" s="27"/>
      <c r="X756" s="27"/>
      <c r="Y756" s="27"/>
      <c r="Z756" s="27"/>
      <c r="AA756" s="27"/>
      <c r="AB756" s="27"/>
      <c r="AC756" s="27"/>
    </row>
    <row r="757" spans="1:29">
      <c r="A757" s="358"/>
      <c r="B757" s="359"/>
      <c r="C757" s="360"/>
      <c r="D757" s="27"/>
      <c r="E757" s="27"/>
      <c r="F757" s="27"/>
      <c r="G757" s="27"/>
      <c r="H757" s="27"/>
      <c r="I757" s="27"/>
      <c r="J757" s="27"/>
      <c r="K757" s="27"/>
      <c r="L757" s="27"/>
      <c r="M757" s="27"/>
      <c r="N757" s="27"/>
      <c r="O757" s="27"/>
      <c r="P757" s="27"/>
      <c r="Q757" s="27"/>
      <c r="R757" s="27"/>
      <c r="S757" s="27"/>
      <c r="T757" s="27"/>
      <c r="U757" s="27"/>
      <c r="V757" s="27"/>
      <c r="W757" s="27"/>
      <c r="X757" s="27"/>
      <c r="Y757" s="27"/>
      <c r="Z757" s="27"/>
      <c r="AA757" s="27"/>
      <c r="AB757" s="27"/>
      <c r="AC757" s="27"/>
    </row>
    <row r="758" spans="1:29">
      <c r="A758" s="358"/>
      <c r="B758" s="359"/>
      <c r="C758" s="360"/>
      <c r="D758" s="27"/>
      <c r="E758" s="27"/>
      <c r="F758" s="27"/>
      <c r="G758" s="27"/>
      <c r="H758" s="27"/>
      <c r="I758" s="27"/>
      <c r="J758" s="27"/>
      <c r="K758" s="27"/>
      <c r="L758" s="27"/>
      <c r="M758" s="27"/>
      <c r="N758" s="27"/>
      <c r="O758" s="27"/>
      <c r="P758" s="27"/>
      <c r="Q758" s="27"/>
      <c r="R758" s="27"/>
      <c r="S758" s="27"/>
      <c r="T758" s="27"/>
      <c r="U758" s="27"/>
      <c r="V758" s="27"/>
      <c r="W758" s="27"/>
      <c r="X758" s="27"/>
      <c r="Y758" s="27"/>
      <c r="Z758" s="27"/>
      <c r="AA758" s="27"/>
      <c r="AB758" s="27"/>
      <c r="AC758" s="27"/>
    </row>
    <row r="759" spans="1:29">
      <c r="A759" s="358"/>
      <c r="B759" s="359"/>
      <c r="C759" s="360"/>
      <c r="D759" s="27"/>
      <c r="E759" s="27"/>
      <c r="F759" s="27"/>
      <c r="G759" s="27"/>
      <c r="H759" s="27"/>
      <c r="I759" s="27"/>
      <c r="J759" s="27"/>
      <c r="K759" s="27"/>
      <c r="L759" s="27"/>
      <c r="M759" s="27"/>
      <c r="N759" s="27"/>
      <c r="O759" s="27"/>
      <c r="P759" s="27"/>
      <c r="Q759" s="27"/>
      <c r="R759" s="27"/>
      <c r="S759" s="27"/>
      <c r="T759" s="27"/>
      <c r="U759" s="27"/>
      <c r="V759" s="27"/>
      <c r="W759" s="27"/>
      <c r="X759" s="27"/>
      <c r="Y759" s="27"/>
      <c r="Z759" s="27"/>
      <c r="AA759" s="27"/>
      <c r="AB759" s="27"/>
      <c r="AC759" s="27"/>
    </row>
    <row r="760" spans="1:29">
      <c r="A760" s="358"/>
      <c r="B760" s="359"/>
      <c r="C760" s="360"/>
      <c r="D760" s="27"/>
      <c r="E760" s="27"/>
      <c r="F760" s="27"/>
      <c r="G760" s="27"/>
      <c r="H760" s="27"/>
      <c r="I760" s="27"/>
      <c r="J760" s="27"/>
      <c r="K760" s="27"/>
      <c r="L760" s="27"/>
      <c r="M760" s="27"/>
      <c r="N760" s="27"/>
      <c r="O760" s="27"/>
      <c r="P760" s="27"/>
      <c r="Q760" s="27"/>
      <c r="R760" s="27"/>
      <c r="S760" s="27"/>
      <c r="T760" s="27"/>
      <c r="U760" s="27"/>
      <c r="V760" s="27"/>
      <c r="W760" s="27"/>
      <c r="X760" s="27"/>
      <c r="Y760" s="27"/>
      <c r="Z760" s="27"/>
      <c r="AA760" s="27"/>
      <c r="AB760" s="27"/>
      <c r="AC760" s="27"/>
    </row>
    <row r="761" spans="1:29">
      <c r="A761" s="358"/>
      <c r="B761" s="359"/>
      <c r="C761" s="360"/>
      <c r="D761" s="27"/>
      <c r="E761" s="27"/>
      <c r="F761" s="27"/>
      <c r="G761" s="27"/>
      <c r="H761" s="27"/>
      <c r="I761" s="27"/>
      <c r="J761" s="27"/>
      <c r="K761" s="27"/>
      <c r="L761" s="27"/>
      <c r="M761" s="27"/>
      <c r="N761" s="27"/>
      <c r="O761" s="27"/>
      <c r="P761" s="27"/>
      <c r="Q761" s="27"/>
      <c r="R761" s="27"/>
      <c r="S761" s="27"/>
      <c r="T761" s="27"/>
      <c r="U761" s="27"/>
      <c r="V761" s="27"/>
      <c r="W761" s="27"/>
      <c r="X761" s="27"/>
      <c r="Y761" s="27"/>
      <c r="Z761" s="27"/>
      <c r="AA761" s="27"/>
      <c r="AB761" s="27"/>
      <c r="AC761" s="27"/>
    </row>
    <row r="762" spans="1:29">
      <c r="A762" s="358"/>
      <c r="B762" s="359"/>
      <c r="C762" s="360"/>
      <c r="D762" s="27"/>
      <c r="E762" s="27"/>
      <c r="F762" s="27"/>
      <c r="G762" s="27"/>
      <c r="H762" s="27"/>
      <c r="I762" s="27"/>
      <c r="J762" s="27"/>
      <c r="K762" s="27"/>
      <c r="L762" s="27"/>
      <c r="M762" s="27"/>
      <c r="N762" s="27"/>
      <c r="O762" s="27"/>
      <c r="P762" s="27"/>
      <c r="Q762" s="27"/>
      <c r="R762" s="27"/>
      <c r="S762" s="27"/>
      <c r="T762" s="27"/>
      <c r="U762" s="27"/>
      <c r="V762" s="27"/>
      <c r="W762" s="27"/>
      <c r="X762" s="27"/>
      <c r="Y762" s="27"/>
      <c r="Z762" s="27"/>
      <c r="AA762" s="27"/>
      <c r="AB762" s="27"/>
      <c r="AC762" s="27"/>
    </row>
    <row r="763" spans="1:29">
      <c r="A763" s="358"/>
      <c r="B763" s="359"/>
      <c r="C763" s="360"/>
      <c r="D763" s="27"/>
      <c r="E763" s="27"/>
      <c r="F763" s="27"/>
      <c r="G763" s="27"/>
      <c r="H763" s="27"/>
      <c r="I763" s="27"/>
      <c r="J763" s="27"/>
      <c r="K763" s="27"/>
      <c r="L763" s="27"/>
      <c r="M763" s="27"/>
      <c r="N763" s="27"/>
      <c r="O763" s="27"/>
      <c r="P763" s="27"/>
      <c r="Q763" s="27"/>
      <c r="R763" s="27"/>
      <c r="S763" s="27"/>
      <c r="T763" s="27"/>
      <c r="U763" s="27"/>
      <c r="V763" s="27"/>
      <c r="W763" s="27"/>
      <c r="X763" s="27"/>
      <c r="Y763" s="27"/>
      <c r="Z763" s="27"/>
      <c r="AA763" s="27"/>
      <c r="AB763" s="27"/>
      <c r="AC763" s="27"/>
    </row>
    <row r="764" spans="1:29">
      <c r="A764" s="358"/>
      <c r="B764" s="359"/>
      <c r="C764" s="360"/>
      <c r="D764" s="27"/>
      <c r="E764" s="27"/>
      <c r="F764" s="27"/>
      <c r="G764" s="27"/>
      <c r="H764" s="27"/>
      <c r="I764" s="27"/>
      <c r="J764" s="27"/>
      <c r="K764" s="27"/>
      <c r="L764" s="27"/>
      <c r="M764" s="27"/>
      <c r="N764" s="27"/>
      <c r="O764" s="27"/>
      <c r="P764" s="27"/>
      <c r="Q764" s="27"/>
      <c r="R764" s="27"/>
      <c r="S764" s="27"/>
      <c r="T764" s="27"/>
      <c r="U764" s="27"/>
      <c r="V764" s="27"/>
      <c r="W764" s="27"/>
      <c r="X764" s="27"/>
      <c r="Y764" s="27"/>
      <c r="Z764" s="27"/>
      <c r="AA764" s="27"/>
      <c r="AB764" s="27"/>
      <c r="AC764" s="27"/>
    </row>
    <row r="765" spans="1:29">
      <c r="A765" s="358"/>
      <c r="B765" s="359"/>
      <c r="C765" s="360"/>
      <c r="D765" s="27"/>
      <c r="E765" s="27"/>
      <c r="F765" s="27"/>
      <c r="G765" s="27"/>
      <c r="H765" s="27"/>
      <c r="I765" s="27"/>
      <c r="J765" s="27"/>
      <c r="K765" s="27"/>
      <c r="L765" s="27"/>
      <c r="M765" s="27"/>
      <c r="N765" s="27"/>
      <c r="O765" s="27"/>
      <c r="P765" s="27"/>
      <c r="Q765" s="27"/>
      <c r="R765" s="27"/>
      <c r="S765" s="27"/>
      <c r="T765" s="27"/>
      <c r="U765" s="27"/>
      <c r="V765" s="27"/>
      <c r="W765" s="27"/>
      <c r="X765" s="27"/>
      <c r="Y765" s="27"/>
      <c r="Z765" s="27"/>
      <c r="AA765" s="27"/>
      <c r="AB765" s="27"/>
      <c r="AC765" s="27"/>
    </row>
    <row r="766" spans="1:29">
      <c r="A766" s="358"/>
      <c r="B766" s="359"/>
      <c r="C766" s="360"/>
      <c r="D766" s="27"/>
      <c r="E766" s="27"/>
      <c r="F766" s="27"/>
      <c r="G766" s="27"/>
      <c r="H766" s="27"/>
      <c r="I766" s="27"/>
      <c r="J766" s="27"/>
      <c r="K766" s="27"/>
      <c r="L766" s="27"/>
      <c r="M766" s="27"/>
      <c r="N766" s="27"/>
      <c r="O766" s="27"/>
      <c r="P766" s="27"/>
      <c r="Q766" s="27"/>
      <c r="R766" s="27"/>
      <c r="S766" s="27"/>
      <c r="T766" s="27"/>
      <c r="U766" s="27"/>
      <c r="V766" s="27"/>
      <c r="W766" s="27"/>
      <c r="X766" s="27"/>
      <c r="Y766" s="27"/>
      <c r="Z766" s="27"/>
      <c r="AA766" s="27"/>
      <c r="AB766" s="27"/>
      <c r="AC766" s="27"/>
    </row>
    <row r="767" spans="1:29">
      <c r="A767" s="358"/>
      <c r="B767" s="359"/>
      <c r="C767" s="360"/>
      <c r="D767" s="27"/>
      <c r="E767" s="27"/>
      <c r="F767" s="27"/>
      <c r="G767" s="27"/>
      <c r="H767" s="27"/>
      <c r="I767" s="27"/>
      <c r="J767" s="27"/>
      <c r="K767" s="27"/>
      <c r="L767" s="27"/>
      <c r="M767" s="27"/>
      <c r="N767" s="27"/>
      <c r="O767" s="27"/>
      <c r="P767" s="27"/>
      <c r="Q767" s="27"/>
      <c r="R767" s="27"/>
      <c r="S767" s="27"/>
      <c r="T767" s="27"/>
      <c r="U767" s="27"/>
      <c r="V767" s="27"/>
      <c r="W767" s="27"/>
      <c r="X767" s="27"/>
      <c r="Y767" s="27"/>
      <c r="Z767" s="27"/>
      <c r="AA767" s="27"/>
      <c r="AB767" s="27"/>
      <c r="AC767" s="27"/>
    </row>
    <row r="768" spans="1:29">
      <c r="A768" s="358"/>
      <c r="B768" s="359"/>
      <c r="C768" s="360"/>
      <c r="D768" s="27"/>
      <c r="E768" s="27"/>
      <c r="F768" s="27"/>
      <c r="G768" s="27"/>
      <c r="H768" s="27"/>
      <c r="I768" s="27"/>
      <c r="J768" s="27"/>
      <c r="K768" s="27"/>
      <c r="L768" s="27"/>
      <c r="M768" s="27"/>
      <c r="N768" s="27"/>
      <c r="O768" s="27"/>
      <c r="P768" s="27"/>
      <c r="Q768" s="27"/>
      <c r="R768" s="27"/>
      <c r="S768" s="27"/>
      <c r="T768" s="27"/>
      <c r="U768" s="27"/>
      <c r="V768" s="27"/>
      <c r="W768" s="27"/>
      <c r="X768" s="27"/>
      <c r="Y768" s="27"/>
      <c r="Z768" s="27"/>
      <c r="AA768" s="27"/>
      <c r="AB768" s="27"/>
      <c r="AC768" s="27"/>
    </row>
    <row r="769" spans="1:29">
      <c r="A769" s="358"/>
      <c r="B769" s="359"/>
      <c r="C769" s="360"/>
      <c r="D769" s="27"/>
      <c r="E769" s="27"/>
      <c r="F769" s="27"/>
      <c r="G769" s="27"/>
      <c r="H769" s="27"/>
      <c r="I769" s="27"/>
      <c r="J769" s="27"/>
      <c r="K769" s="27"/>
      <c r="L769" s="27"/>
      <c r="M769" s="27"/>
      <c r="N769" s="27"/>
      <c r="O769" s="27"/>
      <c r="P769" s="27"/>
      <c r="Q769" s="27"/>
      <c r="R769" s="27"/>
      <c r="S769" s="27"/>
      <c r="T769" s="27"/>
      <c r="U769" s="27"/>
      <c r="V769" s="27"/>
      <c r="W769" s="27"/>
      <c r="X769" s="27"/>
      <c r="Y769" s="27"/>
      <c r="Z769" s="27"/>
      <c r="AA769" s="27"/>
      <c r="AB769" s="27"/>
      <c r="AC769" s="27"/>
    </row>
    <row r="770" spans="1:29">
      <c r="A770" s="358"/>
      <c r="B770" s="359"/>
      <c r="C770" s="360"/>
      <c r="D770" s="27"/>
      <c r="E770" s="27"/>
      <c r="F770" s="27"/>
      <c r="G770" s="27"/>
      <c r="H770" s="27"/>
      <c r="I770" s="27"/>
      <c r="J770" s="27"/>
      <c r="K770" s="27"/>
      <c r="L770" s="27"/>
      <c r="M770" s="27"/>
      <c r="N770" s="27"/>
      <c r="O770" s="27"/>
      <c r="P770" s="27"/>
      <c r="Q770" s="27"/>
      <c r="R770" s="27"/>
      <c r="S770" s="27"/>
      <c r="T770" s="27"/>
      <c r="U770" s="27"/>
      <c r="V770" s="27"/>
      <c r="W770" s="27"/>
      <c r="X770" s="27"/>
      <c r="Y770" s="27"/>
      <c r="Z770" s="27"/>
      <c r="AA770" s="27"/>
      <c r="AB770" s="27"/>
      <c r="AC770" s="27"/>
    </row>
    <row r="771" spans="1:29">
      <c r="A771" s="358"/>
      <c r="B771" s="359"/>
      <c r="C771" s="360"/>
      <c r="D771" s="27"/>
      <c r="E771" s="27"/>
      <c r="F771" s="27"/>
      <c r="G771" s="27"/>
      <c r="H771" s="27"/>
      <c r="I771" s="27"/>
      <c r="J771" s="27"/>
      <c r="K771" s="27"/>
      <c r="L771" s="27"/>
      <c r="M771" s="27"/>
      <c r="N771" s="27"/>
      <c r="O771" s="27"/>
      <c r="P771" s="27"/>
      <c r="Q771" s="27"/>
      <c r="R771" s="27"/>
      <c r="S771" s="27"/>
      <c r="T771" s="27"/>
      <c r="U771" s="27"/>
      <c r="V771" s="27"/>
      <c r="W771" s="27"/>
      <c r="X771" s="27"/>
      <c r="Y771" s="27"/>
      <c r="Z771" s="27"/>
      <c r="AA771" s="27"/>
      <c r="AB771" s="27"/>
      <c r="AC771" s="27"/>
    </row>
    <row r="772" spans="1:29">
      <c r="A772" s="358"/>
      <c r="B772" s="359"/>
      <c r="C772" s="360"/>
      <c r="D772" s="27"/>
      <c r="E772" s="27"/>
      <c r="F772" s="27"/>
      <c r="G772" s="27"/>
      <c r="H772" s="27"/>
      <c r="I772" s="27"/>
      <c r="J772" s="27"/>
      <c r="K772" s="27"/>
      <c r="L772" s="27"/>
      <c r="M772" s="27"/>
      <c r="N772" s="27"/>
      <c r="O772" s="27"/>
      <c r="P772" s="27"/>
      <c r="Q772" s="27"/>
      <c r="R772" s="27"/>
      <c r="S772" s="27"/>
      <c r="T772" s="27"/>
      <c r="U772" s="27"/>
      <c r="V772" s="27"/>
      <c r="W772" s="27"/>
      <c r="X772" s="27"/>
      <c r="Y772" s="27"/>
      <c r="Z772" s="27"/>
      <c r="AA772" s="27"/>
      <c r="AB772" s="27"/>
      <c r="AC772" s="27"/>
    </row>
    <row r="773" spans="1:29">
      <c r="A773" s="358"/>
      <c r="B773" s="359"/>
      <c r="C773" s="360"/>
      <c r="D773" s="27"/>
      <c r="E773" s="27"/>
      <c r="F773" s="27"/>
      <c r="G773" s="27"/>
      <c r="H773" s="27"/>
      <c r="I773" s="27"/>
      <c r="J773" s="27"/>
      <c r="K773" s="27"/>
      <c r="L773" s="27"/>
      <c r="M773" s="27"/>
      <c r="N773" s="27"/>
      <c r="O773" s="27"/>
      <c r="P773" s="27"/>
      <c r="Q773" s="27"/>
      <c r="R773" s="27"/>
      <c r="S773" s="27"/>
      <c r="T773" s="27"/>
      <c r="U773" s="27"/>
      <c r="V773" s="27"/>
      <c r="W773" s="27"/>
      <c r="X773" s="27"/>
      <c r="Y773" s="27"/>
      <c r="Z773" s="27"/>
      <c r="AA773" s="27"/>
      <c r="AB773" s="27"/>
      <c r="AC773" s="27"/>
    </row>
    <row r="774" spans="1:29">
      <c r="A774" s="358"/>
      <c r="B774" s="359"/>
      <c r="C774" s="360"/>
      <c r="D774" s="27"/>
      <c r="E774" s="27"/>
      <c r="F774" s="27"/>
      <c r="G774" s="27"/>
      <c r="H774" s="27"/>
      <c r="I774" s="27"/>
      <c r="J774" s="27"/>
      <c r="K774" s="27"/>
      <c r="L774" s="27"/>
      <c r="M774" s="27"/>
      <c r="N774" s="27"/>
      <c r="O774" s="27"/>
      <c r="P774" s="27"/>
      <c r="Q774" s="27"/>
      <c r="R774" s="27"/>
      <c r="S774" s="27"/>
      <c r="T774" s="27"/>
      <c r="U774" s="27"/>
      <c r="V774" s="27"/>
      <c r="W774" s="27"/>
      <c r="X774" s="27"/>
      <c r="Y774" s="27"/>
      <c r="Z774" s="27"/>
      <c r="AA774" s="27"/>
      <c r="AB774" s="27"/>
      <c r="AC774" s="27"/>
    </row>
    <row r="775" spans="1:29">
      <c r="A775" s="358"/>
      <c r="B775" s="359"/>
      <c r="C775" s="360"/>
      <c r="D775" s="27"/>
      <c r="E775" s="27"/>
      <c r="F775" s="27"/>
      <c r="G775" s="27"/>
      <c r="H775" s="27"/>
      <c r="I775" s="27"/>
      <c r="J775" s="27"/>
      <c r="K775" s="27"/>
      <c r="L775" s="27"/>
      <c r="M775" s="27"/>
      <c r="N775" s="27"/>
      <c r="O775" s="27"/>
      <c r="P775" s="27"/>
      <c r="Q775" s="27"/>
      <c r="R775" s="27"/>
      <c r="S775" s="27"/>
      <c r="T775" s="27"/>
      <c r="U775" s="27"/>
      <c r="V775" s="27"/>
      <c r="W775" s="27"/>
      <c r="X775" s="27"/>
      <c r="Y775" s="27"/>
      <c r="Z775" s="27"/>
      <c r="AA775" s="27"/>
      <c r="AB775" s="27"/>
      <c r="AC775" s="27"/>
    </row>
    <row r="776" spans="1:29">
      <c r="A776" s="358"/>
      <c r="B776" s="359"/>
      <c r="C776" s="360"/>
      <c r="D776" s="27"/>
      <c r="E776" s="27"/>
      <c r="F776" s="27"/>
      <c r="G776" s="27"/>
      <c r="H776" s="27"/>
      <c r="I776" s="27"/>
      <c r="J776" s="27"/>
      <c r="K776" s="27"/>
      <c r="L776" s="27"/>
      <c r="M776" s="27"/>
      <c r="N776" s="27"/>
      <c r="O776" s="27"/>
      <c r="P776" s="27"/>
      <c r="Q776" s="27"/>
      <c r="R776" s="27"/>
      <c r="S776" s="27"/>
      <c r="T776" s="27"/>
      <c r="U776" s="27"/>
      <c r="V776" s="27"/>
      <c r="W776" s="27"/>
      <c r="X776" s="27"/>
      <c r="Y776" s="27"/>
      <c r="Z776" s="27"/>
      <c r="AA776" s="27"/>
      <c r="AB776" s="27"/>
      <c r="AC776" s="27"/>
    </row>
    <row r="777" spans="1:29">
      <c r="A777" s="358"/>
      <c r="B777" s="359"/>
      <c r="C777" s="360"/>
      <c r="D777" s="27"/>
      <c r="E777" s="27"/>
      <c r="F777" s="27"/>
      <c r="G777" s="27"/>
      <c r="H777" s="27"/>
      <c r="I777" s="27"/>
      <c r="J777" s="27"/>
      <c r="K777" s="27"/>
      <c r="L777" s="27"/>
      <c r="M777" s="27"/>
      <c r="N777" s="27"/>
      <c r="O777" s="27"/>
      <c r="P777" s="27"/>
      <c r="Q777" s="27"/>
      <c r="R777" s="27"/>
      <c r="S777" s="27"/>
      <c r="T777" s="27"/>
      <c r="U777" s="27"/>
      <c r="V777" s="27"/>
      <c r="W777" s="27"/>
      <c r="X777" s="27"/>
      <c r="Y777" s="27"/>
      <c r="Z777" s="27"/>
      <c r="AA777" s="27"/>
      <c r="AB777" s="27"/>
      <c r="AC777" s="27"/>
    </row>
    <row r="778" spans="1:29">
      <c r="A778" s="358"/>
      <c r="B778" s="359"/>
      <c r="C778" s="360"/>
      <c r="D778" s="27"/>
      <c r="E778" s="27"/>
      <c r="F778" s="27"/>
      <c r="G778" s="27"/>
      <c r="H778" s="27"/>
      <c r="I778" s="27"/>
      <c r="J778" s="27"/>
      <c r="K778" s="27"/>
      <c r="L778" s="27"/>
      <c r="M778" s="27"/>
      <c r="N778" s="27"/>
      <c r="O778" s="27"/>
      <c r="P778" s="27"/>
      <c r="Q778" s="27"/>
      <c r="R778" s="27"/>
      <c r="S778" s="27"/>
      <c r="T778" s="27"/>
      <c r="U778" s="27"/>
      <c r="V778" s="27"/>
      <c r="W778" s="27"/>
      <c r="X778" s="27"/>
      <c r="Y778" s="27"/>
      <c r="Z778" s="27"/>
      <c r="AA778" s="27"/>
      <c r="AB778" s="27"/>
      <c r="AC778" s="27"/>
    </row>
    <row r="779" spans="1:29">
      <c r="A779" s="358"/>
      <c r="B779" s="359"/>
      <c r="C779" s="360"/>
      <c r="D779" s="27"/>
      <c r="E779" s="27"/>
      <c r="F779" s="27"/>
      <c r="G779" s="27"/>
      <c r="H779" s="27"/>
      <c r="I779" s="27"/>
      <c r="J779" s="27"/>
      <c r="K779" s="27"/>
      <c r="L779" s="27"/>
      <c r="M779" s="27"/>
      <c r="N779" s="27"/>
      <c r="O779" s="27"/>
      <c r="P779" s="27"/>
      <c r="Q779" s="27"/>
      <c r="R779" s="27"/>
      <c r="S779" s="27"/>
      <c r="T779" s="27"/>
      <c r="U779" s="27"/>
      <c r="V779" s="27"/>
      <c r="W779" s="27"/>
      <c r="X779" s="27"/>
      <c r="Y779" s="27"/>
      <c r="Z779" s="27"/>
      <c r="AA779" s="27"/>
      <c r="AB779" s="27"/>
      <c r="AC779" s="27"/>
    </row>
    <row r="780" spans="1:29">
      <c r="A780" s="358"/>
      <c r="B780" s="359"/>
      <c r="C780" s="360"/>
      <c r="D780" s="27"/>
      <c r="E780" s="27"/>
      <c r="F780" s="27"/>
      <c r="G780" s="27"/>
      <c r="H780" s="27"/>
      <c r="I780" s="27"/>
      <c r="J780" s="27"/>
      <c r="K780" s="27"/>
      <c r="L780" s="27"/>
      <c r="M780" s="27"/>
      <c r="N780" s="27"/>
      <c r="O780" s="27"/>
      <c r="P780" s="27"/>
      <c r="Q780" s="27"/>
      <c r="R780" s="27"/>
      <c r="S780" s="27"/>
      <c r="T780" s="27"/>
      <c r="U780" s="27"/>
      <c r="V780" s="27"/>
      <c r="W780" s="27"/>
      <c r="X780" s="27"/>
      <c r="Y780" s="27"/>
      <c r="Z780" s="27"/>
      <c r="AA780" s="27"/>
      <c r="AB780" s="27"/>
      <c r="AC780" s="27"/>
    </row>
    <row r="781" spans="1:29">
      <c r="A781" s="358"/>
      <c r="B781" s="359"/>
      <c r="C781" s="360"/>
      <c r="D781" s="27"/>
      <c r="E781" s="27"/>
      <c r="F781" s="27"/>
      <c r="G781" s="27"/>
      <c r="H781" s="27"/>
      <c r="I781" s="27"/>
      <c r="J781" s="27"/>
      <c r="K781" s="27"/>
      <c r="L781" s="27"/>
      <c r="M781" s="27"/>
      <c r="N781" s="27"/>
      <c r="O781" s="27"/>
      <c r="P781" s="27"/>
      <c r="Q781" s="27"/>
      <c r="R781" s="27"/>
      <c r="S781" s="27"/>
      <c r="T781" s="27"/>
      <c r="U781" s="27"/>
      <c r="V781" s="27"/>
      <c r="W781" s="27"/>
      <c r="X781" s="27"/>
      <c r="Y781" s="27"/>
      <c r="Z781" s="27"/>
      <c r="AA781" s="27"/>
      <c r="AB781" s="27"/>
      <c r="AC781" s="27"/>
    </row>
    <row r="782" spans="1:29">
      <c r="A782" s="358"/>
      <c r="B782" s="359"/>
      <c r="C782" s="360"/>
      <c r="D782" s="27"/>
      <c r="E782" s="27"/>
      <c r="F782" s="27"/>
      <c r="G782" s="27"/>
      <c r="H782" s="27"/>
      <c r="I782" s="27"/>
      <c r="J782" s="27"/>
      <c r="K782" s="27"/>
      <c r="L782" s="27"/>
      <c r="M782" s="27"/>
      <c r="N782" s="27"/>
      <c r="O782" s="27"/>
      <c r="P782" s="27"/>
      <c r="Q782" s="27"/>
      <c r="R782" s="27"/>
      <c r="S782" s="27"/>
      <c r="T782" s="27"/>
      <c r="U782" s="27"/>
      <c r="V782" s="27"/>
      <c r="W782" s="27"/>
      <c r="X782" s="27"/>
      <c r="Y782" s="27"/>
      <c r="Z782" s="27"/>
      <c r="AA782" s="27"/>
      <c r="AB782" s="27"/>
      <c r="AC782" s="27"/>
    </row>
    <row r="783" spans="1:29">
      <c r="A783" s="358"/>
      <c r="B783" s="359"/>
      <c r="C783" s="360"/>
      <c r="D783" s="27"/>
      <c r="E783" s="27"/>
      <c r="F783" s="27"/>
      <c r="G783" s="27"/>
      <c r="H783" s="27"/>
      <c r="I783" s="27"/>
      <c r="J783" s="27"/>
      <c r="K783" s="27"/>
      <c r="L783" s="27"/>
      <c r="M783" s="27"/>
      <c r="N783" s="27"/>
      <c r="O783" s="27"/>
      <c r="P783" s="27"/>
      <c r="Q783" s="27"/>
      <c r="R783" s="27"/>
      <c r="S783" s="27"/>
      <c r="T783" s="27"/>
      <c r="U783" s="27"/>
      <c r="V783" s="27"/>
      <c r="W783" s="27"/>
      <c r="X783" s="27"/>
      <c r="Y783" s="27"/>
      <c r="Z783" s="27"/>
      <c r="AA783" s="27"/>
      <c r="AB783" s="27"/>
      <c r="AC783" s="27"/>
    </row>
    <row r="784" spans="1:29">
      <c r="A784" s="358"/>
      <c r="B784" s="359"/>
      <c r="C784" s="360"/>
      <c r="D784" s="27"/>
      <c r="E784" s="27"/>
      <c r="F784" s="27"/>
      <c r="G784" s="27"/>
      <c r="H784" s="27"/>
      <c r="I784" s="27"/>
      <c r="J784" s="27"/>
      <c r="K784" s="27"/>
      <c r="L784" s="27"/>
      <c r="M784" s="27"/>
      <c r="N784" s="27"/>
      <c r="O784" s="27"/>
      <c r="P784" s="27"/>
      <c r="Q784" s="27"/>
      <c r="R784" s="27"/>
      <c r="S784" s="27"/>
      <c r="T784" s="27"/>
      <c r="U784" s="27"/>
      <c r="V784" s="27"/>
      <c r="W784" s="27"/>
      <c r="X784" s="27"/>
      <c r="Y784" s="27"/>
      <c r="Z784" s="27"/>
      <c r="AA784" s="27"/>
      <c r="AB784" s="27"/>
      <c r="AC784" s="27"/>
    </row>
    <row r="785" spans="1:29">
      <c r="A785" s="358"/>
      <c r="B785" s="359"/>
      <c r="C785" s="360"/>
      <c r="D785" s="27"/>
      <c r="E785" s="27"/>
      <c r="F785" s="27"/>
      <c r="G785" s="27"/>
      <c r="H785" s="27"/>
      <c r="I785" s="27"/>
      <c r="J785" s="27"/>
      <c r="K785" s="27"/>
      <c r="L785" s="27"/>
      <c r="M785" s="27"/>
      <c r="N785" s="27"/>
      <c r="O785" s="27"/>
      <c r="P785" s="27"/>
      <c r="Q785" s="27"/>
      <c r="R785" s="27"/>
      <c r="S785" s="27"/>
      <c r="T785" s="27"/>
      <c r="U785" s="27"/>
      <c r="V785" s="27"/>
      <c r="W785" s="27"/>
      <c r="X785" s="27"/>
      <c r="Y785" s="27"/>
      <c r="Z785" s="27"/>
      <c r="AA785" s="27"/>
      <c r="AB785" s="27"/>
      <c r="AC785" s="27"/>
    </row>
    <row r="786" spans="1:29">
      <c r="A786" s="358"/>
      <c r="B786" s="359"/>
      <c r="C786" s="360"/>
      <c r="D786" s="27"/>
      <c r="E786" s="27"/>
      <c r="F786" s="27"/>
      <c r="G786" s="27"/>
      <c r="H786" s="27"/>
      <c r="I786" s="27"/>
      <c r="J786" s="27"/>
      <c r="K786" s="27"/>
      <c r="L786" s="27"/>
      <c r="M786" s="27"/>
      <c r="N786" s="27"/>
      <c r="O786" s="27"/>
      <c r="P786" s="27"/>
      <c r="Q786" s="27"/>
      <c r="R786" s="27"/>
      <c r="S786" s="27"/>
      <c r="T786" s="27"/>
      <c r="U786" s="27"/>
      <c r="V786" s="27"/>
      <c r="W786" s="27"/>
      <c r="X786" s="27"/>
      <c r="Y786" s="27"/>
      <c r="Z786" s="27"/>
      <c r="AA786" s="27"/>
      <c r="AB786" s="27"/>
      <c r="AC786" s="27"/>
    </row>
    <row r="787" spans="1:29">
      <c r="A787" s="358"/>
      <c r="B787" s="359"/>
      <c r="C787" s="360"/>
      <c r="D787" s="27"/>
      <c r="E787" s="27"/>
      <c r="F787" s="27"/>
      <c r="G787" s="27"/>
      <c r="H787" s="27"/>
      <c r="I787" s="27"/>
      <c r="J787" s="27"/>
      <c r="K787" s="27"/>
      <c r="L787" s="27"/>
      <c r="M787" s="27"/>
      <c r="N787" s="27"/>
      <c r="O787" s="27"/>
      <c r="P787" s="27"/>
      <c r="Q787" s="27"/>
      <c r="R787" s="27"/>
      <c r="S787" s="27"/>
      <c r="T787" s="27"/>
      <c r="U787" s="27"/>
      <c r="V787" s="27"/>
      <c r="W787" s="27"/>
      <c r="X787" s="27"/>
      <c r="Y787" s="27"/>
      <c r="Z787" s="27"/>
      <c r="AA787" s="27"/>
      <c r="AB787" s="27"/>
      <c r="AC787" s="27"/>
    </row>
    <row r="788" spans="1:29">
      <c r="A788" s="358"/>
      <c r="B788" s="359"/>
      <c r="C788" s="360"/>
      <c r="D788" s="27"/>
      <c r="E788" s="27"/>
      <c r="F788" s="27"/>
      <c r="G788" s="27"/>
      <c r="H788" s="27"/>
      <c r="I788" s="27"/>
      <c r="J788" s="27"/>
      <c r="K788" s="27"/>
      <c r="L788" s="27"/>
      <c r="M788" s="27"/>
      <c r="N788" s="27"/>
      <c r="O788" s="27"/>
      <c r="P788" s="27"/>
      <c r="Q788" s="27"/>
      <c r="R788" s="27"/>
      <c r="S788" s="27"/>
      <c r="T788" s="27"/>
      <c r="U788" s="27"/>
      <c r="V788" s="27"/>
      <c r="W788" s="27"/>
      <c r="X788" s="27"/>
      <c r="Y788" s="27"/>
      <c r="Z788" s="27"/>
      <c r="AA788" s="27"/>
      <c r="AB788" s="27"/>
      <c r="AC788" s="27"/>
    </row>
    <row r="789" spans="1:29">
      <c r="A789" s="358"/>
      <c r="B789" s="359"/>
      <c r="C789" s="360"/>
      <c r="D789" s="27"/>
      <c r="E789" s="27"/>
      <c r="F789" s="27"/>
      <c r="G789" s="27"/>
      <c r="H789" s="27"/>
      <c r="I789" s="27"/>
      <c r="J789" s="27"/>
      <c r="K789" s="27"/>
      <c r="L789" s="27"/>
      <c r="M789" s="27"/>
      <c r="N789" s="27"/>
      <c r="O789" s="27"/>
      <c r="P789" s="27"/>
      <c r="Q789" s="27"/>
      <c r="R789" s="27"/>
      <c r="S789" s="27"/>
      <c r="T789" s="27"/>
      <c r="U789" s="27"/>
      <c r="V789" s="27"/>
      <c r="W789" s="27"/>
      <c r="X789" s="27"/>
      <c r="Y789" s="27"/>
      <c r="Z789" s="27"/>
      <c r="AA789" s="27"/>
      <c r="AB789" s="27"/>
      <c r="AC789" s="27"/>
    </row>
    <row r="790" spans="1:29">
      <c r="A790" s="358"/>
      <c r="B790" s="359"/>
      <c r="C790" s="360"/>
      <c r="D790" s="27"/>
      <c r="E790" s="27"/>
      <c r="F790" s="27"/>
      <c r="G790" s="27"/>
      <c r="H790" s="27"/>
      <c r="I790" s="27"/>
      <c r="J790" s="27"/>
      <c r="K790" s="27"/>
      <c r="L790" s="27"/>
      <c r="M790" s="27"/>
      <c r="N790" s="27"/>
      <c r="O790" s="27"/>
      <c r="P790" s="27"/>
      <c r="Q790" s="27"/>
      <c r="R790" s="27"/>
      <c r="S790" s="27"/>
      <c r="T790" s="27"/>
      <c r="U790" s="27"/>
      <c r="V790" s="27"/>
      <c r="W790" s="27"/>
      <c r="X790" s="27"/>
      <c r="Y790" s="27"/>
      <c r="Z790" s="27"/>
      <c r="AA790" s="27"/>
      <c r="AB790" s="27"/>
      <c r="AC790" s="27"/>
    </row>
    <row r="791" spans="1:29">
      <c r="A791" s="358"/>
      <c r="B791" s="359"/>
      <c r="C791" s="360"/>
      <c r="D791" s="27"/>
      <c r="E791" s="27"/>
      <c r="F791" s="27"/>
      <c r="G791" s="27"/>
      <c r="H791" s="27"/>
      <c r="I791" s="27"/>
      <c r="J791" s="27"/>
      <c r="K791" s="27"/>
      <c r="L791" s="27"/>
      <c r="M791" s="27"/>
      <c r="N791" s="27"/>
      <c r="O791" s="27"/>
      <c r="P791" s="27"/>
      <c r="Q791" s="27"/>
      <c r="R791" s="27"/>
      <c r="S791" s="27"/>
      <c r="T791" s="27"/>
      <c r="U791" s="27"/>
      <c r="V791" s="27"/>
      <c r="W791" s="27"/>
      <c r="X791" s="27"/>
      <c r="Y791" s="27"/>
      <c r="Z791" s="27"/>
      <c r="AA791" s="27"/>
      <c r="AB791" s="27"/>
      <c r="AC791" s="27"/>
    </row>
    <row r="792" spans="1:29">
      <c r="A792" s="358"/>
      <c r="B792" s="359"/>
      <c r="C792" s="360"/>
      <c r="D792" s="27"/>
      <c r="E792" s="27"/>
      <c r="F792" s="27"/>
      <c r="G792" s="27"/>
      <c r="H792" s="27"/>
      <c r="I792" s="27"/>
      <c r="J792" s="27"/>
      <c r="K792" s="27"/>
      <c r="L792" s="27"/>
      <c r="M792" s="27"/>
      <c r="N792" s="27"/>
      <c r="O792" s="27"/>
      <c r="P792" s="27"/>
      <c r="Q792" s="27"/>
      <c r="R792" s="27"/>
      <c r="S792" s="27"/>
      <c r="T792" s="27"/>
      <c r="U792" s="27"/>
      <c r="V792" s="27"/>
      <c r="W792" s="27"/>
      <c r="X792" s="27"/>
      <c r="Y792" s="27"/>
      <c r="Z792" s="27"/>
      <c r="AA792" s="27"/>
      <c r="AB792" s="27"/>
      <c r="AC792" s="27"/>
    </row>
    <row r="793" spans="1:29">
      <c r="A793" s="358"/>
      <c r="B793" s="359"/>
      <c r="C793" s="360"/>
      <c r="D793" s="27"/>
      <c r="E793" s="27"/>
      <c r="F793" s="27"/>
      <c r="G793" s="27"/>
      <c r="H793" s="27"/>
      <c r="I793" s="27"/>
      <c r="J793" s="27"/>
      <c r="K793" s="27"/>
      <c r="L793" s="27"/>
      <c r="M793" s="27"/>
      <c r="N793" s="27"/>
      <c r="O793" s="27"/>
      <c r="P793" s="27"/>
      <c r="Q793" s="27"/>
      <c r="R793" s="27"/>
      <c r="S793" s="27"/>
      <c r="T793" s="27"/>
      <c r="U793" s="27"/>
      <c r="V793" s="27"/>
      <c r="W793" s="27"/>
      <c r="X793" s="27"/>
      <c r="Y793" s="27"/>
      <c r="Z793" s="27"/>
      <c r="AA793" s="27"/>
      <c r="AB793" s="27"/>
      <c r="AC793" s="27"/>
    </row>
    <row r="794" spans="1:29">
      <c r="A794" s="358"/>
      <c r="B794" s="359"/>
      <c r="C794" s="360"/>
      <c r="D794" s="27"/>
      <c r="E794" s="27"/>
      <c r="F794" s="27"/>
      <c r="G794" s="27"/>
      <c r="H794" s="27"/>
      <c r="I794" s="27"/>
      <c r="J794" s="27"/>
      <c r="K794" s="27"/>
      <c r="L794" s="27"/>
      <c r="M794" s="27"/>
      <c r="N794" s="27"/>
      <c r="O794" s="27"/>
      <c r="P794" s="27"/>
      <c r="Q794" s="27"/>
      <c r="R794" s="27"/>
      <c r="S794" s="27"/>
      <c r="T794" s="27"/>
      <c r="U794" s="27"/>
      <c r="V794" s="27"/>
      <c r="W794" s="27"/>
      <c r="X794" s="27"/>
      <c r="Y794" s="27"/>
      <c r="Z794" s="27"/>
      <c r="AA794" s="27"/>
      <c r="AB794" s="27"/>
      <c r="AC794" s="27"/>
    </row>
    <row r="795" spans="1:29">
      <c r="A795" s="358"/>
      <c r="B795" s="359"/>
      <c r="C795" s="360"/>
      <c r="D795" s="27"/>
      <c r="E795" s="27"/>
      <c r="F795" s="27"/>
      <c r="G795" s="27"/>
      <c r="H795" s="27"/>
      <c r="I795" s="27"/>
      <c r="J795" s="27"/>
      <c r="K795" s="27"/>
      <c r="L795" s="27"/>
      <c r="M795" s="27"/>
      <c r="N795" s="27"/>
      <c r="O795" s="27"/>
      <c r="P795" s="27"/>
      <c r="Q795" s="27"/>
      <c r="R795" s="27"/>
      <c r="S795" s="27"/>
      <c r="T795" s="27"/>
      <c r="U795" s="27"/>
      <c r="V795" s="27"/>
      <c r="W795" s="27"/>
      <c r="X795" s="27"/>
      <c r="Y795" s="27"/>
      <c r="Z795" s="27"/>
      <c r="AA795" s="27"/>
      <c r="AB795" s="27"/>
      <c r="AC795" s="27"/>
    </row>
    <row r="796" spans="1:29">
      <c r="A796" s="358"/>
      <c r="B796" s="359"/>
      <c r="C796" s="360"/>
      <c r="D796" s="27"/>
      <c r="E796" s="27"/>
      <c r="F796" s="27"/>
      <c r="G796" s="27"/>
      <c r="H796" s="27"/>
      <c r="I796" s="27"/>
      <c r="J796" s="27"/>
      <c r="K796" s="27"/>
      <c r="L796" s="27"/>
      <c r="M796" s="27"/>
      <c r="N796" s="27"/>
      <c r="O796" s="27"/>
      <c r="P796" s="27"/>
      <c r="Q796" s="27"/>
      <c r="R796" s="27"/>
      <c r="S796" s="27"/>
      <c r="T796" s="27"/>
      <c r="U796" s="27"/>
      <c r="V796" s="27"/>
      <c r="W796" s="27"/>
      <c r="X796" s="27"/>
      <c r="Y796" s="27"/>
      <c r="Z796" s="27"/>
      <c r="AA796" s="27"/>
      <c r="AB796" s="27"/>
      <c r="AC796" s="27"/>
    </row>
    <row r="797" spans="1:29">
      <c r="A797" s="358"/>
      <c r="B797" s="359"/>
      <c r="C797" s="360"/>
      <c r="D797" s="27"/>
      <c r="E797" s="27"/>
      <c r="F797" s="27"/>
      <c r="G797" s="27"/>
      <c r="H797" s="27"/>
      <c r="I797" s="27"/>
      <c r="J797" s="27"/>
      <c r="K797" s="27"/>
      <c r="L797" s="27"/>
      <c r="M797" s="27"/>
      <c r="N797" s="27"/>
      <c r="O797" s="27"/>
      <c r="P797" s="27"/>
      <c r="Q797" s="27"/>
      <c r="R797" s="27"/>
      <c r="S797" s="27"/>
      <c r="T797" s="27"/>
      <c r="U797" s="27"/>
      <c r="V797" s="27"/>
      <c r="W797" s="27"/>
    </row>
    <row r="798" spans="1:29">
      <c r="A798" s="358"/>
      <c r="B798" s="359"/>
      <c r="C798" s="360"/>
      <c r="D798" s="27"/>
      <c r="E798" s="27"/>
      <c r="F798" s="27"/>
      <c r="G798" s="27"/>
      <c r="H798" s="27"/>
      <c r="I798" s="27"/>
      <c r="J798" s="27"/>
      <c r="K798" s="27"/>
      <c r="L798" s="27"/>
      <c r="M798" s="27"/>
      <c r="N798" s="27"/>
      <c r="O798" s="27"/>
      <c r="P798" s="27"/>
      <c r="Q798" s="27"/>
      <c r="R798" s="27"/>
      <c r="S798" s="27"/>
      <c r="T798" s="27"/>
      <c r="U798" s="27"/>
      <c r="V798" s="27"/>
      <c r="W798" s="27"/>
    </row>
    <row r="799" spans="1:29">
      <c r="A799" s="358"/>
      <c r="B799" s="359"/>
      <c r="C799" s="360"/>
      <c r="D799" s="27"/>
      <c r="E799" s="27"/>
      <c r="F799" s="27"/>
      <c r="G799" s="27"/>
      <c r="H799" s="27"/>
      <c r="I799" s="27"/>
      <c r="J799" s="27"/>
      <c r="K799" s="27"/>
      <c r="L799" s="27"/>
      <c r="M799" s="27"/>
      <c r="N799" s="27"/>
      <c r="O799" s="27"/>
      <c r="P799" s="27"/>
      <c r="Q799" s="27"/>
      <c r="R799" s="27"/>
      <c r="S799" s="27"/>
      <c r="T799" s="27"/>
      <c r="U799" s="27"/>
      <c r="V799" s="27"/>
      <c r="W799" s="27"/>
    </row>
    <row r="800" spans="1:29">
      <c r="A800" s="358"/>
      <c r="B800" s="359"/>
      <c r="C800" s="360"/>
      <c r="D800" s="27"/>
      <c r="E800" s="27"/>
      <c r="F800" s="27"/>
      <c r="G800" s="27"/>
      <c r="H800" s="27"/>
      <c r="I800" s="27"/>
      <c r="J800" s="27"/>
      <c r="K800" s="27"/>
      <c r="L800" s="27"/>
      <c r="M800" s="27"/>
      <c r="N800" s="27"/>
      <c r="O800" s="27"/>
      <c r="P800" s="27"/>
      <c r="Q800" s="27"/>
      <c r="R800" s="27"/>
      <c r="S800" s="27"/>
      <c r="T800" s="27"/>
      <c r="U800" s="27"/>
      <c r="V800" s="27"/>
      <c r="W800" s="27"/>
    </row>
    <row r="801" spans="1:23">
      <c r="A801" s="358"/>
      <c r="B801" s="359"/>
      <c r="C801" s="360"/>
      <c r="D801" s="27"/>
      <c r="E801" s="27"/>
      <c r="F801" s="27"/>
      <c r="G801" s="27"/>
      <c r="H801" s="27"/>
      <c r="I801" s="27"/>
      <c r="J801" s="27"/>
      <c r="K801" s="27"/>
      <c r="L801" s="27"/>
      <c r="M801" s="27"/>
      <c r="N801" s="27"/>
      <c r="O801" s="27"/>
      <c r="P801" s="27"/>
      <c r="Q801" s="27"/>
      <c r="R801" s="27"/>
      <c r="S801" s="27"/>
      <c r="T801" s="27"/>
      <c r="U801" s="27"/>
      <c r="V801" s="27"/>
      <c r="W801" s="27"/>
    </row>
    <row r="802" spans="1:23">
      <c r="A802" s="358"/>
      <c r="B802" s="359"/>
      <c r="C802" s="360"/>
      <c r="D802" s="27"/>
      <c r="E802" s="27"/>
      <c r="F802" s="27"/>
      <c r="G802" s="27"/>
      <c r="H802" s="27"/>
      <c r="I802" s="27"/>
      <c r="J802" s="27"/>
      <c r="K802" s="27"/>
      <c r="L802" s="27"/>
      <c r="M802" s="27"/>
      <c r="N802" s="27"/>
      <c r="O802" s="27"/>
      <c r="P802" s="27"/>
      <c r="Q802" s="27"/>
      <c r="R802" s="27"/>
      <c r="S802" s="27"/>
      <c r="T802" s="27"/>
      <c r="U802" s="27"/>
      <c r="V802" s="27"/>
      <c r="W802" s="27"/>
    </row>
    <row r="803" spans="1:23">
      <c r="A803" s="358"/>
      <c r="B803" s="359"/>
      <c r="C803" s="360"/>
      <c r="D803" s="27"/>
      <c r="E803" s="27"/>
      <c r="F803" s="27"/>
      <c r="G803" s="27"/>
      <c r="H803" s="27"/>
      <c r="I803" s="27"/>
      <c r="J803" s="27"/>
      <c r="K803" s="27"/>
      <c r="L803" s="27"/>
      <c r="M803" s="27"/>
      <c r="N803" s="27"/>
      <c r="O803" s="27"/>
      <c r="P803" s="27"/>
      <c r="Q803" s="27"/>
      <c r="R803" s="27"/>
      <c r="S803" s="27"/>
      <c r="T803" s="27"/>
      <c r="U803" s="27"/>
      <c r="V803" s="27"/>
      <c r="W803" s="27"/>
    </row>
    <row r="804" spans="1:23">
      <c r="A804" s="358"/>
      <c r="B804" s="359"/>
      <c r="C804" s="360"/>
      <c r="D804" s="27"/>
      <c r="E804" s="27"/>
      <c r="F804" s="27"/>
      <c r="G804" s="27"/>
      <c r="H804" s="27"/>
      <c r="I804" s="27"/>
      <c r="J804" s="27"/>
      <c r="K804" s="27"/>
      <c r="L804" s="27"/>
      <c r="M804" s="27"/>
      <c r="N804" s="27"/>
      <c r="O804" s="27"/>
      <c r="P804" s="27"/>
      <c r="Q804" s="27"/>
      <c r="R804" s="27"/>
      <c r="S804" s="27"/>
      <c r="T804" s="27"/>
      <c r="U804" s="27"/>
      <c r="V804" s="27"/>
      <c r="W804" s="27"/>
    </row>
    <row r="805" spans="1:23">
      <c r="A805" s="358"/>
      <c r="B805" s="359"/>
      <c r="C805" s="360"/>
      <c r="D805" s="27"/>
      <c r="E805" s="27"/>
      <c r="F805" s="27"/>
      <c r="G805" s="27"/>
      <c r="H805" s="27"/>
      <c r="I805" s="27"/>
      <c r="J805" s="27"/>
      <c r="K805" s="27"/>
      <c r="L805" s="27"/>
      <c r="M805" s="27"/>
      <c r="N805" s="27"/>
      <c r="O805" s="27"/>
      <c r="P805" s="27"/>
      <c r="Q805" s="27"/>
      <c r="R805" s="27"/>
      <c r="S805" s="27"/>
      <c r="T805" s="27"/>
      <c r="U805" s="27"/>
      <c r="V805" s="27"/>
      <c r="W805" s="27"/>
    </row>
    <row r="806" spans="1:23">
      <c r="A806" s="358"/>
      <c r="B806" s="359"/>
      <c r="C806" s="360"/>
      <c r="D806" s="27"/>
      <c r="E806" s="27"/>
      <c r="F806" s="27"/>
      <c r="G806" s="27"/>
      <c r="H806" s="27"/>
      <c r="I806" s="27"/>
      <c r="J806" s="27"/>
      <c r="K806" s="27"/>
      <c r="L806" s="27"/>
      <c r="M806" s="27"/>
      <c r="N806" s="27"/>
      <c r="O806" s="27"/>
      <c r="P806" s="27"/>
      <c r="Q806" s="27"/>
      <c r="R806" s="27"/>
      <c r="S806" s="27"/>
      <c r="T806" s="27"/>
      <c r="U806" s="27"/>
      <c r="V806" s="27"/>
      <c r="W806" s="27"/>
    </row>
    <row r="807" spans="1:23">
      <c r="A807" s="358"/>
      <c r="B807" s="359"/>
      <c r="C807" s="360"/>
      <c r="D807" s="27"/>
      <c r="E807" s="27"/>
      <c r="F807" s="27"/>
      <c r="G807" s="27"/>
      <c r="H807" s="27"/>
      <c r="I807" s="27"/>
      <c r="J807" s="27"/>
      <c r="K807" s="27"/>
      <c r="L807" s="27"/>
      <c r="M807" s="27"/>
      <c r="N807" s="27"/>
      <c r="O807" s="27"/>
      <c r="P807" s="27"/>
      <c r="Q807" s="27"/>
      <c r="R807" s="27"/>
      <c r="S807" s="27"/>
      <c r="T807" s="27"/>
      <c r="U807" s="27"/>
      <c r="V807" s="27"/>
      <c r="W807" s="27"/>
    </row>
    <row r="808" spans="1:23">
      <c r="A808" s="358"/>
      <c r="B808" s="359"/>
      <c r="C808" s="360"/>
      <c r="D808" s="27"/>
      <c r="E808" s="27"/>
      <c r="F808" s="27"/>
      <c r="G808" s="27"/>
      <c r="H808" s="27"/>
      <c r="I808" s="27"/>
      <c r="J808" s="27"/>
      <c r="K808" s="27"/>
      <c r="L808" s="27"/>
      <c r="M808" s="27"/>
      <c r="N808" s="27"/>
      <c r="O808" s="27"/>
      <c r="P808" s="27"/>
      <c r="Q808" s="27"/>
      <c r="R808" s="27"/>
      <c r="S808" s="27"/>
      <c r="T808" s="27"/>
      <c r="U808" s="27"/>
      <c r="V808" s="27"/>
      <c r="W808" s="27"/>
    </row>
    <row r="809" spans="1:23">
      <c r="A809" s="358"/>
      <c r="B809" s="359"/>
      <c r="C809" s="360"/>
      <c r="D809" s="27"/>
      <c r="E809" s="27"/>
      <c r="F809" s="27"/>
      <c r="G809" s="27"/>
      <c r="H809" s="27"/>
      <c r="I809" s="27"/>
      <c r="J809" s="27"/>
      <c r="K809" s="27"/>
      <c r="L809" s="27"/>
      <c r="M809" s="27"/>
      <c r="N809" s="27"/>
      <c r="O809" s="27"/>
      <c r="P809" s="27"/>
      <c r="Q809" s="27"/>
      <c r="R809" s="27"/>
      <c r="S809" s="27"/>
      <c r="T809" s="27"/>
      <c r="U809" s="27"/>
      <c r="V809" s="27"/>
      <c r="W809" s="27"/>
    </row>
    <row r="810" spans="1:23">
      <c r="A810" s="358"/>
      <c r="B810" s="359"/>
      <c r="C810" s="360"/>
      <c r="D810" s="27"/>
      <c r="E810" s="27"/>
      <c r="F810" s="27"/>
      <c r="G810" s="27"/>
      <c r="H810" s="27"/>
      <c r="I810" s="27"/>
      <c r="J810" s="27"/>
      <c r="K810" s="27"/>
      <c r="L810" s="27"/>
      <c r="M810" s="27"/>
      <c r="N810" s="27"/>
      <c r="O810" s="27"/>
      <c r="P810" s="27"/>
      <c r="Q810" s="27"/>
      <c r="R810" s="27"/>
      <c r="S810" s="27"/>
      <c r="T810" s="27"/>
      <c r="U810" s="27"/>
      <c r="V810" s="27"/>
      <c r="W810" s="27"/>
    </row>
    <row r="811" spans="1:23">
      <c r="A811" s="358"/>
      <c r="B811" s="359"/>
      <c r="C811" s="360"/>
      <c r="D811" s="27"/>
      <c r="E811" s="27"/>
      <c r="F811" s="27"/>
      <c r="G811" s="27"/>
      <c r="H811" s="27"/>
      <c r="I811" s="27"/>
      <c r="J811" s="27"/>
      <c r="K811" s="27"/>
      <c r="L811" s="27"/>
      <c r="M811" s="27"/>
      <c r="N811" s="27"/>
      <c r="O811" s="27"/>
      <c r="P811" s="27"/>
      <c r="Q811" s="27"/>
      <c r="R811" s="27"/>
      <c r="S811" s="27"/>
      <c r="T811" s="27"/>
      <c r="U811" s="27"/>
      <c r="V811" s="27"/>
      <c r="W811" s="27"/>
    </row>
    <row r="812" spans="1:23">
      <c r="A812" s="358"/>
      <c r="B812" s="359"/>
      <c r="C812" s="360"/>
      <c r="D812" s="27"/>
      <c r="E812" s="27"/>
      <c r="F812" s="27"/>
      <c r="G812" s="27"/>
      <c r="H812" s="27"/>
      <c r="I812" s="27"/>
      <c r="J812" s="27"/>
      <c r="K812" s="27"/>
      <c r="L812" s="27"/>
      <c r="M812" s="27"/>
      <c r="N812" s="27"/>
      <c r="O812" s="27"/>
      <c r="P812" s="27"/>
      <c r="Q812" s="27"/>
      <c r="R812" s="27"/>
      <c r="S812" s="27"/>
      <c r="T812" s="27"/>
      <c r="U812" s="27"/>
      <c r="V812" s="27"/>
      <c r="W812" s="27"/>
    </row>
    <row r="813" spans="1:23">
      <c r="A813" s="358"/>
      <c r="B813" s="359"/>
      <c r="C813" s="360"/>
      <c r="D813" s="27"/>
      <c r="E813" s="27"/>
      <c r="F813" s="27"/>
      <c r="G813" s="27"/>
      <c r="H813" s="27"/>
      <c r="I813" s="27"/>
      <c r="J813" s="27"/>
      <c r="K813" s="27"/>
      <c r="L813" s="27"/>
      <c r="M813" s="27"/>
      <c r="N813" s="27"/>
      <c r="O813" s="27"/>
      <c r="P813" s="27"/>
      <c r="Q813" s="27"/>
      <c r="R813" s="27"/>
      <c r="S813" s="27"/>
      <c r="T813" s="27"/>
      <c r="U813" s="27"/>
      <c r="V813" s="27"/>
      <c r="W813" s="27"/>
    </row>
    <row r="814" spans="1:23">
      <c r="A814" s="358"/>
      <c r="B814" s="359"/>
      <c r="C814" s="360"/>
      <c r="D814" s="27"/>
      <c r="E814" s="27"/>
      <c r="F814" s="27"/>
      <c r="G814" s="27"/>
      <c r="H814" s="27"/>
      <c r="I814" s="27"/>
      <c r="J814" s="27"/>
      <c r="K814" s="27"/>
      <c r="L814" s="27"/>
      <c r="M814" s="27"/>
      <c r="N814" s="27"/>
      <c r="O814" s="27"/>
      <c r="P814" s="27"/>
      <c r="Q814" s="27"/>
      <c r="R814" s="27"/>
      <c r="S814" s="27"/>
      <c r="T814" s="27"/>
      <c r="U814" s="27"/>
      <c r="V814" s="27"/>
      <c r="W814" s="27"/>
    </row>
    <row r="815" spans="1:23">
      <c r="A815" s="358"/>
      <c r="B815" s="359"/>
      <c r="C815" s="360"/>
      <c r="D815" s="27"/>
      <c r="E815" s="27"/>
      <c r="F815" s="27"/>
      <c r="G815" s="27"/>
      <c r="H815" s="27"/>
      <c r="I815" s="27"/>
      <c r="J815" s="27"/>
      <c r="K815" s="27"/>
      <c r="L815" s="27"/>
      <c r="M815" s="27"/>
      <c r="N815" s="27"/>
      <c r="O815" s="27"/>
      <c r="P815" s="27"/>
      <c r="Q815" s="27"/>
      <c r="R815" s="27"/>
      <c r="S815" s="27"/>
      <c r="T815" s="27"/>
      <c r="U815" s="27"/>
      <c r="V815" s="27"/>
      <c r="W815" s="27"/>
    </row>
    <row r="816" spans="1:23">
      <c r="A816" s="358"/>
      <c r="B816" s="359"/>
      <c r="C816" s="360"/>
      <c r="D816" s="27"/>
      <c r="E816" s="27"/>
      <c r="F816" s="27"/>
      <c r="G816" s="27"/>
      <c r="H816" s="27"/>
      <c r="I816" s="27"/>
      <c r="J816" s="27"/>
      <c r="K816" s="27"/>
      <c r="L816" s="27"/>
      <c r="M816" s="27"/>
      <c r="N816" s="27"/>
      <c r="O816" s="27"/>
      <c r="P816" s="27"/>
      <c r="Q816" s="27"/>
      <c r="R816" s="27"/>
      <c r="S816" s="27"/>
      <c r="T816" s="27"/>
      <c r="U816" s="27"/>
      <c r="V816" s="27"/>
      <c r="W816" s="27"/>
    </row>
    <row r="817" spans="1:23">
      <c r="A817" s="358"/>
      <c r="B817" s="359"/>
      <c r="C817" s="360"/>
      <c r="D817" s="27"/>
      <c r="E817" s="27"/>
      <c r="F817" s="27"/>
      <c r="G817" s="27"/>
      <c r="H817" s="27"/>
      <c r="I817" s="27"/>
      <c r="J817" s="27"/>
      <c r="K817" s="27"/>
      <c r="L817" s="27"/>
      <c r="M817" s="27"/>
      <c r="N817" s="27"/>
      <c r="O817" s="27"/>
      <c r="P817" s="27"/>
      <c r="Q817" s="27"/>
      <c r="R817" s="27"/>
      <c r="S817" s="27"/>
      <c r="T817" s="27"/>
      <c r="U817" s="27"/>
      <c r="V817" s="27"/>
      <c r="W817" s="27"/>
    </row>
    <row r="818" spans="1:23">
      <c r="A818" s="358"/>
      <c r="B818" s="359"/>
      <c r="C818" s="360"/>
      <c r="D818" s="27"/>
      <c r="E818" s="27"/>
      <c r="F818" s="27"/>
      <c r="G818" s="27"/>
      <c r="H818" s="27"/>
      <c r="I818" s="27"/>
      <c r="J818" s="27"/>
      <c r="K818" s="27"/>
      <c r="L818" s="27"/>
      <c r="M818" s="27"/>
      <c r="N818" s="27"/>
      <c r="O818" s="27"/>
      <c r="P818" s="27"/>
      <c r="Q818" s="27"/>
      <c r="R818" s="27"/>
      <c r="S818" s="27"/>
      <c r="T818" s="27"/>
      <c r="U818" s="27"/>
      <c r="V818" s="27"/>
      <c r="W818" s="27"/>
    </row>
    <row r="819" spans="1:23">
      <c r="A819" s="358"/>
      <c r="B819" s="359"/>
      <c r="C819" s="360"/>
      <c r="D819" s="27"/>
      <c r="E819" s="27"/>
      <c r="F819" s="27"/>
      <c r="G819" s="27"/>
      <c r="H819" s="27"/>
      <c r="I819" s="27"/>
      <c r="J819" s="27"/>
      <c r="K819" s="27"/>
      <c r="L819" s="27"/>
      <c r="M819" s="27"/>
      <c r="N819" s="27"/>
      <c r="O819" s="27"/>
      <c r="P819" s="27"/>
      <c r="Q819" s="27"/>
      <c r="R819" s="27"/>
      <c r="S819" s="27"/>
      <c r="T819" s="27"/>
      <c r="U819" s="27"/>
      <c r="V819" s="27"/>
      <c r="W819" s="27"/>
    </row>
    <row r="820" spans="1:23">
      <c r="A820" s="358"/>
      <c r="B820" s="359"/>
      <c r="C820" s="360"/>
      <c r="D820" s="27"/>
      <c r="E820" s="27"/>
      <c r="F820" s="27"/>
      <c r="G820" s="27"/>
      <c r="H820" s="27"/>
      <c r="I820" s="27"/>
      <c r="J820" s="27"/>
      <c r="K820" s="27"/>
      <c r="L820" s="27"/>
      <c r="M820" s="27"/>
      <c r="N820" s="27"/>
      <c r="O820" s="27"/>
      <c r="P820" s="27"/>
      <c r="Q820" s="27"/>
      <c r="R820" s="27"/>
      <c r="S820" s="27"/>
      <c r="T820" s="27"/>
      <c r="U820" s="27"/>
      <c r="V820" s="27"/>
      <c r="W820" s="27"/>
    </row>
    <row r="821" spans="1:23">
      <c r="A821" s="358"/>
      <c r="B821" s="359"/>
      <c r="C821" s="360"/>
      <c r="D821" s="27"/>
      <c r="E821" s="27"/>
      <c r="F821" s="27"/>
      <c r="G821" s="27"/>
      <c r="H821" s="27"/>
      <c r="I821" s="27"/>
      <c r="J821" s="27"/>
      <c r="K821" s="27"/>
      <c r="L821" s="27"/>
      <c r="M821" s="27"/>
      <c r="N821" s="27"/>
      <c r="O821" s="27"/>
      <c r="P821" s="27"/>
      <c r="Q821" s="27"/>
      <c r="R821" s="27"/>
      <c r="S821" s="27"/>
      <c r="T821" s="27"/>
      <c r="U821" s="27"/>
      <c r="V821" s="27"/>
      <c r="W821" s="27"/>
    </row>
    <row r="822" spans="1:23">
      <c r="A822" s="358"/>
      <c r="B822" s="359"/>
      <c r="C822" s="360"/>
      <c r="D822" s="27"/>
      <c r="E822" s="27"/>
      <c r="F822" s="27"/>
      <c r="G822" s="27"/>
      <c r="H822" s="27"/>
      <c r="I822" s="27"/>
      <c r="J822" s="27"/>
      <c r="K822" s="27"/>
      <c r="L822" s="27"/>
      <c r="M822" s="27"/>
      <c r="N822" s="27"/>
      <c r="O822" s="27"/>
      <c r="P822" s="27"/>
      <c r="Q822" s="27"/>
      <c r="R822" s="27"/>
      <c r="S822" s="27"/>
      <c r="T822" s="27"/>
      <c r="U822" s="27"/>
      <c r="V822" s="27"/>
      <c r="W822" s="27"/>
    </row>
    <row r="823" spans="1:23">
      <c r="A823" s="358"/>
      <c r="B823" s="359"/>
      <c r="C823" s="360"/>
      <c r="D823" s="27"/>
      <c r="E823" s="27"/>
      <c r="F823" s="27"/>
      <c r="G823" s="27"/>
      <c r="H823" s="27"/>
      <c r="I823" s="27"/>
      <c r="J823" s="27"/>
      <c r="K823" s="27"/>
      <c r="L823" s="27"/>
      <c r="M823" s="27"/>
      <c r="N823" s="27"/>
      <c r="O823" s="27"/>
      <c r="P823" s="27"/>
      <c r="Q823" s="27"/>
      <c r="R823" s="27"/>
      <c r="S823" s="27"/>
      <c r="T823" s="27"/>
      <c r="U823" s="27"/>
      <c r="V823" s="27"/>
      <c r="W823" s="27"/>
    </row>
    <row r="824" spans="1:23">
      <c r="A824" s="358"/>
      <c r="B824" s="359"/>
      <c r="C824" s="360"/>
      <c r="D824" s="27"/>
      <c r="E824" s="27"/>
      <c r="F824" s="27"/>
      <c r="G824" s="27"/>
      <c r="H824" s="27"/>
      <c r="I824" s="27"/>
      <c r="J824" s="27"/>
      <c r="K824" s="27"/>
      <c r="L824" s="27"/>
      <c r="M824" s="27"/>
      <c r="N824" s="27"/>
      <c r="O824" s="27"/>
      <c r="P824" s="27"/>
      <c r="Q824" s="27"/>
      <c r="R824" s="27"/>
      <c r="S824" s="27"/>
      <c r="T824" s="27"/>
      <c r="U824" s="27"/>
      <c r="V824" s="27"/>
      <c r="W824" s="27"/>
    </row>
    <row r="825" spans="1:23">
      <c r="A825" s="358"/>
      <c r="B825" s="359"/>
      <c r="C825" s="360"/>
      <c r="D825" s="27"/>
      <c r="E825" s="27"/>
      <c r="F825" s="27"/>
      <c r="G825" s="27"/>
      <c r="H825" s="27"/>
      <c r="I825" s="27"/>
      <c r="J825" s="27"/>
      <c r="K825" s="27"/>
      <c r="L825" s="27"/>
      <c r="M825" s="27"/>
      <c r="N825" s="27"/>
      <c r="O825" s="27"/>
      <c r="P825" s="27"/>
      <c r="Q825" s="27"/>
      <c r="R825" s="27"/>
      <c r="S825" s="27"/>
      <c r="T825" s="27"/>
      <c r="U825" s="27"/>
      <c r="V825" s="27"/>
      <c r="W825" s="27"/>
    </row>
    <row r="826" spans="1:23">
      <c r="A826" s="358"/>
      <c r="B826" s="359"/>
      <c r="C826" s="360"/>
      <c r="D826" s="27"/>
      <c r="E826" s="27"/>
      <c r="F826" s="27"/>
      <c r="G826" s="27"/>
      <c r="H826" s="27"/>
      <c r="I826" s="27"/>
      <c r="J826" s="27"/>
      <c r="K826" s="27"/>
      <c r="L826" s="27"/>
      <c r="M826" s="27"/>
      <c r="N826" s="27"/>
      <c r="O826" s="27"/>
      <c r="P826" s="27"/>
      <c r="Q826" s="27"/>
      <c r="R826" s="27"/>
      <c r="S826" s="27"/>
      <c r="T826" s="27"/>
      <c r="U826" s="27"/>
      <c r="V826" s="27"/>
      <c r="W826" s="27"/>
    </row>
    <row r="827" spans="1:23">
      <c r="A827" s="358"/>
      <c r="B827" s="359"/>
      <c r="C827" s="360"/>
      <c r="D827" s="27"/>
      <c r="E827" s="27"/>
      <c r="F827" s="27"/>
      <c r="G827" s="27"/>
      <c r="H827" s="27"/>
      <c r="I827" s="27"/>
      <c r="J827" s="27"/>
      <c r="K827" s="27"/>
      <c r="L827" s="27"/>
      <c r="M827" s="27"/>
      <c r="N827" s="27"/>
      <c r="O827" s="27"/>
      <c r="P827" s="27"/>
      <c r="Q827" s="27"/>
      <c r="R827" s="27"/>
      <c r="S827" s="27"/>
      <c r="T827" s="27"/>
      <c r="U827" s="27"/>
      <c r="V827" s="27"/>
      <c r="W827" s="27"/>
    </row>
    <row r="828" spans="1:23">
      <c r="A828" s="358"/>
      <c r="B828" s="359"/>
      <c r="C828" s="360"/>
      <c r="D828" s="27"/>
      <c r="E828" s="27"/>
      <c r="F828" s="27"/>
      <c r="G828" s="27"/>
      <c r="H828" s="27"/>
      <c r="I828" s="27"/>
      <c r="J828" s="27"/>
      <c r="K828" s="27"/>
      <c r="L828" s="27"/>
      <c r="M828" s="27"/>
      <c r="N828" s="27"/>
      <c r="O828" s="27"/>
      <c r="P828" s="27"/>
      <c r="Q828" s="27"/>
      <c r="R828" s="27"/>
      <c r="S828" s="27"/>
      <c r="T828" s="27"/>
      <c r="U828" s="27"/>
      <c r="V828" s="27"/>
      <c r="W828" s="27"/>
    </row>
    <row r="829" spans="1:23">
      <c r="A829" s="358"/>
      <c r="B829" s="359"/>
      <c r="C829" s="360"/>
      <c r="D829" s="27"/>
      <c r="E829" s="27"/>
      <c r="F829" s="27"/>
      <c r="G829" s="27"/>
      <c r="H829" s="27"/>
      <c r="I829" s="27"/>
      <c r="J829" s="27"/>
      <c r="K829" s="27"/>
      <c r="L829" s="27"/>
      <c r="M829" s="27"/>
      <c r="N829" s="27"/>
      <c r="O829" s="27"/>
      <c r="P829" s="27"/>
      <c r="Q829" s="27"/>
      <c r="R829" s="27"/>
      <c r="S829" s="27"/>
      <c r="T829" s="27"/>
      <c r="U829" s="27"/>
      <c r="V829" s="27"/>
      <c r="W829" s="27"/>
    </row>
    <row r="830" spans="1:23">
      <c r="A830" s="358"/>
      <c r="B830" s="359"/>
      <c r="C830" s="360"/>
      <c r="D830" s="27"/>
      <c r="E830" s="27"/>
      <c r="F830" s="27"/>
      <c r="G830" s="27"/>
      <c r="H830" s="27"/>
      <c r="I830" s="27"/>
      <c r="J830" s="27"/>
      <c r="K830" s="27"/>
      <c r="L830" s="27"/>
      <c r="M830" s="27"/>
      <c r="N830" s="27"/>
      <c r="O830" s="27"/>
      <c r="P830" s="27"/>
      <c r="Q830" s="27"/>
      <c r="R830" s="27"/>
      <c r="S830" s="27"/>
      <c r="T830" s="27"/>
      <c r="U830" s="27"/>
      <c r="V830" s="27"/>
      <c r="W830" s="27"/>
    </row>
    <row r="831" spans="1:23">
      <c r="A831" s="358"/>
      <c r="B831" s="359"/>
      <c r="C831" s="360"/>
      <c r="D831" s="27"/>
      <c r="E831" s="27"/>
      <c r="F831" s="27"/>
      <c r="G831" s="27"/>
      <c r="H831" s="27"/>
      <c r="I831" s="27"/>
      <c r="J831" s="27"/>
      <c r="K831" s="27"/>
      <c r="L831" s="27"/>
      <c r="M831" s="27"/>
      <c r="N831" s="27"/>
      <c r="O831" s="27"/>
      <c r="P831" s="27"/>
      <c r="Q831" s="27"/>
      <c r="R831" s="27"/>
      <c r="S831" s="27"/>
      <c r="T831" s="27"/>
      <c r="U831" s="27"/>
      <c r="V831" s="27"/>
      <c r="W831" s="27"/>
    </row>
    <row r="832" spans="1:23">
      <c r="A832" s="358"/>
      <c r="B832" s="359"/>
      <c r="C832" s="360"/>
      <c r="D832" s="27"/>
      <c r="E832" s="27"/>
      <c r="F832" s="27"/>
      <c r="G832" s="27"/>
      <c r="H832" s="27"/>
      <c r="I832" s="27"/>
      <c r="J832" s="27"/>
      <c r="K832" s="27"/>
      <c r="L832" s="27"/>
      <c r="M832" s="27"/>
      <c r="N832" s="27"/>
      <c r="O832" s="27"/>
      <c r="P832" s="27"/>
      <c r="Q832" s="27"/>
      <c r="R832" s="27"/>
      <c r="S832" s="27"/>
      <c r="T832" s="27"/>
      <c r="U832" s="27"/>
      <c r="V832" s="27"/>
      <c r="W832" s="27"/>
    </row>
    <row r="833" spans="1:23">
      <c r="A833" s="358"/>
      <c r="B833" s="359"/>
      <c r="C833" s="360"/>
      <c r="D833" s="27"/>
      <c r="E833" s="27"/>
      <c r="F833" s="27"/>
      <c r="G833" s="27"/>
      <c r="H833" s="27"/>
      <c r="I833" s="27"/>
      <c r="J833" s="27"/>
      <c r="K833" s="27"/>
      <c r="L833" s="27"/>
      <c r="M833" s="27"/>
      <c r="N833" s="27"/>
      <c r="O833" s="27"/>
      <c r="P833" s="27"/>
      <c r="Q833" s="27"/>
      <c r="R833" s="27"/>
      <c r="S833" s="27"/>
      <c r="T833" s="27"/>
      <c r="U833" s="27"/>
      <c r="V833" s="27"/>
      <c r="W833" s="27"/>
    </row>
    <row r="834" spans="1:23">
      <c r="A834" s="358"/>
      <c r="B834" s="359"/>
      <c r="C834" s="360"/>
      <c r="D834" s="27"/>
      <c r="E834" s="27"/>
      <c r="F834" s="27"/>
      <c r="G834" s="27"/>
      <c r="H834" s="27"/>
      <c r="I834" s="27"/>
      <c r="J834" s="27"/>
      <c r="K834" s="27"/>
      <c r="L834" s="27"/>
      <c r="M834" s="27"/>
      <c r="N834" s="27"/>
      <c r="O834" s="27"/>
      <c r="P834" s="27"/>
      <c r="Q834" s="27"/>
      <c r="R834" s="27"/>
      <c r="S834" s="27"/>
      <c r="T834" s="27"/>
      <c r="U834" s="27"/>
      <c r="V834" s="27"/>
      <c r="W834" s="27"/>
    </row>
    <row r="835" spans="1:23">
      <c r="A835" s="358"/>
      <c r="B835" s="359"/>
      <c r="C835" s="360"/>
      <c r="D835" s="27"/>
      <c r="E835" s="27"/>
      <c r="F835" s="27"/>
      <c r="G835" s="27"/>
      <c r="H835" s="27"/>
      <c r="I835" s="27"/>
      <c r="J835" s="27"/>
      <c r="K835" s="27"/>
      <c r="L835" s="27"/>
      <c r="M835" s="27"/>
      <c r="N835" s="27"/>
      <c r="O835" s="27"/>
      <c r="P835" s="27"/>
      <c r="Q835" s="27"/>
      <c r="R835" s="27"/>
      <c r="S835" s="27"/>
      <c r="T835" s="27"/>
      <c r="U835" s="27"/>
      <c r="V835" s="27"/>
      <c r="W835" s="27"/>
    </row>
    <row r="836" spans="1:23">
      <c r="A836" s="358"/>
      <c r="B836" s="359"/>
      <c r="C836" s="360"/>
      <c r="D836" s="27"/>
      <c r="E836" s="27"/>
      <c r="F836" s="27"/>
      <c r="G836" s="27"/>
      <c r="H836" s="27"/>
      <c r="I836" s="27"/>
      <c r="J836" s="27"/>
      <c r="K836" s="27"/>
      <c r="L836" s="27"/>
      <c r="M836" s="27"/>
      <c r="N836" s="27"/>
      <c r="O836" s="27"/>
      <c r="P836" s="27"/>
      <c r="Q836" s="27"/>
      <c r="R836" s="27"/>
      <c r="S836" s="27"/>
      <c r="T836" s="27"/>
      <c r="U836" s="27"/>
      <c r="V836" s="27"/>
      <c r="W836" s="27"/>
    </row>
    <row r="837" spans="1:23">
      <c r="A837" s="358"/>
      <c r="B837" s="359"/>
      <c r="C837" s="360"/>
      <c r="D837" s="27"/>
      <c r="E837" s="27"/>
      <c r="F837" s="27"/>
      <c r="G837" s="27"/>
      <c r="H837" s="27"/>
      <c r="I837" s="27"/>
      <c r="J837" s="27"/>
      <c r="K837" s="27"/>
      <c r="L837" s="27"/>
      <c r="M837" s="27"/>
      <c r="N837" s="27"/>
      <c r="O837" s="27"/>
      <c r="P837" s="27"/>
      <c r="Q837" s="27"/>
      <c r="R837" s="27"/>
      <c r="S837" s="27"/>
      <c r="T837" s="27"/>
      <c r="U837" s="27"/>
      <c r="V837" s="27"/>
      <c r="W837" s="27"/>
    </row>
    <row r="838" spans="1:23">
      <c r="A838" s="358"/>
      <c r="B838" s="359"/>
      <c r="C838" s="360"/>
      <c r="D838" s="27"/>
      <c r="E838" s="27"/>
      <c r="F838" s="27"/>
      <c r="G838" s="27"/>
      <c r="H838" s="27"/>
      <c r="I838" s="27"/>
      <c r="J838" s="27"/>
      <c r="K838" s="27"/>
      <c r="L838" s="27"/>
      <c r="M838" s="27"/>
      <c r="N838" s="27"/>
      <c r="O838" s="27"/>
      <c r="P838" s="27"/>
      <c r="Q838" s="27"/>
      <c r="R838" s="27"/>
      <c r="S838" s="27"/>
      <c r="T838" s="27"/>
      <c r="U838" s="27"/>
      <c r="V838" s="27"/>
      <c r="W838" s="27"/>
    </row>
    <row r="839" spans="1:23">
      <c r="A839" s="358"/>
      <c r="B839" s="359"/>
      <c r="C839" s="360"/>
      <c r="D839" s="27"/>
      <c r="E839" s="27"/>
      <c r="F839" s="27"/>
      <c r="G839" s="27"/>
      <c r="H839" s="27"/>
      <c r="I839" s="27"/>
      <c r="J839" s="27"/>
      <c r="K839" s="27"/>
      <c r="L839" s="27"/>
      <c r="M839" s="27"/>
      <c r="N839" s="27"/>
      <c r="O839" s="27"/>
      <c r="P839" s="27"/>
      <c r="Q839" s="27"/>
      <c r="R839" s="27"/>
      <c r="S839" s="27"/>
      <c r="T839" s="27"/>
      <c r="U839" s="27"/>
      <c r="V839" s="27"/>
      <c r="W839" s="27"/>
    </row>
    <row r="840" spans="1:23">
      <c r="A840" s="358"/>
      <c r="B840" s="359"/>
      <c r="C840" s="360"/>
      <c r="D840" s="27"/>
      <c r="E840" s="27"/>
      <c r="F840" s="27"/>
      <c r="G840" s="27"/>
      <c r="H840" s="27"/>
      <c r="I840" s="27"/>
      <c r="J840" s="27"/>
      <c r="K840" s="27"/>
      <c r="L840" s="27"/>
      <c r="M840" s="27"/>
      <c r="N840" s="27"/>
      <c r="O840" s="27"/>
      <c r="P840" s="27"/>
      <c r="Q840" s="27"/>
      <c r="R840" s="27"/>
      <c r="S840" s="27"/>
      <c r="T840" s="27"/>
      <c r="U840" s="27"/>
      <c r="V840" s="27"/>
      <c r="W840" s="27"/>
    </row>
    <row r="841" spans="1:23">
      <c r="A841" s="358"/>
      <c r="B841" s="359"/>
      <c r="C841" s="360"/>
      <c r="D841" s="27"/>
      <c r="E841" s="27"/>
      <c r="F841" s="27"/>
      <c r="G841" s="27"/>
      <c r="H841" s="27"/>
      <c r="I841" s="27"/>
      <c r="J841" s="27"/>
      <c r="K841" s="27"/>
      <c r="L841" s="27"/>
      <c r="M841" s="27"/>
      <c r="N841" s="27"/>
      <c r="O841" s="27"/>
      <c r="P841" s="27"/>
      <c r="Q841" s="27"/>
      <c r="R841" s="27"/>
      <c r="S841" s="27"/>
      <c r="T841" s="27"/>
      <c r="U841" s="27"/>
      <c r="V841" s="27"/>
      <c r="W841" s="27"/>
    </row>
    <row r="842" spans="1:23">
      <c r="A842" s="358"/>
      <c r="B842" s="359"/>
      <c r="C842" s="360"/>
      <c r="D842" s="27"/>
      <c r="E842" s="27"/>
      <c r="F842" s="27"/>
      <c r="G842" s="27"/>
      <c r="H842" s="27"/>
      <c r="I842" s="27"/>
      <c r="J842" s="27"/>
      <c r="K842" s="27"/>
      <c r="L842" s="27"/>
      <c r="M842" s="27"/>
      <c r="N842" s="27"/>
      <c r="O842" s="27"/>
      <c r="P842" s="27"/>
      <c r="Q842" s="27"/>
      <c r="R842" s="27"/>
      <c r="S842" s="27"/>
      <c r="T842" s="27"/>
      <c r="U842" s="27"/>
      <c r="V842" s="27"/>
      <c r="W842" s="27"/>
    </row>
    <row r="843" spans="1:23">
      <c r="A843" s="358"/>
      <c r="B843" s="359"/>
      <c r="C843" s="360"/>
      <c r="D843" s="27"/>
      <c r="E843" s="27"/>
      <c r="F843" s="27"/>
      <c r="G843" s="27"/>
      <c r="H843" s="27"/>
      <c r="I843" s="27"/>
      <c r="J843" s="27"/>
      <c r="K843" s="27"/>
      <c r="L843" s="27"/>
      <c r="M843" s="27"/>
      <c r="N843" s="27"/>
      <c r="O843" s="27"/>
      <c r="P843" s="27"/>
      <c r="Q843" s="27"/>
      <c r="R843" s="27"/>
      <c r="S843" s="27"/>
      <c r="T843" s="27"/>
      <c r="U843" s="27"/>
      <c r="V843" s="27"/>
      <c r="W843" s="27"/>
    </row>
    <row r="844" spans="1:23">
      <c r="A844" s="358"/>
      <c r="B844" s="359"/>
      <c r="C844" s="360"/>
      <c r="D844" s="27"/>
      <c r="E844" s="27"/>
      <c r="F844" s="27"/>
      <c r="G844" s="27"/>
      <c r="H844" s="27"/>
      <c r="I844" s="27"/>
      <c r="J844" s="27"/>
      <c r="K844" s="27"/>
      <c r="L844" s="27"/>
      <c r="M844" s="27"/>
      <c r="N844" s="27"/>
      <c r="O844" s="27"/>
      <c r="P844" s="27"/>
      <c r="Q844" s="27"/>
      <c r="R844" s="27"/>
      <c r="S844" s="27"/>
      <c r="T844" s="27"/>
      <c r="U844" s="27"/>
      <c r="V844" s="27"/>
      <c r="W844" s="27"/>
    </row>
    <row r="845" spans="1:23">
      <c r="A845" s="358"/>
      <c r="B845" s="359"/>
      <c r="C845" s="360"/>
      <c r="D845" s="27"/>
      <c r="E845" s="27"/>
      <c r="F845" s="27"/>
      <c r="G845" s="27"/>
      <c r="H845" s="27"/>
      <c r="I845" s="27"/>
      <c r="J845" s="27"/>
      <c r="K845" s="27"/>
      <c r="L845" s="27"/>
      <c r="M845" s="27"/>
      <c r="N845" s="27"/>
      <c r="O845" s="27"/>
      <c r="P845" s="27"/>
      <c r="Q845" s="27"/>
      <c r="R845" s="27"/>
      <c r="S845" s="27"/>
      <c r="T845" s="27"/>
      <c r="U845" s="27"/>
      <c r="V845" s="27"/>
      <c r="W845" s="27"/>
    </row>
    <row r="846" spans="1:23">
      <c r="A846" s="358"/>
      <c r="B846" s="359"/>
      <c r="C846" s="360"/>
      <c r="D846" s="27"/>
      <c r="E846" s="27"/>
      <c r="F846" s="27"/>
      <c r="G846" s="27"/>
      <c r="H846" s="27"/>
      <c r="I846" s="27"/>
      <c r="J846" s="27"/>
      <c r="K846" s="27"/>
      <c r="L846" s="27"/>
      <c r="M846" s="27"/>
      <c r="N846" s="27"/>
      <c r="O846" s="27"/>
      <c r="P846" s="27"/>
      <c r="Q846" s="27"/>
      <c r="R846" s="27"/>
      <c r="S846" s="27"/>
      <c r="T846" s="27"/>
      <c r="U846" s="27"/>
      <c r="V846" s="27"/>
      <c r="W846" s="27"/>
    </row>
    <row r="847" spans="1:23">
      <c r="A847" s="358"/>
      <c r="B847" s="359"/>
      <c r="C847" s="360"/>
      <c r="D847" s="27"/>
      <c r="E847" s="27"/>
      <c r="F847" s="27"/>
      <c r="G847" s="27"/>
      <c r="H847" s="27"/>
      <c r="I847" s="27"/>
      <c r="J847" s="27"/>
      <c r="K847" s="27"/>
      <c r="L847" s="27"/>
      <c r="M847" s="27"/>
      <c r="N847" s="27"/>
      <c r="O847" s="27"/>
      <c r="P847" s="27"/>
      <c r="Q847" s="27"/>
      <c r="R847" s="27"/>
      <c r="S847" s="27"/>
      <c r="T847" s="27"/>
      <c r="U847" s="27"/>
      <c r="V847" s="27"/>
      <c r="W847" s="27"/>
    </row>
    <row r="848" spans="1:23">
      <c r="A848" s="358"/>
      <c r="B848" s="359"/>
      <c r="C848" s="360"/>
      <c r="D848" s="27"/>
      <c r="E848" s="27"/>
      <c r="F848" s="27"/>
      <c r="G848" s="27"/>
      <c r="H848" s="27"/>
      <c r="I848" s="27"/>
      <c r="J848" s="27"/>
      <c r="K848" s="27"/>
      <c r="L848" s="27"/>
      <c r="M848" s="27"/>
      <c r="N848" s="27"/>
      <c r="O848" s="27"/>
      <c r="P848" s="27"/>
      <c r="Q848" s="27"/>
      <c r="R848" s="27"/>
      <c r="S848" s="27"/>
      <c r="T848" s="27"/>
      <c r="U848" s="27"/>
      <c r="V848" s="27"/>
      <c r="W848" s="27"/>
    </row>
    <row r="849" spans="1:23">
      <c r="A849" s="358"/>
      <c r="B849" s="359"/>
      <c r="C849" s="360"/>
      <c r="D849" s="27"/>
      <c r="E849" s="27"/>
      <c r="F849" s="27"/>
      <c r="G849" s="27"/>
      <c r="H849" s="27"/>
      <c r="I849" s="27"/>
      <c r="J849" s="27"/>
      <c r="K849" s="27"/>
      <c r="L849" s="27"/>
      <c r="M849" s="27"/>
      <c r="N849" s="27"/>
      <c r="O849" s="27"/>
      <c r="P849" s="27"/>
      <c r="Q849" s="27"/>
      <c r="R849" s="27"/>
      <c r="S849" s="27"/>
      <c r="T849" s="27"/>
      <c r="U849" s="27"/>
      <c r="V849" s="27"/>
      <c r="W849" s="27"/>
    </row>
    <row r="850" spans="1:23">
      <c r="A850" s="358"/>
      <c r="B850" s="359"/>
      <c r="C850" s="360"/>
      <c r="D850" s="27"/>
      <c r="E850" s="27"/>
      <c r="F850" s="27"/>
      <c r="G850" s="27"/>
      <c r="H850" s="27"/>
      <c r="I850" s="27"/>
      <c r="J850" s="27"/>
      <c r="K850" s="27"/>
      <c r="L850" s="27"/>
      <c r="M850" s="27"/>
      <c r="N850" s="27"/>
      <c r="O850" s="27"/>
      <c r="P850" s="27"/>
      <c r="Q850" s="27"/>
      <c r="R850" s="27"/>
      <c r="S850" s="27"/>
      <c r="T850" s="27"/>
      <c r="U850" s="27"/>
      <c r="V850" s="27"/>
      <c r="W850" s="27"/>
    </row>
    <row r="851" spans="1:23">
      <c r="A851" s="358"/>
      <c r="B851" s="359"/>
      <c r="C851" s="360"/>
      <c r="D851" s="27"/>
      <c r="E851" s="27"/>
      <c r="F851" s="27"/>
      <c r="G851" s="27"/>
      <c r="H851" s="27"/>
      <c r="I851" s="27"/>
      <c r="J851" s="27"/>
      <c r="K851" s="27"/>
      <c r="L851" s="27"/>
      <c r="M851" s="27"/>
      <c r="N851" s="27"/>
      <c r="O851" s="27"/>
      <c r="P851" s="27"/>
      <c r="Q851" s="27"/>
      <c r="R851" s="27"/>
      <c r="S851" s="27"/>
      <c r="T851" s="27"/>
      <c r="U851" s="27"/>
      <c r="V851" s="27"/>
      <c r="W851" s="27"/>
    </row>
    <row r="852" spans="1:23">
      <c r="A852" s="358"/>
      <c r="B852" s="359"/>
      <c r="C852" s="360"/>
      <c r="D852" s="27"/>
      <c r="E852" s="27"/>
      <c r="F852" s="27"/>
      <c r="G852" s="27"/>
      <c r="H852" s="27"/>
      <c r="I852" s="27"/>
      <c r="J852" s="27"/>
      <c r="K852" s="27"/>
      <c r="L852" s="27"/>
      <c r="M852" s="27"/>
      <c r="N852" s="27"/>
      <c r="O852" s="27"/>
      <c r="P852" s="27"/>
      <c r="Q852" s="27"/>
      <c r="R852" s="27"/>
      <c r="S852" s="27"/>
      <c r="T852" s="27"/>
      <c r="U852" s="27"/>
      <c r="V852" s="27"/>
      <c r="W852" s="27"/>
    </row>
    <row r="853" spans="1:23">
      <c r="A853" s="358"/>
      <c r="B853" s="359"/>
      <c r="C853" s="360"/>
      <c r="D853" s="27"/>
      <c r="E853" s="27"/>
      <c r="F853" s="27"/>
      <c r="G853" s="27"/>
      <c r="H853" s="27"/>
      <c r="I853" s="27"/>
      <c r="J853" s="27"/>
      <c r="K853" s="27"/>
      <c r="L853" s="27"/>
      <c r="M853" s="27"/>
      <c r="N853" s="27"/>
      <c r="O853" s="27"/>
      <c r="P853" s="27"/>
      <c r="Q853" s="27"/>
      <c r="R853" s="27"/>
      <c r="S853" s="27"/>
      <c r="T853" s="27"/>
      <c r="U853" s="27"/>
      <c r="V853" s="27"/>
      <c r="W853" s="27"/>
    </row>
    <row r="854" spans="1:23">
      <c r="A854" s="358"/>
      <c r="B854" s="359"/>
      <c r="C854" s="360"/>
      <c r="D854" s="27"/>
      <c r="E854" s="27"/>
      <c r="F854" s="27"/>
      <c r="G854" s="27"/>
      <c r="H854" s="27"/>
      <c r="I854" s="27"/>
      <c r="J854" s="27"/>
      <c r="K854" s="27"/>
      <c r="L854" s="27"/>
      <c r="M854" s="27"/>
      <c r="N854" s="27"/>
      <c r="O854" s="27"/>
      <c r="P854" s="27"/>
      <c r="Q854" s="27"/>
      <c r="R854" s="27"/>
      <c r="S854" s="27"/>
      <c r="T854" s="27"/>
      <c r="U854" s="27"/>
      <c r="V854" s="27"/>
      <c r="W854" s="27"/>
    </row>
    <row r="855" spans="1:23">
      <c r="A855" s="358"/>
      <c r="B855" s="359"/>
      <c r="C855" s="360"/>
      <c r="D855" s="27"/>
      <c r="E855" s="27"/>
      <c r="F855" s="27"/>
      <c r="G855" s="27"/>
      <c r="H855" s="27"/>
      <c r="I855" s="27"/>
      <c r="J855" s="27"/>
      <c r="K855" s="27"/>
      <c r="L855" s="27"/>
      <c r="M855" s="27"/>
      <c r="N855" s="27"/>
      <c r="O855" s="27"/>
      <c r="P855" s="27"/>
      <c r="Q855" s="27"/>
      <c r="R855" s="27"/>
      <c r="S855" s="27"/>
      <c r="T855" s="27"/>
      <c r="U855" s="27"/>
      <c r="V855" s="27"/>
      <c r="W855" s="27"/>
    </row>
    <row r="856" spans="1:23">
      <c r="A856" s="358"/>
      <c r="B856" s="359"/>
      <c r="C856" s="360"/>
      <c r="D856" s="27"/>
      <c r="E856" s="27"/>
      <c r="F856" s="27"/>
      <c r="G856" s="27"/>
      <c r="H856" s="27"/>
      <c r="I856" s="27"/>
      <c r="J856" s="27"/>
      <c r="K856" s="27"/>
      <c r="L856" s="27"/>
      <c r="M856" s="27"/>
      <c r="N856" s="27"/>
      <c r="O856" s="27"/>
      <c r="P856" s="27"/>
      <c r="Q856" s="27"/>
      <c r="R856" s="27"/>
      <c r="S856" s="27"/>
      <c r="T856" s="27"/>
      <c r="U856" s="27"/>
      <c r="V856" s="27"/>
      <c r="W856" s="27"/>
    </row>
    <row r="857" spans="1:23">
      <c r="A857" s="358"/>
      <c r="B857" s="359"/>
      <c r="C857" s="360"/>
      <c r="D857" s="27"/>
      <c r="E857" s="27"/>
      <c r="F857" s="27"/>
      <c r="G857" s="27"/>
      <c r="H857" s="27"/>
      <c r="I857" s="27"/>
      <c r="J857" s="27"/>
      <c r="K857" s="27"/>
      <c r="L857" s="27"/>
      <c r="M857" s="27"/>
      <c r="N857" s="27"/>
      <c r="O857" s="27"/>
      <c r="P857" s="27"/>
      <c r="Q857" s="27"/>
      <c r="R857" s="27"/>
      <c r="S857" s="27"/>
      <c r="T857" s="27"/>
      <c r="U857" s="27"/>
      <c r="V857" s="27"/>
      <c r="W857" s="27"/>
    </row>
    <row r="858" spans="1:23">
      <c r="A858" s="358"/>
      <c r="B858" s="359"/>
      <c r="C858" s="360"/>
      <c r="D858" s="27"/>
      <c r="E858" s="27"/>
      <c r="F858" s="27"/>
      <c r="G858" s="27"/>
      <c r="H858" s="27"/>
      <c r="I858" s="27"/>
      <c r="J858" s="27"/>
      <c r="K858" s="27"/>
      <c r="L858" s="27"/>
      <c r="M858" s="27"/>
      <c r="N858" s="27"/>
      <c r="O858" s="27"/>
      <c r="P858" s="27"/>
      <c r="Q858" s="27"/>
      <c r="R858" s="27"/>
      <c r="S858" s="27"/>
      <c r="T858" s="27"/>
      <c r="U858" s="27"/>
      <c r="V858" s="27"/>
      <c r="W858" s="27"/>
    </row>
    <row r="859" spans="1:23">
      <c r="A859" s="358"/>
      <c r="B859" s="359"/>
      <c r="C859" s="360"/>
      <c r="D859" s="27"/>
      <c r="E859" s="27"/>
      <c r="F859" s="27"/>
      <c r="G859" s="27"/>
      <c r="H859" s="27"/>
      <c r="I859" s="27"/>
      <c r="J859" s="27"/>
      <c r="K859" s="27"/>
      <c r="L859" s="27"/>
      <c r="M859" s="27"/>
      <c r="N859" s="27"/>
      <c r="O859" s="27"/>
      <c r="P859" s="27"/>
      <c r="Q859" s="27"/>
      <c r="R859" s="27"/>
      <c r="S859" s="27"/>
      <c r="T859" s="27"/>
      <c r="U859" s="27"/>
      <c r="V859" s="27"/>
      <c r="W859" s="27"/>
    </row>
    <row r="860" spans="1:23">
      <c r="A860" s="358"/>
      <c r="B860" s="359"/>
      <c r="C860" s="360"/>
      <c r="D860" s="27"/>
      <c r="E860" s="27"/>
      <c r="F860" s="27"/>
      <c r="G860" s="27"/>
      <c r="H860" s="27"/>
      <c r="I860" s="27"/>
      <c r="J860" s="27"/>
      <c r="K860" s="27"/>
      <c r="L860" s="27"/>
      <c r="M860" s="27"/>
      <c r="N860" s="27"/>
      <c r="O860" s="27"/>
      <c r="P860" s="27"/>
      <c r="Q860" s="27"/>
      <c r="R860" s="27"/>
      <c r="S860" s="27"/>
      <c r="T860" s="27"/>
      <c r="U860" s="27"/>
      <c r="V860" s="27"/>
      <c r="W860" s="27"/>
    </row>
    <row r="861" spans="1:23">
      <c r="A861" s="358"/>
      <c r="B861" s="359"/>
      <c r="C861" s="360"/>
      <c r="D861" s="27"/>
      <c r="E861" s="27"/>
      <c r="F861" s="27"/>
      <c r="G861" s="27"/>
      <c r="H861" s="27"/>
      <c r="I861" s="27"/>
      <c r="J861" s="27"/>
      <c r="K861" s="27"/>
      <c r="L861" s="27"/>
      <c r="M861" s="27"/>
      <c r="N861" s="27"/>
      <c r="O861" s="27"/>
      <c r="P861" s="27"/>
      <c r="Q861" s="27"/>
      <c r="R861" s="27"/>
      <c r="S861" s="27"/>
      <c r="T861" s="27"/>
      <c r="U861" s="27"/>
      <c r="V861" s="27"/>
      <c r="W861" s="27"/>
    </row>
    <row r="862" spans="1:23">
      <c r="A862" s="358"/>
      <c r="B862" s="359"/>
      <c r="C862" s="360"/>
      <c r="D862" s="27"/>
      <c r="E862" s="27"/>
      <c r="F862" s="27"/>
      <c r="G862" s="27"/>
      <c r="H862" s="27"/>
      <c r="I862" s="27"/>
      <c r="J862" s="27"/>
      <c r="K862" s="27"/>
      <c r="L862" s="27"/>
      <c r="M862" s="27"/>
      <c r="N862" s="27"/>
      <c r="O862" s="27"/>
      <c r="P862" s="27"/>
      <c r="Q862" s="27"/>
      <c r="R862" s="27"/>
      <c r="S862" s="27"/>
      <c r="T862" s="27"/>
      <c r="U862" s="27"/>
      <c r="V862" s="27"/>
      <c r="W862" s="27"/>
    </row>
    <row r="863" spans="1:23">
      <c r="A863" s="358"/>
      <c r="B863" s="359"/>
      <c r="C863" s="360"/>
      <c r="D863" s="27"/>
      <c r="E863" s="27"/>
      <c r="F863" s="27"/>
      <c r="G863" s="27"/>
      <c r="H863" s="27"/>
      <c r="I863" s="27"/>
      <c r="J863" s="27"/>
      <c r="K863" s="27"/>
      <c r="L863" s="27"/>
      <c r="M863" s="27"/>
      <c r="N863" s="27"/>
      <c r="O863" s="27"/>
      <c r="P863" s="27"/>
      <c r="Q863" s="27"/>
      <c r="R863" s="27"/>
      <c r="S863" s="27"/>
      <c r="T863" s="27"/>
      <c r="U863" s="27"/>
      <c r="V863" s="27"/>
      <c r="W863" s="27"/>
    </row>
    <row r="864" spans="1:23">
      <c r="A864" s="358"/>
      <c r="B864" s="359"/>
      <c r="C864" s="360"/>
      <c r="D864" s="27"/>
      <c r="E864" s="27"/>
      <c r="F864" s="27"/>
      <c r="G864" s="27"/>
      <c r="H864" s="27"/>
      <c r="I864" s="27"/>
      <c r="J864" s="27"/>
      <c r="K864" s="27"/>
      <c r="L864" s="27"/>
      <c r="M864" s="27"/>
      <c r="N864" s="27"/>
      <c r="O864" s="27"/>
      <c r="P864" s="27"/>
      <c r="Q864" s="27"/>
      <c r="R864" s="27"/>
      <c r="S864" s="27"/>
      <c r="T864" s="27"/>
      <c r="U864" s="27"/>
      <c r="V864" s="27"/>
      <c r="W864" s="27"/>
    </row>
    <row r="865" spans="1:23">
      <c r="A865" s="358"/>
      <c r="B865" s="359"/>
      <c r="C865" s="360"/>
      <c r="D865" s="27"/>
      <c r="E865" s="27"/>
      <c r="F865" s="27"/>
      <c r="G865" s="27"/>
      <c r="H865" s="27"/>
      <c r="I865" s="27"/>
      <c r="J865" s="27"/>
      <c r="K865" s="27"/>
      <c r="L865" s="27"/>
      <c r="M865" s="27"/>
      <c r="N865" s="27"/>
      <c r="O865" s="27"/>
      <c r="P865" s="27"/>
      <c r="Q865" s="27"/>
      <c r="R865" s="27"/>
      <c r="S865" s="27"/>
      <c r="T865" s="27"/>
      <c r="U865" s="27"/>
      <c r="V865" s="27"/>
      <c r="W865" s="27"/>
    </row>
    <row r="866" spans="1:23">
      <c r="A866" s="358"/>
      <c r="B866" s="359"/>
      <c r="C866" s="360"/>
      <c r="D866" s="27"/>
      <c r="E866" s="27"/>
      <c r="F866" s="27"/>
      <c r="G866" s="27"/>
      <c r="H866" s="27"/>
      <c r="I866" s="27"/>
      <c r="J866" s="27"/>
      <c r="K866" s="27"/>
      <c r="L866" s="27"/>
      <c r="M866" s="27"/>
      <c r="N866" s="27"/>
      <c r="O866" s="27"/>
      <c r="P866" s="27"/>
      <c r="Q866" s="27"/>
      <c r="R866" s="27"/>
      <c r="S866" s="27"/>
      <c r="T866" s="27"/>
      <c r="U866" s="27"/>
      <c r="V866" s="27"/>
      <c r="W866" s="27"/>
    </row>
    <row r="867" spans="1:23">
      <c r="A867" s="358"/>
      <c r="B867" s="359"/>
      <c r="C867" s="360"/>
      <c r="D867" s="27"/>
      <c r="E867" s="27"/>
      <c r="F867" s="27"/>
      <c r="G867" s="27"/>
      <c r="H867" s="27"/>
      <c r="I867" s="27"/>
      <c r="J867" s="27"/>
      <c r="K867" s="27"/>
      <c r="L867" s="27"/>
      <c r="M867" s="27"/>
      <c r="N867" s="27"/>
      <c r="O867" s="27"/>
      <c r="P867" s="27"/>
      <c r="Q867" s="27"/>
      <c r="R867" s="27"/>
      <c r="S867" s="27"/>
      <c r="T867" s="27"/>
      <c r="U867" s="27"/>
      <c r="V867" s="27"/>
      <c r="W867" s="27"/>
    </row>
    <row r="868" spans="1:23">
      <c r="A868" s="358"/>
      <c r="B868" s="359"/>
      <c r="C868" s="360"/>
      <c r="D868" s="27"/>
      <c r="E868" s="27"/>
      <c r="F868" s="27"/>
      <c r="G868" s="27"/>
      <c r="H868" s="27"/>
      <c r="I868" s="27"/>
      <c r="J868" s="27"/>
      <c r="K868" s="27"/>
      <c r="L868" s="27"/>
      <c r="M868" s="27"/>
      <c r="N868" s="27"/>
      <c r="O868" s="27"/>
      <c r="P868" s="27"/>
      <c r="Q868" s="27"/>
      <c r="R868" s="27"/>
      <c r="S868" s="27"/>
      <c r="T868" s="27"/>
      <c r="U868" s="27"/>
      <c r="V868" s="27"/>
      <c r="W868" s="27"/>
    </row>
    <row r="869" spans="1:23">
      <c r="A869" s="358"/>
      <c r="B869" s="359"/>
      <c r="C869" s="360"/>
      <c r="D869" s="27"/>
      <c r="E869" s="27"/>
      <c r="F869" s="27"/>
      <c r="G869" s="27"/>
      <c r="H869" s="27"/>
      <c r="I869" s="27"/>
      <c r="J869" s="27"/>
      <c r="K869" s="27"/>
      <c r="L869" s="27"/>
      <c r="M869" s="27"/>
      <c r="N869" s="27"/>
      <c r="O869" s="27"/>
      <c r="P869" s="27"/>
      <c r="Q869" s="27"/>
      <c r="R869" s="27"/>
      <c r="S869" s="27"/>
      <c r="T869" s="27"/>
      <c r="U869" s="27"/>
      <c r="V869" s="27"/>
      <c r="W869" s="27"/>
    </row>
    <row r="870" spans="1:23">
      <c r="A870" s="358"/>
      <c r="B870" s="359"/>
      <c r="C870" s="360"/>
      <c r="D870" s="27"/>
      <c r="E870" s="27"/>
      <c r="F870" s="27"/>
      <c r="G870" s="27"/>
      <c r="H870" s="27"/>
      <c r="I870" s="27"/>
      <c r="J870" s="27"/>
      <c r="K870" s="27"/>
      <c r="L870" s="27"/>
      <c r="M870" s="27"/>
      <c r="N870" s="27"/>
      <c r="O870" s="27"/>
      <c r="P870" s="27"/>
      <c r="Q870" s="27"/>
      <c r="R870" s="27"/>
      <c r="S870" s="27"/>
      <c r="T870" s="27"/>
      <c r="U870" s="27"/>
      <c r="V870" s="27"/>
      <c r="W870" s="27"/>
    </row>
    <row r="871" spans="1:23">
      <c r="A871" s="358"/>
      <c r="B871" s="359"/>
      <c r="C871" s="360"/>
      <c r="D871" s="27"/>
      <c r="E871" s="27"/>
      <c r="F871" s="27"/>
      <c r="G871" s="27"/>
      <c r="H871" s="27"/>
      <c r="I871" s="27"/>
      <c r="J871" s="27"/>
      <c r="K871" s="27"/>
      <c r="L871" s="27"/>
      <c r="M871" s="27"/>
      <c r="N871" s="27"/>
      <c r="O871" s="27"/>
      <c r="P871" s="27"/>
      <c r="Q871" s="27"/>
      <c r="R871" s="27"/>
      <c r="S871" s="27"/>
      <c r="T871" s="27"/>
      <c r="U871" s="27"/>
      <c r="V871" s="27"/>
      <c r="W871" s="27"/>
    </row>
    <row r="872" spans="1:23">
      <c r="A872" s="358"/>
      <c r="B872" s="359"/>
      <c r="C872" s="360"/>
      <c r="D872" s="27"/>
      <c r="E872" s="27"/>
      <c r="F872" s="27"/>
      <c r="G872" s="27"/>
      <c r="H872" s="27"/>
      <c r="I872" s="27"/>
      <c r="J872" s="27"/>
      <c r="K872" s="27"/>
      <c r="L872" s="27"/>
      <c r="M872" s="27"/>
      <c r="N872" s="27"/>
      <c r="O872" s="27"/>
      <c r="P872" s="27"/>
      <c r="Q872" s="27"/>
      <c r="R872" s="27"/>
      <c r="S872" s="27"/>
      <c r="T872" s="27"/>
      <c r="U872" s="27"/>
      <c r="V872" s="27"/>
      <c r="W872" s="27"/>
    </row>
    <row r="873" spans="1:23">
      <c r="A873" s="358"/>
      <c r="B873" s="359"/>
      <c r="C873" s="360"/>
      <c r="D873" s="27"/>
      <c r="E873" s="27"/>
      <c r="F873" s="27"/>
      <c r="G873" s="27"/>
      <c r="H873" s="27"/>
      <c r="I873" s="27"/>
      <c r="J873" s="27"/>
      <c r="K873" s="27"/>
      <c r="L873" s="27"/>
      <c r="M873" s="27"/>
      <c r="N873" s="27"/>
      <c r="O873" s="27"/>
      <c r="P873" s="27"/>
      <c r="Q873" s="27"/>
      <c r="R873" s="27"/>
      <c r="S873" s="27"/>
      <c r="T873" s="27"/>
      <c r="U873" s="27"/>
      <c r="V873" s="27"/>
      <c r="W873" s="27"/>
    </row>
    <row r="874" spans="1:23">
      <c r="A874" s="358"/>
      <c r="B874" s="359"/>
      <c r="C874" s="360"/>
      <c r="D874" s="27"/>
      <c r="E874" s="27"/>
      <c r="F874" s="27"/>
      <c r="G874" s="27"/>
      <c r="H874" s="27"/>
      <c r="I874" s="27"/>
      <c r="J874" s="27"/>
      <c r="K874" s="27"/>
      <c r="L874" s="27"/>
      <c r="M874" s="27"/>
      <c r="N874" s="27"/>
      <c r="O874" s="27"/>
      <c r="P874" s="27"/>
      <c r="Q874" s="27"/>
      <c r="R874" s="27"/>
      <c r="S874" s="27"/>
      <c r="T874" s="27"/>
      <c r="U874" s="27"/>
      <c r="V874" s="27"/>
      <c r="W874" s="27"/>
    </row>
    <row r="875" spans="1:23">
      <c r="A875" s="358"/>
      <c r="B875" s="359"/>
      <c r="C875" s="360"/>
      <c r="D875" s="27"/>
      <c r="E875" s="27"/>
      <c r="F875" s="27"/>
      <c r="G875" s="27"/>
      <c r="H875" s="27"/>
      <c r="I875" s="27"/>
      <c r="J875" s="27"/>
      <c r="K875" s="27"/>
      <c r="L875" s="27"/>
      <c r="M875" s="27"/>
      <c r="N875" s="27"/>
      <c r="O875" s="27"/>
      <c r="P875" s="27"/>
      <c r="Q875" s="27"/>
      <c r="R875" s="27"/>
      <c r="S875" s="27"/>
      <c r="T875" s="27"/>
      <c r="U875" s="27"/>
      <c r="V875" s="27"/>
      <c r="W875" s="27"/>
    </row>
    <row r="876" spans="1:23">
      <c r="A876" s="358"/>
      <c r="B876" s="359"/>
      <c r="C876" s="360"/>
      <c r="D876" s="27"/>
      <c r="E876" s="27"/>
      <c r="F876" s="27"/>
      <c r="G876" s="27"/>
      <c r="H876" s="27"/>
      <c r="I876" s="27"/>
      <c r="J876" s="27"/>
      <c r="K876" s="27"/>
      <c r="L876" s="27"/>
      <c r="M876" s="27"/>
      <c r="N876" s="27"/>
      <c r="O876" s="27"/>
      <c r="P876" s="27"/>
      <c r="Q876" s="27"/>
      <c r="R876" s="27"/>
      <c r="S876" s="27"/>
      <c r="T876" s="27"/>
      <c r="U876" s="27"/>
      <c r="V876" s="27"/>
      <c r="W876" s="27"/>
    </row>
    <row r="877" spans="1:23">
      <c r="A877" s="358"/>
      <c r="B877" s="359"/>
      <c r="C877" s="360"/>
      <c r="D877" s="27"/>
      <c r="E877" s="27"/>
      <c r="F877" s="27"/>
      <c r="G877" s="27"/>
      <c r="H877" s="27"/>
      <c r="I877" s="27"/>
      <c r="J877" s="27"/>
      <c r="K877" s="27"/>
      <c r="L877" s="27"/>
      <c r="M877" s="27"/>
      <c r="N877" s="27"/>
      <c r="O877" s="27"/>
      <c r="P877" s="27"/>
      <c r="Q877" s="27"/>
      <c r="R877" s="27"/>
      <c r="S877" s="27"/>
      <c r="T877" s="27"/>
      <c r="U877" s="27"/>
      <c r="V877" s="27"/>
      <c r="W877" s="27"/>
    </row>
    <row r="878" spans="1:23">
      <c r="A878" s="358"/>
      <c r="B878" s="359"/>
      <c r="C878" s="360"/>
      <c r="D878" s="27"/>
      <c r="E878" s="27"/>
      <c r="F878" s="27"/>
      <c r="G878" s="27"/>
      <c r="H878" s="27"/>
      <c r="I878" s="27"/>
      <c r="J878" s="27"/>
      <c r="K878" s="27"/>
      <c r="L878" s="27"/>
      <c r="M878" s="27"/>
      <c r="N878" s="27"/>
      <c r="O878" s="27"/>
      <c r="P878" s="27"/>
      <c r="Q878" s="27"/>
      <c r="R878" s="27"/>
      <c r="S878" s="27"/>
      <c r="T878" s="27"/>
      <c r="U878" s="27"/>
      <c r="V878" s="27"/>
      <c r="W878" s="27"/>
    </row>
    <row r="879" spans="1:23">
      <c r="A879" s="358"/>
      <c r="B879" s="359"/>
      <c r="C879" s="360"/>
      <c r="D879" s="27"/>
      <c r="E879" s="27"/>
      <c r="F879" s="27"/>
      <c r="G879" s="27"/>
      <c r="H879" s="27"/>
      <c r="I879" s="27"/>
      <c r="J879" s="27"/>
      <c r="K879" s="27"/>
      <c r="L879" s="27"/>
      <c r="M879" s="27"/>
      <c r="N879" s="27"/>
      <c r="O879" s="27"/>
      <c r="P879" s="27"/>
      <c r="Q879" s="27"/>
      <c r="R879" s="27"/>
      <c r="S879" s="27"/>
      <c r="T879" s="27"/>
      <c r="U879" s="27"/>
      <c r="V879" s="27"/>
      <c r="W879" s="27"/>
    </row>
    <row r="880" spans="1:23">
      <c r="A880" s="358"/>
      <c r="B880" s="359"/>
      <c r="C880" s="360"/>
      <c r="D880" s="27"/>
      <c r="E880" s="27"/>
      <c r="F880" s="27"/>
      <c r="G880" s="27"/>
      <c r="H880" s="27"/>
      <c r="I880" s="27"/>
      <c r="J880" s="27"/>
      <c r="K880" s="27"/>
      <c r="L880" s="27"/>
      <c r="M880" s="27"/>
      <c r="N880" s="27"/>
      <c r="O880" s="27"/>
      <c r="P880" s="27"/>
      <c r="Q880" s="27"/>
      <c r="R880" s="27"/>
      <c r="S880" s="27"/>
      <c r="T880" s="27"/>
      <c r="U880" s="27"/>
      <c r="V880" s="27"/>
      <c r="W880" s="27"/>
    </row>
    <row r="881" spans="1:23">
      <c r="A881" s="358"/>
      <c r="B881" s="359"/>
      <c r="C881" s="360"/>
      <c r="D881" s="27"/>
      <c r="E881" s="27"/>
      <c r="F881" s="27"/>
      <c r="G881" s="27"/>
      <c r="H881" s="27"/>
      <c r="I881" s="27"/>
      <c r="J881" s="27"/>
      <c r="K881" s="27"/>
      <c r="L881" s="27"/>
      <c r="M881" s="27"/>
      <c r="N881" s="27"/>
      <c r="O881" s="27"/>
      <c r="P881" s="27"/>
      <c r="Q881" s="27"/>
      <c r="R881" s="27"/>
      <c r="S881" s="27"/>
      <c r="T881" s="27"/>
      <c r="U881" s="27"/>
      <c r="V881" s="27"/>
      <c r="W881" s="27"/>
    </row>
    <row r="882" spans="1:23">
      <c r="A882" s="358"/>
      <c r="B882" s="359"/>
      <c r="C882" s="360"/>
      <c r="D882" s="27"/>
      <c r="E882" s="27"/>
      <c r="F882" s="27"/>
      <c r="G882" s="27"/>
      <c r="H882" s="27"/>
      <c r="I882" s="27"/>
      <c r="J882" s="27"/>
      <c r="K882" s="27"/>
      <c r="L882" s="27"/>
      <c r="M882" s="27"/>
      <c r="N882" s="27"/>
      <c r="O882" s="27"/>
      <c r="P882" s="27"/>
      <c r="Q882" s="27"/>
      <c r="R882" s="27"/>
      <c r="S882" s="27"/>
      <c r="T882" s="27"/>
      <c r="U882" s="27"/>
      <c r="V882" s="27"/>
      <c r="W882" s="27"/>
    </row>
    <row r="883" spans="1:23">
      <c r="A883" s="358"/>
      <c r="B883" s="359"/>
      <c r="C883" s="360"/>
      <c r="D883" s="27"/>
      <c r="E883" s="27"/>
      <c r="F883" s="27"/>
      <c r="G883" s="27"/>
      <c r="H883" s="27"/>
      <c r="I883" s="27"/>
      <c r="J883" s="27"/>
      <c r="K883" s="27"/>
      <c r="L883" s="27"/>
      <c r="M883" s="27"/>
      <c r="N883" s="27"/>
      <c r="O883" s="27"/>
      <c r="P883" s="27"/>
      <c r="Q883" s="27"/>
      <c r="R883" s="27"/>
      <c r="S883" s="27"/>
      <c r="T883" s="27"/>
      <c r="U883" s="27"/>
      <c r="V883" s="27"/>
      <c r="W883" s="27"/>
    </row>
    <row r="884" spans="1:23">
      <c r="A884" s="358"/>
      <c r="B884" s="359"/>
      <c r="C884" s="360"/>
      <c r="D884" s="27"/>
      <c r="E884" s="27"/>
      <c r="F884" s="27"/>
      <c r="G884" s="27"/>
      <c r="H884" s="27"/>
      <c r="I884" s="27"/>
      <c r="J884" s="27"/>
      <c r="K884" s="27"/>
      <c r="L884" s="27"/>
      <c r="M884" s="27"/>
      <c r="N884" s="27"/>
      <c r="O884" s="27"/>
      <c r="P884" s="27"/>
      <c r="Q884" s="27"/>
      <c r="R884" s="27"/>
      <c r="S884" s="27"/>
      <c r="T884" s="27"/>
      <c r="U884" s="27"/>
      <c r="V884" s="27"/>
      <c r="W884" s="27"/>
    </row>
    <row r="885" spans="1:23">
      <c r="A885" s="358"/>
      <c r="B885" s="359"/>
      <c r="C885" s="360"/>
      <c r="D885" s="27"/>
      <c r="E885" s="27"/>
      <c r="F885" s="27"/>
      <c r="G885" s="27"/>
      <c r="H885" s="27"/>
      <c r="I885" s="27"/>
      <c r="J885" s="27"/>
      <c r="K885" s="27"/>
      <c r="L885" s="27"/>
      <c r="M885" s="27"/>
      <c r="N885" s="27"/>
      <c r="O885" s="27"/>
      <c r="P885" s="27"/>
      <c r="Q885" s="27"/>
      <c r="R885" s="27"/>
      <c r="S885" s="27"/>
      <c r="T885" s="27"/>
      <c r="U885" s="27"/>
      <c r="V885" s="27"/>
      <c r="W885" s="27"/>
    </row>
    <row r="886" spans="1:23">
      <c r="A886" s="358"/>
      <c r="B886" s="359"/>
      <c r="C886" s="360"/>
      <c r="D886" s="27"/>
      <c r="E886" s="27"/>
      <c r="F886" s="27"/>
      <c r="G886" s="27"/>
      <c r="H886" s="27"/>
      <c r="I886" s="27"/>
      <c r="J886" s="27"/>
      <c r="K886" s="27"/>
      <c r="L886" s="27"/>
      <c r="M886" s="27"/>
      <c r="N886" s="27"/>
      <c r="O886" s="27"/>
      <c r="P886" s="27"/>
      <c r="Q886" s="27"/>
      <c r="R886" s="27"/>
      <c r="S886" s="27"/>
      <c r="T886" s="27"/>
      <c r="U886" s="27"/>
      <c r="V886" s="27"/>
      <c r="W886" s="27"/>
    </row>
    <row r="887" spans="1:23">
      <c r="A887" s="358"/>
      <c r="B887" s="359"/>
      <c r="C887" s="360"/>
      <c r="D887" s="27"/>
      <c r="E887" s="27"/>
      <c r="F887" s="27"/>
      <c r="G887" s="27"/>
      <c r="H887" s="27"/>
      <c r="I887" s="27"/>
      <c r="J887" s="27"/>
      <c r="K887" s="27"/>
      <c r="L887" s="27"/>
      <c r="M887" s="27"/>
      <c r="N887" s="27"/>
      <c r="O887" s="27"/>
      <c r="P887" s="27"/>
      <c r="Q887" s="27"/>
      <c r="R887" s="27"/>
      <c r="S887" s="27"/>
      <c r="T887" s="27"/>
      <c r="U887" s="27"/>
      <c r="V887" s="27"/>
      <c r="W887" s="27"/>
    </row>
    <row r="888" spans="1:23">
      <c r="A888" s="358"/>
      <c r="B888" s="359"/>
      <c r="C888" s="360"/>
      <c r="D888" s="27"/>
      <c r="E888" s="27"/>
      <c r="F888" s="27"/>
      <c r="G888" s="27"/>
      <c r="H888" s="27"/>
      <c r="I888" s="27"/>
      <c r="J888" s="27"/>
      <c r="K888" s="27"/>
      <c r="L888" s="27"/>
      <c r="M888" s="27"/>
      <c r="N888" s="27"/>
      <c r="O888" s="27"/>
      <c r="P888" s="27"/>
      <c r="Q888" s="27"/>
      <c r="R888" s="27"/>
      <c r="S888" s="27"/>
      <c r="T888" s="27"/>
      <c r="U888" s="27"/>
      <c r="V888" s="27"/>
      <c r="W888" s="27"/>
    </row>
    <row r="889" spans="1:23">
      <c r="A889" s="358"/>
      <c r="B889" s="359"/>
      <c r="C889" s="360"/>
      <c r="D889" s="27"/>
      <c r="E889" s="27"/>
      <c r="F889" s="27"/>
      <c r="G889" s="27"/>
      <c r="H889" s="27"/>
      <c r="I889" s="27"/>
      <c r="J889" s="27"/>
      <c r="K889" s="27"/>
      <c r="L889" s="27"/>
      <c r="M889" s="27"/>
      <c r="N889" s="27"/>
      <c r="O889" s="27"/>
      <c r="P889" s="27"/>
      <c r="Q889" s="27"/>
      <c r="R889" s="27"/>
      <c r="S889" s="27"/>
      <c r="T889" s="27"/>
      <c r="U889" s="27"/>
      <c r="V889" s="27"/>
      <c r="W889" s="27"/>
    </row>
    <row r="890" spans="1:23">
      <c r="A890" s="358"/>
      <c r="B890" s="359"/>
      <c r="C890" s="360"/>
      <c r="D890" s="27"/>
      <c r="E890" s="27"/>
      <c r="F890" s="27"/>
      <c r="G890" s="27"/>
      <c r="H890" s="27"/>
      <c r="I890" s="27"/>
      <c r="J890" s="27"/>
      <c r="K890" s="27"/>
      <c r="L890" s="27"/>
      <c r="M890" s="27"/>
      <c r="N890" s="27"/>
      <c r="O890" s="27"/>
      <c r="P890" s="27"/>
      <c r="Q890" s="27"/>
      <c r="R890" s="27"/>
      <c r="S890" s="27"/>
      <c r="T890" s="27"/>
      <c r="U890" s="27"/>
      <c r="V890" s="27"/>
      <c r="W890" s="27"/>
    </row>
    <row r="891" spans="1:23">
      <c r="A891" s="358"/>
      <c r="B891" s="359"/>
      <c r="C891" s="360"/>
      <c r="D891" s="27"/>
      <c r="E891" s="27"/>
      <c r="F891" s="27"/>
      <c r="G891" s="27"/>
      <c r="H891" s="27"/>
      <c r="I891" s="27"/>
      <c r="J891" s="27"/>
      <c r="K891" s="27"/>
      <c r="L891" s="27"/>
      <c r="M891" s="27"/>
      <c r="N891" s="27"/>
      <c r="O891" s="27"/>
      <c r="P891" s="27"/>
      <c r="Q891" s="27"/>
      <c r="R891" s="27"/>
      <c r="S891" s="27"/>
      <c r="T891" s="27"/>
      <c r="U891" s="27"/>
      <c r="V891" s="27"/>
      <c r="W891" s="27"/>
    </row>
    <row r="892" spans="1:23">
      <c r="A892" s="358"/>
      <c r="B892" s="359"/>
      <c r="C892" s="360"/>
      <c r="D892" s="27"/>
      <c r="E892" s="27"/>
      <c r="F892" s="27"/>
      <c r="G892" s="27"/>
      <c r="H892" s="27"/>
      <c r="I892" s="27"/>
      <c r="J892" s="27"/>
      <c r="K892" s="27"/>
      <c r="L892" s="27"/>
      <c r="M892" s="27"/>
      <c r="N892" s="27"/>
      <c r="O892" s="27"/>
      <c r="P892" s="27"/>
      <c r="Q892" s="27"/>
      <c r="R892" s="27"/>
      <c r="S892" s="27"/>
      <c r="T892" s="27"/>
      <c r="U892" s="27"/>
      <c r="V892" s="27"/>
      <c r="W892" s="27"/>
    </row>
    <row r="893" spans="1:23">
      <c r="A893" s="358"/>
      <c r="B893" s="359"/>
      <c r="C893" s="360"/>
      <c r="D893" s="27"/>
      <c r="E893" s="27"/>
      <c r="F893" s="27"/>
      <c r="G893" s="27"/>
      <c r="H893" s="27"/>
      <c r="I893" s="27"/>
      <c r="J893" s="27"/>
      <c r="K893" s="27"/>
      <c r="L893" s="27"/>
      <c r="M893" s="27"/>
      <c r="N893" s="27"/>
      <c r="O893" s="27"/>
      <c r="P893" s="27"/>
      <c r="Q893" s="27"/>
      <c r="R893" s="27"/>
      <c r="S893" s="27"/>
      <c r="T893" s="27"/>
      <c r="U893" s="27"/>
      <c r="V893" s="27"/>
      <c r="W893" s="27"/>
    </row>
    <row r="894" spans="1:23">
      <c r="A894" s="358"/>
      <c r="B894" s="359"/>
      <c r="C894" s="360"/>
      <c r="D894" s="27"/>
      <c r="E894" s="27"/>
      <c r="F894" s="27"/>
      <c r="G894" s="27"/>
      <c r="H894" s="27"/>
      <c r="I894" s="27"/>
      <c r="J894" s="27"/>
      <c r="K894" s="27"/>
      <c r="L894" s="27"/>
      <c r="M894" s="27"/>
      <c r="N894" s="27"/>
      <c r="O894" s="27"/>
      <c r="P894" s="27"/>
      <c r="Q894" s="27"/>
      <c r="R894" s="27"/>
      <c r="S894" s="27"/>
      <c r="T894" s="27"/>
      <c r="U894" s="27"/>
      <c r="V894" s="27"/>
      <c r="W894" s="27"/>
    </row>
    <row r="895" spans="1:23">
      <c r="A895" s="358"/>
      <c r="B895" s="359"/>
      <c r="C895" s="360"/>
      <c r="D895" s="27"/>
      <c r="E895" s="27"/>
      <c r="F895" s="27"/>
      <c r="G895" s="27"/>
      <c r="H895" s="27"/>
      <c r="I895" s="27"/>
      <c r="J895" s="27"/>
      <c r="K895" s="27"/>
      <c r="L895" s="27"/>
      <c r="M895" s="27"/>
      <c r="N895" s="27"/>
      <c r="O895" s="27"/>
      <c r="P895" s="27"/>
      <c r="Q895" s="27"/>
      <c r="R895" s="27"/>
      <c r="S895" s="27"/>
      <c r="T895" s="27"/>
      <c r="U895" s="27"/>
      <c r="V895" s="27"/>
      <c r="W895" s="27"/>
    </row>
    <row r="896" spans="1:23">
      <c r="A896" s="358"/>
      <c r="B896" s="359"/>
      <c r="C896" s="360"/>
      <c r="D896" s="27"/>
      <c r="E896" s="27"/>
      <c r="F896" s="27"/>
      <c r="G896" s="27"/>
      <c r="H896" s="27"/>
      <c r="I896" s="27"/>
      <c r="J896" s="27"/>
      <c r="K896" s="27"/>
      <c r="L896" s="27"/>
      <c r="M896" s="27"/>
      <c r="N896" s="27"/>
      <c r="O896" s="27"/>
      <c r="P896" s="27"/>
      <c r="Q896" s="27"/>
      <c r="R896" s="27"/>
      <c r="S896" s="27"/>
      <c r="T896" s="27"/>
      <c r="U896" s="27"/>
      <c r="V896" s="27"/>
      <c r="W896" s="27"/>
    </row>
    <row r="897" spans="1:23">
      <c r="A897" s="358"/>
      <c r="B897" s="359"/>
      <c r="C897" s="360"/>
      <c r="D897" s="27"/>
      <c r="E897" s="27"/>
      <c r="F897" s="27"/>
      <c r="G897" s="27"/>
      <c r="H897" s="27"/>
      <c r="I897" s="27"/>
      <c r="J897" s="27"/>
      <c r="K897" s="27"/>
      <c r="L897" s="27"/>
      <c r="M897" s="27"/>
      <c r="N897" s="27"/>
      <c r="O897" s="27"/>
      <c r="P897" s="27"/>
      <c r="Q897" s="27"/>
      <c r="R897" s="27"/>
      <c r="S897" s="27"/>
      <c r="T897" s="27"/>
      <c r="U897" s="27"/>
      <c r="V897" s="27"/>
      <c r="W897" s="27"/>
    </row>
    <row r="898" spans="1:23">
      <c r="A898" s="358"/>
      <c r="B898" s="359"/>
      <c r="C898" s="360"/>
      <c r="D898" s="27"/>
      <c r="E898" s="27"/>
      <c r="F898" s="27"/>
      <c r="G898" s="27"/>
      <c r="H898" s="27"/>
      <c r="I898" s="27"/>
      <c r="J898" s="27"/>
      <c r="K898" s="27"/>
      <c r="L898" s="27"/>
      <c r="M898" s="27"/>
      <c r="N898" s="27"/>
      <c r="O898" s="27"/>
      <c r="P898" s="27"/>
      <c r="Q898" s="27"/>
      <c r="R898" s="27"/>
      <c r="S898" s="27"/>
      <c r="T898" s="27"/>
      <c r="U898" s="27"/>
      <c r="V898" s="27"/>
      <c r="W898" s="27"/>
    </row>
    <row r="899" spans="1:23">
      <c r="A899" s="358"/>
      <c r="B899" s="359"/>
      <c r="C899" s="360"/>
      <c r="D899" s="27"/>
      <c r="E899" s="27"/>
      <c r="F899" s="27"/>
      <c r="G899" s="27"/>
      <c r="H899" s="27"/>
      <c r="I899" s="27"/>
      <c r="J899" s="27"/>
      <c r="K899" s="27"/>
      <c r="L899" s="27"/>
      <c r="M899" s="27"/>
      <c r="N899" s="27"/>
      <c r="O899" s="27"/>
      <c r="P899" s="27"/>
      <c r="Q899" s="27"/>
      <c r="R899" s="27"/>
      <c r="S899" s="27"/>
      <c r="T899" s="27"/>
      <c r="U899" s="27"/>
      <c r="V899" s="27"/>
      <c r="W899" s="27"/>
    </row>
    <row r="900" spans="1:23">
      <c r="A900" s="358"/>
      <c r="B900" s="359"/>
      <c r="C900" s="360"/>
      <c r="D900" s="27"/>
      <c r="E900" s="27"/>
      <c r="F900" s="27"/>
      <c r="G900" s="27"/>
      <c r="H900" s="27"/>
      <c r="I900" s="27"/>
      <c r="J900" s="27"/>
      <c r="K900" s="27"/>
      <c r="L900" s="27"/>
      <c r="M900" s="27"/>
      <c r="N900" s="27"/>
      <c r="O900" s="27"/>
      <c r="P900" s="27"/>
      <c r="Q900" s="27"/>
      <c r="R900" s="27"/>
      <c r="S900" s="27"/>
      <c r="T900" s="27"/>
      <c r="U900" s="27"/>
      <c r="V900" s="27"/>
      <c r="W900" s="27"/>
    </row>
    <row r="901" spans="1:23">
      <c r="A901" s="358"/>
      <c r="B901" s="359"/>
      <c r="C901" s="360"/>
      <c r="D901" s="27"/>
      <c r="E901" s="27"/>
      <c r="F901" s="27"/>
      <c r="G901" s="27"/>
      <c r="H901" s="27"/>
      <c r="I901" s="27"/>
      <c r="J901" s="27"/>
      <c r="K901" s="27"/>
      <c r="L901" s="27"/>
      <c r="M901" s="27"/>
      <c r="N901" s="27"/>
      <c r="O901" s="27"/>
      <c r="P901" s="27"/>
      <c r="Q901" s="27"/>
      <c r="R901" s="27"/>
      <c r="S901" s="27"/>
      <c r="T901" s="27"/>
      <c r="U901" s="27"/>
      <c r="V901" s="27"/>
      <c r="W901" s="27"/>
    </row>
    <row r="902" spans="1:23">
      <c r="A902" s="358"/>
      <c r="B902" s="359"/>
      <c r="C902" s="360"/>
      <c r="D902" s="27"/>
      <c r="E902" s="27"/>
      <c r="F902" s="27"/>
      <c r="G902" s="27"/>
      <c r="H902" s="27"/>
      <c r="I902" s="27"/>
      <c r="J902" s="27"/>
      <c r="K902" s="27"/>
      <c r="L902" s="27"/>
      <c r="M902" s="27"/>
      <c r="N902" s="27"/>
      <c r="O902" s="27"/>
      <c r="P902" s="27"/>
      <c r="Q902" s="27"/>
      <c r="R902" s="27"/>
      <c r="S902" s="27"/>
      <c r="T902" s="27"/>
      <c r="U902" s="27"/>
      <c r="V902" s="27"/>
      <c r="W902" s="27"/>
    </row>
    <row r="903" spans="1:23">
      <c r="A903" s="358"/>
      <c r="B903" s="359"/>
      <c r="C903" s="360"/>
      <c r="D903" s="27"/>
      <c r="E903" s="27"/>
      <c r="F903" s="27"/>
      <c r="G903" s="27"/>
      <c r="H903" s="27"/>
      <c r="I903" s="27"/>
      <c r="J903" s="27"/>
      <c r="K903" s="27"/>
      <c r="L903" s="27"/>
      <c r="M903" s="27"/>
      <c r="N903" s="27"/>
      <c r="O903" s="27"/>
      <c r="P903" s="27"/>
      <c r="Q903" s="27"/>
      <c r="R903" s="27"/>
      <c r="S903" s="27"/>
      <c r="T903" s="27"/>
      <c r="U903" s="27"/>
      <c r="V903" s="27"/>
      <c r="W903" s="27"/>
    </row>
    <row r="904" spans="1:23">
      <c r="A904" s="358"/>
      <c r="B904" s="359"/>
      <c r="C904" s="360"/>
      <c r="D904" s="27"/>
      <c r="E904" s="27"/>
      <c r="F904" s="27"/>
      <c r="G904" s="27"/>
      <c r="H904" s="27"/>
      <c r="I904" s="27"/>
      <c r="J904" s="27"/>
      <c r="K904" s="27"/>
      <c r="L904" s="27"/>
      <c r="M904" s="27"/>
      <c r="N904" s="27"/>
      <c r="O904" s="27"/>
      <c r="P904" s="27"/>
      <c r="Q904" s="27"/>
      <c r="R904" s="27"/>
      <c r="S904" s="27"/>
      <c r="T904" s="27"/>
      <c r="U904" s="27"/>
      <c r="V904" s="27"/>
      <c r="W904" s="27"/>
    </row>
    <row r="905" spans="1:23">
      <c r="A905" s="358"/>
      <c r="B905" s="359"/>
      <c r="C905" s="360"/>
      <c r="D905" s="27"/>
      <c r="E905" s="27"/>
      <c r="F905" s="27"/>
      <c r="G905" s="27"/>
      <c r="H905" s="27"/>
      <c r="I905" s="27"/>
      <c r="J905" s="27"/>
      <c r="K905" s="27"/>
      <c r="L905" s="27"/>
      <c r="M905" s="27"/>
      <c r="N905" s="27"/>
      <c r="O905" s="27"/>
      <c r="P905" s="27"/>
      <c r="Q905" s="27"/>
      <c r="R905" s="27"/>
      <c r="S905" s="27"/>
      <c r="T905" s="27"/>
      <c r="U905" s="27"/>
      <c r="V905" s="27"/>
      <c r="W905" s="27"/>
    </row>
    <row r="906" spans="1:23">
      <c r="A906" s="358"/>
      <c r="B906" s="359"/>
      <c r="C906" s="360"/>
      <c r="D906" s="27"/>
      <c r="E906" s="27"/>
      <c r="F906" s="27"/>
      <c r="G906" s="27"/>
      <c r="H906" s="27"/>
      <c r="I906" s="27"/>
      <c r="J906" s="27"/>
      <c r="K906" s="27"/>
      <c r="L906" s="27"/>
      <c r="M906" s="27"/>
      <c r="N906" s="27"/>
      <c r="O906" s="27"/>
      <c r="P906" s="27"/>
      <c r="Q906" s="27"/>
      <c r="R906" s="27"/>
      <c r="S906" s="27"/>
      <c r="T906" s="27"/>
      <c r="U906" s="27"/>
      <c r="V906" s="27"/>
      <c r="W906" s="27"/>
    </row>
    <row r="907" spans="1:23">
      <c r="A907" s="358"/>
      <c r="B907" s="359"/>
      <c r="C907" s="360"/>
      <c r="D907" s="27"/>
      <c r="E907" s="27"/>
      <c r="F907" s="27"/>
      <c r="G907" s="27"/>
      <c r="H907" s="27"/>
      <c r="I907" s="27"/>
      <c r="J907" s="27"/>
      <c r="K907" s="27"/>
      <c r="L907" s="27"/>
      <c r="M907" s="27"/>
      <c r="N907" s="27"/>
      <c r="O907" s="27"/>
      <c r="P907" s="27"/>
      <c r="Q907" s="27"/>
      <c r="R907" s="27"/>
      <c r="S907" s="27"/>
      <c r="T907" s="27"/>
      <c r="U907" s="27"/>
      <c r="V907" s="27"/>
      <c r="W907" s="27"/>
    </row>
    <row r="908" spans="1:23">
      <c r="A908" s="358"/>
      <c r="B908" s="359"/>
      <c r="C908" s="360"/>
      <c r="D908" s="27"/>
      <c r="E908" s="27"/>
      <c r="F908" s="27"/>
      <c r="G908" s="27"/>
      <c r="H908" s="27"/>
      <c r="I908" s="27"/>
      <c r="J908" s="27"/>
      <c r="K908" s="27"/>
      <c r="L908" s="27"/>
      <c r="M908" s="27"/>
      <c r="N908" s="27"/>
      <c r="O908" s="27"/>
      <c r="P908" s="27"/>
      <c r="Q908" s="27"/>
      <c r="R908" s="27"/>
      <c r="S908" s="27"/>
      <c r="T908" s="27"/>
      <c r="U908" s="27"/>
      <c r="V908" s="27"/>
      <c r="W908" s="27"/>
    </row>
    <row r="909" spans="1:23">
      <c r="A909" s="358"/>
      <c r="B909" s="359"/>
      <c r="C909" s="360"/>
      <c r="D909" s="27"/>
      <c r="E909" s="27"/>
      <c r="F909" s="27"/>
      <c r="G909" s="27"/>
      <c r="H909" s="27"/>
      <c r="I909" s="27"/>
      <c r="J909" s="27"/>
      <c r="K909" s="27"/>
      <c r="L909" s="27"/>
      <c r="M909" s="27"/>
      <c r="N909" s="27"/>
      <c r="O909" s="27"/>
      <c r="P909" s="27"/>
      <c r="Q909" s="27"/>
      <c r="R909" s="27"/>
      <c r="S909" s="27"/>
      <c r="T909" s="27"/>
      <c r="U909" s="27"/>
      <c r="V909" s="27"/>
      <c r="W909" s="27"/>
    </row>
    <row r="910" spans="1:23">
      <c r="A910" s="358"/>
      <c r="B910" s="359"/>
      <c r="C910" s="360"/>
      <c r="D910" s="27"/>
      <c r="E910" s="27"/>
      <c r="F910" s="27"/>
      <c r="G910" s="27"/>
      <c r="H910" s="27"/>
      <c r="I910" s="27"/>
      <c r="J910" s="27"/>
      <c r="K910" s="27"/>
      <c r="L910" s="27"/>
      <c r="M910" s="27"/>
      <c r="N910" s="27"/>
      <c r="O910" s="27"/>
      <c r="P910" s="27"/>
      <c r="Q910" s="27"/>
      <c r="R910" s="27"/>
      <c r="S910" s="27"/>
      <c r="T910" s="27"/>
      <c r="U910" s="27"/>
      <c r="V910" s="27"/>
      <c r="W910" s="27"/>
    </row>
    <row r="911" spans="1:23">
      <c r="A911" s="358"/>
      <c r="B911" s="359"/>
      <c r="C911" s="360"/>
      <c r="D911" s="27"/>
      <c r="E911" s="27"/>
      <c r="F911" s="27"/>
      <c r="G911" s="27"/>
      <c r="H911" s="27"/>
      <c r="I911" s="27"/>
      <c r="J911" s="27"/>
      <c r="K911" s="27"/>
      <c r="L911" s="27"/>
      <c r="M911" s="27"/>
      <c r="N911" s="27"/>
      <c r="O911" s="27"/>
      <c r="P911" s="27"/>
      <c r="Q911" s="27"/>
      <c r="R911" s="27"/>
      <c r="S911" s="27"/>
      <c r="T911" s="27"/>
      <c r="U911" s="27"/>
      <c r="V911" s="27"/>
      <c r="W911" s="27"/>
    </row>
    <row r="912" spans="1:23">
      <c r="A912" s="358"/>
      <c r="B912" s="359"/>
      <c r="C912" s="360"/>
      <c r="D912" s="27"/>
      <c r="E912" s="27"/>
      <c r="F912" s="27"/>
      <c r="G912" s="27"/>
      <c r="H912" s="27"/>
      <c r="I912" s="27"/>
      <c r="J912" s="27"/>
      <c r="K912" s="27"/>
      <c r="L912" s="27"/>
      <c r="M912" s="27"/>
      <c r="N912" s="27"/>
      <c r="O912" s="27"/>
      <c r="P912" s="27"/>
      <c r="Q912" s="27"/>
      <c r="R912" s="27"/>
      <c r="S912" s="27"/>
      <c r="T912" s="27"/>
      <c r="U912" s="27"/>
      <c r="V912" s="27"/>
      <c r="W912" s="27"/>
    </row>
    <row r="913" spans="1:23">
      <c r="A913" s="358"/>
      <c r="B913" s="359"/>
      <c r="C913" s="360"/>
      <c r="D913" s="27"/>
      <c r="E913" s="27"/>
      <c r="F913" s="27"/>
      <c r="G913" s="27"/>
      <c r="H913" s="27"/>
      <c r="I913" s="27"/>
      <c r="J913" s="27"/>
      <c r="K913" s="27"/>
      <c r="L913" s="27"/>
      <c r="M913" s="27"/>
      <c r="N913" s="27"/>
      <c r="O913" s="27"/>
      <c r="P913" s="27"/>
      <c r="Q913" s="27"/>
      <c r="R913" s="27"/>
      <c r="S913" s="27"/>
      <c r="T913" s="27"/>
      <c r="U913" s="27"/>
      <c r="V913" s="27"/>
      <c r="W913" s="27"/>
    </row>
    <row r="914" spans="1:23">
      <c r="A914" s="358"/>
      <c r="B914" s="359"/>
      <c r="C914" s="360"/>
      <c r="D914" s="27"/>
      <c r="E914" s="27"/>
      <c r="F914" s="27"/>
      <c r="G914" s="27"/>
      <c r="H914" s="27"/>
      <c r="I914" s="27"/>
      <c r="J914" s="27"/>
      <c r="K914" s="27"/>
      <c r="L914" s="27"/>
      <c r="M914" s="27"/>
      <c r="N914" s="27"/>
      <c r="O914" s="27"/>
      <c r="P914" s="27"/>
      <c r="Q914" s="27"/>
      <c r="R914" s="27"/>
      <c r="S914" s="27"/>
      <c r="T914" s="27"/>
      <c r="U914" s="27"/>
      <c r="V914" s="27"/>
      <c r="W914" s="27"/>
    </row>
    <row r="915" spans="1:23">
      <c r="A915" s="358"/>
      <c r="B915" s="359"/>
      <c r="C915" s="360"/>
      <c r="D915" s="27"/>
      <c r="E915" s="27"/>
      <c r="F915" s="27"/>
      <c r="G915" s="27"/>
      <c r="H915" s="27"/>
      <c r="I915" s="27"/>
      <c r="J915" s="27"/>
      <c r="K915" s="27"/>
      <c r="L915" s="27"/>
      <c r="M915" s="27"/>
      <c r="N915" s="27"/>
      <c r="O915" s="27"/>
      <c r="P915" s="27"/>
      <c r="Q915" s="27"/>
      <c r="R915" s="27"/>
      <c r="S915" s="27"/>
      <c r="T915" s="27"/>
      <c r="U915" s="27"/>
      <c r="V915" s="27"/>
      <c r="W915" s="27"/>
    </row>
    <row r="916" spans="1:23">
      <c r="A916" s="358"/>
      <c r="B916" s="359"/>
      <c r="C916" s="360"/>
      <c r="D916" s="27"/>
      <c r="E916" s="27"/>
      <c r="F916" s="27"/>
      <c r="G916" s="27"/>
      <c r="H916" s="27"/>
      <c r="I916" s="27"/>
      <c r="J916" s="27"/>
      <c r="K916" s="27"/>
      <c r="L916" s="27"/>
      <c r="M916" s="27"/>
      <c r="N916" s="27"/>
      <c r="O916" s="27"/>
      <c r="P916" s="27"/>
      <c r="Q916" s="27"/>
      <c r="R916" s="27"/>
      <c r="S916" s="27"/>
      <c r="T916" s="27"/>
      <c r="U916" s="27"/>
      <c r="V916" s="27"/>
      <c r="W916" s="27"/>
    </row>
    <row r="917" spans="1:23">
      <c r="A917" s="358"/>
      <c r="B917" s="359"/>
      <c r="C917" s="360"/>
      <c r="D917" s="27"/>
      <c r="E917" s="27"/>
      <c r="F917" s="27"/>
      <c r="G917" s="27"/>
      <c r="H917" s="27"/>
      <c r="I917" s="27"/>
      <c r="J917" s="27"/>
      <c r="K917" s="27"/>
      <c r="L917" s="27"/>
      <c r="M917" s="27"/>
      <c r="N917" s="27"/>
      <c r="O917" s="27"/>
      <c r="P917" s="27"/>
      <c r="Q917" s="27"/>
      <c r="R917" s="27"/>
      <c r="S917" s="27"/>
      <c r="T917" s="27"/>
      <c r="U917" s="27"/>
      <c r="V917" s="27"/>
      <c r="W917" s="27"/>
    </row>
    <row r="918" spans="1:23">
      <c r="A918" s="358"/>
      <c r="B918" s="359"/>
      <c r="C918" s="360"/>
      <c r="D918" s="27"/>
      <c r="E918" s="27"/>
      <c r="F918" s="27"/>
      <c r="G918" s="27"/>
      <c r="H918" s="27"/>
      <c r="I918" s="27"/>
      <c r="J918" s="27"/>
      <c r="K918" s="27"/>
      <c r="L918" s="27"/>
      <c r="M918" s="27"/>
      <c r="N918" s="27"/>
      <c r="O918" s="27"/>
      <c r="P918" s="27"/>
      <c r="Q918" s="27"/>
      <c r="R918" s="27"/>
      <c r="S918" s="27"/>
      <c r="T918" s="27"/>
      <c r="U918" s="27"/>
      <c r="V918" s="27"/>
      <c r="W918" s="27"/>
    </row>
    <row r="919" spans="1:23">
      <c r="A919" s="358"/>
      <c r="B919" s="359"/>
      <c r="C919" s="360"/>
      <c r="D919" s="27"/>
      <c r="E919" s="27"/>
      <c r="F919" s="27"/>
      <c r="G919" s="27"/>
      <c r="H919" s="27"/>
      <c r="I919" s="27"/>
      <c r="J919" s="27"/>
      <c r="K919" s="27"/>
      <c r="L919" s="27"/>
      <c r="M919" s="27"/>
      <c r="N919" s="27"/>
      <c r="O919" s="27"/>
      <c r="P919" s="27"/>
      <c r="Q919" s="27"/>
      <c r="R919" s="27"/>
      <c r="S919" s="27"/>
      <c r="T919" s="27"/>
      <c r="U919" s="27"/>
      <c r="V919" s="27"/>
      <c r="W919" s="27"/>
    </row>
    <row r="920" spans="1:23">
      <c r="A920" s="358"/>
      <c r="B920" s="359"/>
      <c r="C920" s="360"/>
      <c r="D920" s="27"/>
      <c r="E920" s="27"/>
      <c r="F920" s="27"/>
      <c r="G920" s="27"/>
      <c r="H920" s="27"/>
      <c r="I920" s="27"/>
      <c r="J920" s="27"/>
      <c r="K920" s="27"/>
      <c r="L920" s="27"/>
      <c r="M920" s="27"/>
      <c r="N920" s="27"/>
      <c r="O920" s="27"/>
      <c r="P920" s="27"/>
      <c r="Q920" s="27"/>
      <c r="R920" s="27"/>
      <c r="S920" s="27"/>
      <c r="T920" s="27"/>
      <c r="U920" s="27"/>
      <c r="V920" s="27"/>
      <c r="W920" s="27"/>
    </row>
    <row r="921" spans="1:23">
      <c r="A921" s="358"/>
      <c r="B921" s="359"/>
      <c r="C921" s="360"/>
      <c r="D921" s="27"/>
      <c r="E921" s="27"/>
      <c r="F921" s="27"/>
      <c r="G921" s="27"/>
      <c r="H921" s="27"/>
      <c r="I921" s="27"/>
      <c r="J921" s="27"/>
      <c r="K921" s="27"/>
      <c r="L921" s="27"/>
      <c r="M921" s="27"/>
      <c r="N921" s="27"/>
      <c r="O921" s="27"/>
      <c r="P921" s="27"/>
      <c r="Q921" s="27"/>
      <c r="R921" s="27"/>
      <c r="S921" s="27"/>
      <c r="T921" s="27"/>
      <c r="U921" s="27"/>
      <c r="V921" s="27"/>
      <c r="W921" s="27"/>
    </row>
    <row r="922" spans="1:23">
      <c r="A922" s="358"/>
      <c r="B922" s="359"/>
      <c r="C922" s="360"/>
      <c r="D922" s="27"/>
      <c r="E922" s="27"/>
      <c r="F922" s="27"/>
      <c r="G922" s="27"/>
      <c r="H922" s="27"/>
      <c r="I922" s="27"/>
      <c r="J922" s="27"/>
      <c r="K922" s="27"/>
      <c r="L922" s="27"/>
      <c r="M922" s="27"/>
      <c r="N922" s="27"/>
      <c r="O922" s="27"/>
      <c r="P922" s="27"/>
      <c r="Q922" s="27"/>
      <c r="R922" s="27"/>
      <c r="S922" s="27"/>
      <c r="T922" s="27"/>
      <c r="U922" s="27"/>
      <c r="V922" s="27"/>
      <c r="W922" s="27"/>
    </row>
    <row r="923" spans="1:23">
      <c r="A923" s="358"/>
      <c r="B923" s="359"/>
      <c r="C923" s="360"/>
      <c r="D923" s="27"/>
      <c r="E923" s="27"/>
      <c r="F923" s="27"/>
      <c r="G923" s="27"/>
      <c r="H923" s="27"/>
      <c r="I923" s="27"/>
      <c r="J923" s="27"/>
      <c r="K923" s="27"/>
      <c r="L923" s="27"/>
      <c r="M923" s="27"/>
      <c r="N923" s="27"/>
      <c r="O923" s="27"/>
      <c r="P923" s="27"/>
      <c r="Q923" s="27"/>
      <c r="R923" s="27"/>
      <c r="S923" s="27"/>
      <c r="T923" s="27"/>
      <c r="U923" s="27"/>
      <c r="V923" s="27"/>
      <c r="W923" s="27"/>
    </row>
    <row r="924" spans="1:23">
      <c r="A924" s="358"/>
      <c r="B924" s="359"/>
      <c r="C924" s="360"/>
      <c r="D924" s="27"/>
      <c r="E924" s="27"/>
      <c r="F924" s="27"/>
      <c r="G924" s="27"/>
      <c r="H924" s="27"/>
      <c r="I924" s="27"/>
      <c r="J924" s="27"/>
      <c r="K924" s="27"/>
      <c r="L924" s="27"/>
      <c r="M924" s="27"/>
      <c r="N924" s="27"/>
      <c r="O924" s="27"/>
      <c r="P924" s="27"/>
      <c r="Q924" s="27"/>
      <c r="R924" s="27"/>
      <c r="S924" s="27"/>
      <c r="T924" s="27"/>
      <c r="U924" s="27"/>
      <c r="V924" s="27"/>
      <c r="W924" s="27"/>
    </row>
    <row r="925" spans="1:23">
      <c r="A925" s="358"/>
      <c r="B925" s="359"/>
      <c r="C925" s="360"/>
      <c r="D925" s="27"/>
      <c r="E925" s="27"/>
      <c r="F925" s="27"/>
      <c r="G925" s="27"/>
      <c r="H925" s="27"/>
      <c r="I925" s="27"/>
      <c r="J925" s="27"/>
      <c r="K925" s="27"/>
      <c r="L925" s="27"/>
      <c r="M925" s="27"/>
      <c r="N925" s="27"/>
      <c r="O925" s="27"/>
      <c r="P925" s="27"/>
      <c r="Q925" s="27"/>
      <c r="R925" s="27"/>
      <c r="S925" s="27"/>
      <c r="T925" s="27"/>
      <c r="U925" s="27"/>
      <c r="V925" s="27"/>
      <c r="W925" s="27"/>
    </row>
    <row r="926" spans="1:23">
      <c r="A926" s="358"/>
      <c r="B926" s="359"/>
      <c r="C926" s="360"/>
      <c r="D926" s="27"/>
      <c r="E926" s="27"/>
      <c r="F926" s="27"/>
      <c r="G926" s="27"/>
      <c r="H926" s="27"/>
      <c r="I926" s="27"/>
      <c r="J926" s="27"/>
      <c r="K926" s="27"/>
      <c r="L926" s="27"/>
      <c r="M926" s="27"/>
      <c r="N926" s="27"/>
      <c r="O926" s="27"/>
      <c r="P926" s="27"/>
      <c r="Q926" s="27"/>
      <c r="R926" s="27"/>
      <c r="S926" s="27"/>
      <c r="T926" s="27"/>
      <c r="U926" s="27"/>
      <c r="V926" s="27"/>
      <c r="W926" s="27"/>
    </row>
    <row r="927" spans="1:23">
      <c r="A927" s="358"/>
      <c r="B927" s="359"/>
      <c r="C927" s="360"/>
      <c r="D927" s="27"/>
      <c r="E927" s="27"/>
      <c r="F927" s="27"/>
      <c r="G927" s="27"/>
      <c r="H927" s="27"/>
      <c r="I927" s="27"/>
      <c r="J927" s="27"/>
      <c r="K927" s="27"/>
      <c r="L927" s="27"/>
      <c r="M927" s="27"/>
      <c r="N927" s="27"/>
      <c r="O927" s="27"/>
      <c r="P927" s="27"/>
      <c r="Q927" s="27"/>
      <c r="R927" s="27"/>
      <c r="S927" s="27"/>
      <c r="T927" s="27"/>
      <c r="U927" s="27"/>
      <c r="V927" s="27"/>
      <c r="W927" s="27"/>
    </row>
    <row r="928" spans="1:23">
      <c r="A928" s="358"/>
      <c r="B928" s="359"/>
      <c r="C928" s="360"/>
      <c r="D928" s="27"/>
      <c r="E928" s="27"/>
      <c r="F928" s="27"/>
      <c r="G928" s="27"/>
      <c r="H928" s="27"/>
      <c r="I928" s="27"/>
      <c r="J928" s="27"/>
      <c r="K928" s="27"/>
      <c r="L928" s="27"/>
      <c r="M928" s="27"/>
      <c r="N928" s="27"/>
      <c r="O928" s="27"/>
      <c r="P928" s="27"/>
      <c r="Q928" s="27"/>
      <c r="R928" s="27"/>
      <c r="S928" s="27"/>
      <c r="T928" s="27"/>
      <c r="U928" s="27"/>
      <c r="V928" s="27"/>
      <c r="W928" s="27"/>
    </row>
    <row r="929" spans="1:23">
      <c r="A929" s="358"/>
      <c r="B929" s="359"/>
      <c r="C929" s="360"/>
      <c r="D929" s="27"/>
      <c r="E929" s="27"/>
      <c r="F929" s="27"/>
      <c r="G929" s="27"/>
      <c r="H929" s="27"/>
      <c r="I929" s="27"/>
      <c r="J929" s="27"/>
      <c r="K929" s="27"/>
      <c r="L929" s="27"/>
      <c r="M929" s="27"/>
      <c r="N929" s="27"/>
      <c r="O929" s="27"/>
      <c r="P929" s="27"/>
      <c r="Q929" s="27"/>
      <c r="R929" s="27"/>
      <c r="S929" s="27"/>
      <c r="T929" s="27"/>
      <c r="U929" s="27"/>
      <c r="V929" s="27"/>
      <c r="W929" s="27"/>
    </row>
    <row r="930" spans="1:23">
      <c r="A930" s="358"/>
      <c r="B930" s="359"/>
      <c r="C930" s="360"/>
      <c r="D930" s="27"/>
      <c r="E930" s="27"/>
      <c r="F930" s="27"/>
      <c r="G930" s="27"/>
      <c r="H930" s="27"/>
      <c r="I930" s="27"/>
      <c r="J930" s="27"/>
      <c r="K930" s="27"/>
      <c r="L930" s="27"/>
      <c r="M930" s="27"/>
      <c r="N930" s="27"/>
      <c r="O930" s="27"/>
      <c r="P930" s="27"/>
      <c r="Q930" s="27"/>
      <c r="R930" s="27"/>
      <c r="S930" s="27"/>
      <c r="T930" s="27"/>
      <c r="U930" s="27"/>
      <c r="V930" s="27"/>
      <c r="W930" s="27"/>
    </row>
    <row r="931" spans="1:23">
      <c r="A931" s="358"/>
      <c r="B931" s="359"/>
      <c r="C931" s="360"/>
      <c r="D931" s="27"/>
      <c r="E931" s="27"/>
      <c r="F931" s="27"/>
      <c r="G931" s="27"/>
      <c r="H931" s="27"/>
      <c r="I931" s="27"/>
      <c r="J931" s="27"/>
      <c r="K931" s="27"/>
      <c r="L931" s="27"/>
      <c r="M931" s="27"/>
      <c r="N931" s="27"/>
      <c r="O931" s="27"/>
      <c r="P931" s="27"/>
      <c r="Q931" s="27"/>
      <c r="R931" s="27"/>
      <c r="S931" s="27"/>
      <c r="T931" s="27"/>
      <c r="U931" s="27"/>
      <c r="V931" s="27"/>
      <c r="W931" s="27"/>
    </row>
    <row r="932" spans="1:23">
      <c r="A932" s="358"/>
      <c r="B932" s="359"/>
      <c r="C932" s="360"/>
      <c r="D932" s="27"/>
      <c r="E932" s="27"/>
      <c r="F932" s="27"/>
      <c r="G932" s="27"/>
      <c r="H932" s="27"/>
      <c r="I932" s="27"/>
      <c r="J932" s="27"/>
      <c r="K932" s="27"/>
      <c r="L932" s="27"/>
      <c r="M932" s="27"/>
      <c r="N932" s="27"/>
      <c r="O932" s="27"/>
      <c r="P932" s="27"/>
      <c r="Q932" s="27"/>
      <c r="R932" s="27"/>
      <c r="S932" s="27"/>
      <c r="T932" s="27"/>
      <c r="U932" s="27"/>
      <c r="V932" s="27"/>
      <c r="W932" s="27"/>
    </row>
    <row r="933" spans="1:23">
      <c r="A933" s="358"/>
      <c r="B933" s="359"/>
      <c r="C933" s="360"/>
      <c r="D933" s="27"/>
      <c r="E933" s="27"/>
      <c r="F933" s="27"/>
      <c r="G933" s="27"/>
      <c r="H933" s="27"/>
      <c r="I933" s="27"/>
      <c r="J933" s="27"/>
      <c r="K933" s="27"/>
      <c r="L933" s="27"/>
      <c r="M933" s="27"/>
      <c r="N933" s="27"/>
      <c r="O933" s="27"/>
      <c r="P933" s="27"/>
      <c r="Q933" s="27"/>
      <c r="R933" s="27"/>
      <c r="S933" s="27"/>
      <c r="T933" s="27"/>
      <c r="U933" s="27"/>
      <c r="V933" s="27"/>
      <c r="W933" s="27"/>
    </row>
    <row r="934" spans="1:23">
      <c r="A934" s="358"/>
      <c r="B934" s="359"/>
      <c r="C934" s="360"/>
      <c r="D934" s="27"/>
      <c r="E934" s="27"/>
      <c r="F934" s="27"/>
      <c r="G934" s="27"/>
      <c r="H934" s="27"/>
      <c r="I934" s="27"/>
      <c r="J934" s="27"/>
      <c r="K934" s="27"/>
      <c r="L934" s="27"/>
      <c r="M934" s="27"/>
      <c r="N934" s="27"/>
      <c r="O934" s="27"/>
      <c r="P934" s="27"/>
      <c r="Q934" s="27"/>
      <c r="R934" s="27"/>
      <c r="S934" s="27"/>
      <c r="T934" s="27"/>
      <c r="U934" s="27"/>
      <c r="V934" s="27"/>
      <c r="W934" s="27"/>
    </row>
    <row r="935" spans="1:23">
      <c r="A935" s="358"/>
      <c r="B935" s="359"/>
      <c r="C935" s="360"/>
      <c r="D935" s="27"/>
      <c r="E935" s="27"/>
      <c r="F935" s="27"/>
      <c r="G935" s="27"/>
      <c r="H935" s="27"/>
      <c r="I935" s="27"/>
      <c r="J935" s="27"/>
      <c r="K935" s="27"/>
      <c r="L935" s="27"/>
      <c r="M935" s="27"/>
      <c r="N935" s="27"/>
      <c r="O935" s="27"/>
      <c r="P935" s="27"/>
      <c r="Q935" s="27"/>
      <c r="R935" s="27"/>
      <c r="S935" s="27"/>
      <c r="T935" s="27"/>
      <c r="U935" s="27"/>
      <c r="V935" s="27"/>
      <c r="W935" s="27"/>
    </row>
    <row r="936" spans="1:23">
      <c r="A936" s="358"/>
      <c r="B936" s="359"/>
      <c r="C936" s="360"/>
      <c r="D936" s="27"/>
      <c r="E936" s="27"/>
      <c r="F936" s="27"/>
      <c r="G936" s="27"/>
      <c r="H936" s="27"/>
      <c r="I936" s="27"/>
      <c r="J936" s="27"/>
      <c r="K936" s="27"/>
      <c r="L936" s="27"/>
      <c r="M936" s="27"/>
      <c r="N936" s="27"/>
      <c r="O936" s="27"/>
      <c r="P936" s="27"/>
      <c r="Q936" s="27"/>
      <c r="R936" s="27"/>
      <c r="S936" s="27"/>
      <c r="T936" s="27"/>
      <c r="U936" s="27"/>
      <c r="V936" s="27"/>
      <c r="W936" s="27"/>
    </row>
    <row r="937" spans="1:23">
      <c r="A937" s="358"/>
      <c r="B937" s="359"/>
      <c r="C937" s="360"/>
      <c r="D937" s="27"/>
      <c r="E937" s="27"/>
      <c r="F937" s="27"/>
      <c r="G937" s="27"/>
      <c r="H937" s="27"/>
      <c r="I937" s="27"/>
      <c r="J937" s="27"/>
      <c r="K937" s="27"/>
      <c r="L937" s="27"/>
      <c r="M937" s="27"/>
      <c r="N937" s="27"/>
      <c r="O937" s="27"/>
      <c r="P937" s="27"/>
      <c r="Q937" s="27"/>
      <c r="R937" s="27"/>
      <c r="S937" s="27"/>
      <c r="T937" s="27"/>
      <c r="U937" s="27"/>
      <c r="V937" s="27"/>
      <c r="W937" s="27"/>
    </row>
    <row r="938" spans="1:23">
      <c r="A938" s="358"/>
      <c r="B938" s="359"/>
      <c r="C938" s="360"/>
      <c r="D938" s="27"/>
      <c r="E938" s="27"/>
      <c r="F938" s="27"/>
      <c r="G938" s="27"/>
      <c r="H938" s="27"/>
      <c r="I938" s="27"/>
      <c r="J938" s="27"/>
      <c r="K938" s="27"/>
      <c r="L938" s="27"/>
      <c r="M938" s="27"/>
      <c r="N938" s="27"/>
      <c r="O938" s="27"/>
      <c r="P938" s="27"/>
      <c r="Q938" s="27"/>
      <c r="R938" s="27"/>
      <c r="S938" s="27"/>
      <c r="T938" s="27"/>
      <c r="U938" s="27"/>
      <c r="V938" s="27"/>
      <c r="W938" s="27"/>
    </row>
    <row r="939" spans="1:23">
      <c r="A939" s="358"/>
      <c r="B939" s="359"/>
      <c r="C939" s="360"/>
      <c r="D939" s="27"/>
      <c r="E939" s="27"/>
      <c r="F939" s="27"/>
      <c r="G939" s="27"/>
      <c r="H939" s="27"/>
      <c r="I939" s="27"/>
      <c r="J939" s="27"/>
      <c r="K939" s="27"/>
      <c r="L939" s="27"/>
      <c r="M939" s="27"/>
      <c r="N939" s="27"/>
      <c r="O939" s="27"/>
      <c r="P939" s="27"/>
      <c r="Q939" s="27"/>
      <c r="R939" s="27"/>
      <c r="S939" s="27"/>
      <c r="T939" s="27"/>
      <c r="U939" s="27"/>
      <c r="V939" s="27"/>
      <c r="W939" s="27"/>
    </row>
    <row r="940" spans="1:23">
      <c r="A940" s="358"/>
      <c r="B940" s="359"/>
      <c r="C940" s="360"/>
      <c r="D940" s="27"/>
      <c r="E940" s="27"/>
      <c r="F940" s="27"/>
      <c r="G940" s="27"/>
      <c r="H940" s="27"/>
      <c r="I940" s="27"/>
      <c r="J940" s="27"/>
      <c r="K940" s="27"/>
      <c r="L940" s="27"/>
      <c r="M940" s="27"/>
      <c r="N940" s="27"/>
      <c r="O940" s="27"/>
      <c r="P940" s="27"/>
      <c r="Q940" s="27"/>
      <c r="R940" s="27"/>
      <c r="S940" s="27"/>
      <c r="T940" s="27"/>
      <c r="U940" s="27"/>
      <c r="V940" s="27"/>
      <c r="W940" s="27"/>
    </row>
    <row r="941" spans="1:23">
      <c r="A941" s="358"/>
      <c r="B941" s="359"/>
      <c r="C941" s="360"/>
      <c r="D941" s="27"/>
      <c r="E941" s="27"/>
      <c r="F941" s="27"/>
      <c r="G941" s="27"/>
      <c r="H941" s="27"/>
      <c r="I941" s="27"/>
      <c r="J941" s="27"/>
      <c r="K941" s="27"/>
      <c r="L941" s="27"/>
      <c r="M941" s="27"/>
      <c r="N941" s="27"/>
      <c r="O941" s="27"/>
      <c r="P941" s="27"/>
      <c r="Q941" s="27"/>
      <c r="R941" s="27"/>
      <c r="S941" s="27"/>
      <c r="T941" s="27"/>
      <c r="U941" s="27"/>
      <c r="V941" s="27"/>
      <c r="W941" s="27"/>
    </row>
    <row r="942" spans="1:23">
      <c r="A942" s="358"/>
      <c r="B942" s="359"/>
      <c r="C942" s="360"/>
      <c r="D942" s="27"/>
      <c r="E942" s="27"/>
      <c r="F942" s="27"/>
      <c r="G942" s="27"/>
      <c r="H942" s="27"/>
      <c r="I942" s="27"/>
      <c r="J942" s="27"/>
      <c r="K942" s="27"/>
      <c r="L942" s="27"/>
      <c r="M942" s="27"/>
      <c r="N942" s="27"/>
      <c r="O942" s="27"/>
      <c r="P942" s="27"/>
      <c r="Q942" s="27"/>
      <c r="R942" s="27"/>
      <c r="S942" s="27"/>
      <c r="T942" s="27"/>
      <c r="U942" s="27"/>
      <c r="V942" s="27"/>
      <c r="W942" s="27"/>
    </row>
    <row r="943" spans="1:23">
      <c r="A943" s="358"/>
      <c r="B943" s="359"/>
      <c r="C943" s="360"/>
      <c r="D943" s="27"/>
      <c r="E943" s="27"/>
      <c r="F943" s="27"/>
      <c r="G943" s="27"/>
      <c r="H943" s="27"/>
      <c r="I943" s="27"/>
      <c r="J943" s="27"/>
      <c r="K943" s="27"/>
      <c r="L943" s="27"/>
      <c r="M943" s="27"/>
      <c r="N943" s="27"/>
      <c r="O943" s="27"/>
      <c r="P943" s="27"/>
      <c r="Q943" s="27"/>
      <c r="R943" s="27"/>
      <c r="S943" s="27"/>
      <c r="T943" s="27"/>
      <c r="U943" s="27"/>
      <c r="V943" s="27"/>
      <c r="W943" s="27"/>
    </row>
    <row r="944" spans="1:23">
      <c r="A944" s="358"/>
      <c r="B944" s="359"/>
      <c r="C944" s="360"/>
      <c r="D944" s="27"/>
      <c r="E944" s="27"/>
      <c r="F944" s="27"/>
      <c r="G944" s="27"/>
      <c r="H944" s="27"/>
      <c r="I944" s="27"/>
      <c r="J944" s="27"/>
      <c r="K944" s="27"/>
      <c r="L944" s="27"/>
      <c r="M944" s="27"/>
      <c r="N944" s="27"/>
      <c r="O944" s="27"/>
      <c r="P944" s="27"/>
      <c r="Q944" s="27"/>
      <c r="R944" s="27"/>
      <c r="S944" s="27"/>
      <c r="T944" s="27"/>
      <c r="U944" s="27"/>
      <c r="V944" s="27"/>
      <c r="W944" s="27"/>
    </row>
    <row r="945" spans="1:23">
      <c r="A945" s="358"/>
      <c r="B945" s="359"/>
      <c r="C945" s="360"/>
      <c r="D945" s="27"/>
      <c r="E945" s="27"/>
      <c r="F945" s="27"/>
      <c r="G945" s="27"/>
      <c r="H945" s="27"/>
      <c r="I945" s="27"/>
      <c r="J945" s="27"/>
      <c r="K945" s="27"/>
      <c r="L945" s="27"/>
      <c r="M945" s="27"/>
      <c r="N945" s="27"/>
      <c r="O945" s="27"/>
      <c r="P945" s="27"/>
      <c r="Q945" s="27"/>
      <c r="R945" s="27"/>
      <c r="S945" s="27"/>
      <c r="T945" s="27"/>
      <c r="U945" s="27"/>
      <c r="V945" s="27"/>
      <c r="W945" s="27"/>
    </row>
    <row r="946" spans="1:23">
      <c r="A946" s="358"/>
      <c r="B946" s="359"/>
      <c r="C946" s="360"/>
      <c r="D946" s="27"/>
      <c r="E946" s="27"/>
      <c r="F946" s="27"/>
      <c r="G946" s="27"/>
      <c r="H946" s="27"/>
      <c r="I946" s="27"/>
      <c r="J946" s="27"/>
      <c r="K946" s="27"/>
      <c r="L946" s="27"/>
      <c r="M946" s="27"/>
      <c r="N946" s="27"/>
      <c r="O946" s="27"/>
      <c r="P946" s="27"/>
      <c r="Q946" s="27"/>
      <c r="R946" s="27"/>
      <c r="S946" s="27"/>
      <c r="T946" s="27"/>
      <c r="U946" s="27"/>
      <c r="V946" s="27"/>
      <c r="W946" s="27"/>
    </row>
    <row r="947" spans="1:23">
      <c r="A947" s="358"/>
      <c r="B947" s="359"/>
      <c r="C947" s="360"/>
      <c r="D947" s="27"/>
      <c r="E947" s="27"/>
      <c r="F947" s="27"/>
      <c r="G947" s="27"/>
      <c r="H947" s="27"/>
      <c r="I947" s="27"/>
      <c r="J947" s="27"/>
      <c r="K947" s="27"/>
      <c r="L947" s="27"/>
      <c r="M947" s="27"/>
      <c r="N947" s="27"/>
      <c r="O947" s="27"/>
      <c r="P947" s="27"/>
      <c r="Q947" s="27"/>
      <c r="R947" s="27"/>
      <c r="S947" s="27"/>
      <c r="T947" s="27"/>
      <c r="U947" s="27"/>
      <c r="V947" s="27"/>
      <c r="W947" s="27"/>
    </row>
    <row r="948" spans="1:23">
      <c r="A948" s="358"/>
      <c r="B948" s="359"/>
      <c r="C948" s="360"/>
      <c r="D948" s="27"/>
      <c r="E948" s="27"/>
      <c r="F948" s="27"/>
      <c r="G948" s="27"/>
      <c r="H948" s="27"/>
      <c r="I948" s="27"/>
      <c r="J948" s="27"/>
      <c r="K948" s="27"/>
      <c r="L948" s="27"/>
      <c r="M948" s="27"/>
      <c r="N948" s="27"/>
      <c r="O948" s="27"/>
      <c r="P948" s="27"/>
      <c r="Q948" s="27"/>
      <c r="R948" s="27"/>
      <c r="S948" s="27"/>
      <c r="T948" s="27"/>
      <c r="U948" s="27"/>
      <c r="V948" s="27"/>
      <c r="W948" s="27"/>
    </row>
    <row r="949" spans="1:23">
      <c r="A949" s="358"/>
      <c r="B949" s="359"/>
      <c r="C949" s="360"/>
      <c r="D949" s="27"/>
      <c r="E949" s="27"/>
      <c r="F949" s="27"/>
      <c r="G949" s="27"/>
      <c r="H949" s="27"/>
      <c r="I949" s="27"/>
      <c r="J949" s="27"/>
      <c r="K949" s="27"/>
      <c r="L949" s="27"/>
      <c r="M949" s="27"/>
      <c r="N949" s="27"/>
      <c r="O949" s="27"/>
      <c r="P949" s="27"/>
      <c r="Q949" s="27"/>
      <c r="R949" s="27"/>
      <c r="S949" s="27"/>
      <c r="T949" s="27"/>
      <c r="U949" s="27"/>
      <c r="V949" s="27"/>
      <c r="W949" s="27"/>
    </row>
    <row r="950" spans="1:23">
      <c r="A950" s="358"/>
      <c r="B950" s="359"/>
      <c r="C950" s="360"/>
      <c r="D950" s="27"/>
      <c r="E950" s="27"/>
      <c r="F950" s="27"/>
      <c r="G950" s="27"/>
      <c r="H950" s="27"/>
      <c r="I950" s="27"/>
      <c r="J950" s="27"/>
      <c r="K950" s="27"/>
      <c r="L950" s="27"/>
      <c r="M950" s="27"/>
      <c r="N950" s="27"/>
      <c r="O950" s="27"/>
      <c r="P950" s="27"/>
      <c r="Q950" s="27"/>
      <c r="R950" s="27"/>
      <c r="S950" s="27"/>
      <c r="T950" s="27"/>
      <c r="U950" s="27"/>
      <c r="V950" s="27"/>
      <c r="W950" s="27"/>
    </row>
    <row r="951" spans="1:23">
      <c r="A951" s="358"/>
      <c r="B951" s="359"/>
      <c r="C951" s="360"/>
      <c r="D951" s="27"/>
      <c r="E951" s="27"/>
      <c r="F951" s="27"/>
      <c r="G951" s="27"/>
      <c r="H951" s="27"/>
      <c r="I951" s="27"/>
      <c r="J951" s="27"/>
      <c r="K951" s="27"/>
      <c r="L951" s="27"/>
      <c r="M951" s="27"/>
      <c r="N951" s="27"/>
      <c r="O951" s="27"/>
      <c r="P951" s="27"/>
      <c r="Q951" s="27"/>
      <c r="R951" s="27"/>
      <c r="S951" s="27"/>
      <c r="T951" s="27"/>
      <c r="U951" s="27"/>
      <c r="V951" s="27"/>
      <c r="W951" s="27"/>
    </row>
    <row r="952" spans="1:23">
      <c r="A952" s="358"/>
      <c r="B952" s="359"/>
      <c r="C952" s="360"/>
      <c r="D952" s="27"/>
      <c r="E952" s="27"/>
      <c r="F952" s="27"/>
      <c r="G952" s="27"/>
      <c r="H952" s="27"/>
      <c r="I952" s="27"/>
      <c r="J952" s="27"/>
      <c r="K952" s="27"/>
      <c r="L952" s="27"/>
      <c r="M952" s="27"/>
      <c r="N952" s="27"/>
      <c r="O952" s="27"/>
      <c r="P952" s="27"/>
      <c r="Q952" s="27"/>
      <c r="R952" s="27"/>
      <c r="S952" s="27"/>
      <c r="T952" s="27"/>
      <c r="U952" s="27"/>
      <c r="V952" s="27"/>
      <c r="W952" s="27"/>
    </row>
    <row r="953" spans="1:23">
      <c r="A953" s="358"/>
      <c r="B953" s="359"/>
      <c r="C953" s="360"/>
      <c r="D953" s="27"/>
      <c r="E953" s="27"/>
      <c r="F953" s="27"/>
      <c r="G953" s="27"/>
      <c r="H953" s="27"/>
      <c r="I953" s="27"/>
      <c r="J953" s="27"/>
      <c r="K953" s="27"/>
      <c r="L953" s="27"/>
      <c r="M953" s="27"/>
      <c r="N953" s="27"/>
      <c r="O953" s="27"/>
      <c r="P953" s="27"/>
      <c r="Q953" s="27"/>
      <c r="R953" s="27"/>
      <c r="S953" s="27"/>
      <c r="T953" s="27"/>
      <c r="U953" s="27"/>
      <c r="V953" s="27"/>
      <c r="W953" s="27"/>
    </row>
    <row r="954" spans="1:23">
      <c r="A954" s="358"/>
      <c r="B954" s="359"/>
      <c r="C954" s="360"/>
      <c r="D954" s="27"/>
      <c r="E954" s="27"/>
      <c r="F954" s="27"/>
      <c r="G954" s="27"/>
      <c r="H954" s="27"/>
      <c r="I954" s="27"/>
      <c r="J954" s="27"/>
      <c r="K954" s="27"/>
      <c r="L954" s="27"/>
      <c r="M954" s="27"/>
      <c r="N954" s="27"/>
      <c r="O954" s="27"/>
      <c r="P954" s="27"/>
      <c r="Q954" s="27"/>
      <c r="R954" s="27"/>
      <c r="S954" s="27"/>
      <c r="T954" s="27"/>
      <c r="U954" s="27"/>
      <c r="V954" s="27"/>
      <c r="W954" s="27"/>
    </row>
    <row r="955" spans="1:23">
      <c r="A955" s="358"/>
      <c r="B955" s="359"/>
      <c r="C955" s="360"/>
      <c r="D955" s="27"/>
      <c r="E955" s="27"/>
      <c r="F955" s="27"/>
      <c r="G955" s="27"/>
      <c r="H955" s="27"/>
      <c r="I955" s="27"/>
      <c r="J955" s="27"/>
      <c r="K955" s="27"/>
      <c r="L955" s="27"/>
      <c r="M955" s="27"/>
      <c r="N955" s="27"/>
      <c r="O955" s="27"/>
      <c r="P955" s="27"/>
      <c r="Q955" s="27"/>
      <c r="R955" s="27"/>
      <c r="S955" s="27"/>
      <c r="T955" s="27"/>
      <c r="U955" s="27"/>
      <c r="V955" s="27"/>
      <c r="W955" s="27"/>
    </row>
    <row r="956" spans="1:23">
      <c r="A956" s="358"/>
      <c r="B956" s="359"/>
      <c r="C956" s="360"/>
      <c r="D956" s="27"/>
      <c r="E956" s="27"/>
      <c r="F956" s="27"/>
      <c r="G956" s="27"/>
      <c r="H956" s="27"/>
      <c r="I956" s="27"/>
      <c r="J956" s="27"/>
      <c r="K956" s="27"/>
      <c r="L956" s="27"/>
      <c r="M956" s="27"/>
      <c r="N956" s="27"/>
      <c r="O956" s="27"/>
      <c r="P956" s="27"/>
      <c r="Q956" s="27"/>
      <c r="R956" s="27"/>
      <c r="S956" s="27"/>
      <c r="T956" s="27"/>
      <c r="U956" s="27"/>
      <c r="V956" s="27"/>
      <c r="W956" s="27"/>
    </row>
    <row r="957" spans="1:23">
      <c r="A957" s="358"/>
      <c r="B957" s="359"/>
      <c r="C957" s="360"/>
      <c r="D957" s="27"/>
      <c r="E957" s="27"/>
      <c r="F957" s="27"/>
      <c r="G957" s="27"/>
      <c r="H957" s="27"/>
      <c r="I957" s="27"/>
      <c r="J957" s="27"/>
      <c r="K957" s="27"/>
      <c r="L957" s="27"/>
      <c r="M957" s="27"/>
      <c r="N957" s="27"/>
      <c r="O957" s="27"/>
      <c r="P957" s="27"/>
      <c r="Q957" s="27"/>
      <c r="R957" s="27"/>
      <c r="S957" s="27"/>
      <c r="T957" s="27"/>
      <c r="U957" s="27"/>
      <c r="V957" s="27"/>
      <c r="W957" s="27"/>
    </row>
    <row r="958" spans="1:23">
      <c r="A958" s="358"/>
      <c r="B958" s="359"/>
      <c r="C958" s="360"/>
      <c r="D958" s="27"/>
      <c r="E958" s="27"/>
      <c r="F958" s="27"/>
      <c r="G958" s="27"/>
      <c r="H958" s="27"/>
      <c r="I958" s="27"/>
      <c r="J958" s="27"/>
      <c r="K958" s="27"/>
      <c r="L958" s="27"/>
      <c r="M958" s="27"/>
      <c r="N958" s="27"/>
      <c r="O958" s="27"/>
      <c r="P958" s="27"/>
      <c r="Q958" s="27"/>
      <c r="R958" s="27"/>
      <c r="S958" s="27"/>
      <c r="T958" s="27"/>
      <c r="U958" s="27"/>
      <c r="V958" s="27"/>
      <c r="W958" s="27"/>
    </row>
    <row r="959" spans="1:23">
      <c r="A959" s="358"/>
      <c r="B959" s="359"/>
      <c r="C959" s="360"/>
      <c r="D959" s="27"/>
      <c r="E959" s="27"/>
      <c r="F959" s="27"/>
      <c r="G959" s="27"/>
      <c r="H959" s="27"/>
      <c r="I959" s="27"/>
      <c r="J959" s="27"/>
      <c r="K959" s="27"/>
      <c r="L959" s="27"/>
      <c r="M959" s="27"/>
      <c r="N959" s="27"/>
      <c r="O959" s="27"/>
      <c r="P959" s="27"/>
      <c r="Q959" s="27"/>
      <c r="R959" s="27"/>
      <c r="S959" s="27"/>
      <c r="T959" s="27"/>
      <c r="U959" s="27"/>
      <c r="V959" s="27"/>
      <c r="W959" s="27"/>
    </row>
    <row r="960" spans="1:23">
      <c r="A960" s="358"/>
      <c r="B960" s="359"/>
      <c r="C960" s="360"/>
      <c r="D960" s="27"/>
      <c r="E960" s="27"/>
      <c r="F960" s="27"/>
      <c r="G960" s="27"/>
      <c r="H960" s="27"/>
      <c r="I960" s="27"/>
      <c r="J960" s="27"/>
      <c r="K960" s="27"/>
      <c r="L960" s="27"/>
      <c r="M960" s="27"/>
      <c r="N960" s="27"/>
      <c r="O960" s="27"/>
      <c r="P960" s="27"/>
      <c r="Q960" s="27"/>
      <c r="R960" s="27"/>
      <c r="S960" s="27"/>
      <c r="T960" s="27"/>
      <c r="U960" s="27"/>
      <c r="V960" s="27"/>
      <c r="W960" s="27"/>
    </row>
    <row r="961" spans="1:23">
      <c r="A961" s="358"/>
      <c r="B961" s="359"/>
      <c r="C961" s="360"/>
      <c r="D961" s="27"/>
      <c r="E961" s="27"/>
      <c r="F961" s="27"/>
      <c r="G961" s="27"/>
      <c r="H961" s="27"/>
      <c r="I961" s="27"/>
      <c r="J961" s="27"/>
      <c r="K961" s="27"/>
      <c r="L961" s="27"/>
      <c r="M961" s="27"/>
      <c r="N961" s="27"/>
      <c r="O961" s="27"/>
      <c r="P961" s="27"/>
      <c r="Q961" s="27"/>
      <c r="R961" s="27"/>
      <c r="S961" s="27"/>
      <c r="T961" s="27"/>
      <c r="U961" s="27"/>
      <c r="V961" s="27"/>
      <c r="W961" s="27"/>
    </row>
    <row r="962" spans="1:23">
      <c r="A962" s="358"/>
      <c r="B962" s="359"/>
      <c r="C962" s="360"/>
      <c r="D962" s="27"/>
      <c r="E962" s="27"/>
      <c r="F962" s="27"/>
      <c r="G962" s="27"/>
      <c r="H962" s="27"/>
      <c r="I962" s="27"/>
      <c r="J962" s="27"/>
      <c r="K962" s="27"/>
      <c r="L962" s="27"/>
      <c r="M962" s="27"/>
      <c r="N962" s="27"/>
      <c r="O962" s="27"/>
      <c r="P962" s="27"/>
      <c r="Q962" s="27"/>
      <c r="R962" s="27"/>
      <c r="S962" s="27"/>
      <c r="T962" s="27"/>
      <c r="U962" s="27"/>
      <c r="V962" s="27"/>
      <c r="W962" s="27"/>
    </row>
    <row r="963" spans="1:23">
      <c r="A963" s="358"/>
      <c r="B963" s="359"/>
      <c r="C963" s="360"/>
      <c r="D963" s="27"/>
      <c r="E963" s="27"/>
      <c r="F963" s="27"/>
      <c r="G963" s="27"/>
      <c r="H963" s="27"/>
      <c r="I963" s="27"/>
      <c r="J963" s="27"/>
      <c r="K963" s="27"/>
      <c r="L963" s="27"/>
      <c r="M963" s="27"/>
      <c r="N963" s="27"/>
      <c r="O963" s="27"/>
      <c r="P963" s="27"/>
      <c r="Q963" s="27"/>
      <c r="R963" s="27"/>
      <c r="S963" s="27"/>
      <c r="T963" s="27"/>
      <c r="U963" s="27"/>
      <c r="V963" s="27"/>
      <c r="W963" s="27"/>
    </row>
    <row r="964" spans="1:23">
      <c r="A964" s="358"/>
      <c r="B964" s="359"/>
      <c r="C964" s="360"/>
      <c r="D964" s="27"/>
      <c r="E964" s="27"/>
      <c r="F964" s="27"/>
      <c r="G964" s="27"/>
      <c r="H964" s="27"/>
      <c r="I964" s="27"/>
      <c r="J964" s="27"/>
      <c r="K964" s="27"/>
      <c r="L964" s="27"/>
      <c r="M964" s="27"/>
      <c r="N964" s="27"/>
      <c r="O964" s="27"/>
      <c r="P964" s="27"/>
      <c r="Q964" s="27"/>
      <c r="R964" s="27"/>
      <c r="S964" s="27"/>
      <c r="T964" s="27"/>
      <c r="U964" s="27"/>
      <c r="V964" s="27"/>
      <c r="W964" s="27"/>
    </row>
    <row r="965" spans="1:23">
      <c r="A965" s="358"/>
      <c r="B965" s="359"/>
      <c r="C965" s="360"/>
      <c r="D965" s="27"/>
      <c r="E965" s="27"/>
      <c r="F965" s="27"/>
      <c r="G965" s="27"/>
      <c r="H965" s="27"/>
      <c r="I965" s="27"/>
      <c r="J965" s="27"/>
      <c r="K965" s="27"/>
      <c r="L965" s="27"/>
      <c r="M965" s="27"/>
      <c r="N965" s="27"/>
      <c r="O965" s="27"/>
      <c r="P965" s="27"/>
      <c r="Q965" s="27"/>
      <c r="R965" s="27"/>
      <c r="S965" s="27"/>
      <c r="T965" s="27"/>
      <c r="U965" s="27"/>
      <c r="V965" s="27"/>
      <c r="W965" s="27"/>
    </row>
    <row r="966" spans="1:23">
      <c r="A966" s="358"/>
      <c r="B966" s="359"/>
      <c r="C966" s="360"/>
      <c r="D966" s="27"/>
      <c r="E966" s="27"/>
      <c r="F966" s="27"/>
      <c r="G966" s="27"/>
      <c r="H966" s="27"/>
      <c r="I966" s="27"/>
      <c r="J966" s="27"/>
      <c r="K966" s="27"/>
      <c r="L966" s="27"/>
      <c r="M966" s="27"/>
      <c r="N966" s="27"/>
      <c r="O966" s="27"/>
      <c r="P966" s="27"/>
      <c r="Q966" s="27"/>
      <c r="R966" s="27"/>
      <c r="S966" s="27"/>
      <c r="T966" s="27"/>
      <c r="U966" s="27"/>
      <c r="V966" s="27"/>
      <c r="W966" s="27"/>
    </row>
    <row r="967" spans="1:23">
      <c r="A967" s="358"/>
      <c r="B967" s="359"/>
      <c r="C967" s="360"/>
      <c r="D967" s="27"/>
      <c r="E967" s="27"/>
      <c r="F967" s="27"/>
      <c r="G967" s="27"/>
      <c r="H967" s="27"/>
      <c r="I967" s="27"/>
      <c r="J967" s="27"/>
      <c r="K967" s="27"/>
      <c r="L967" s="27"/>
      <c r="M967" s="27"/>
      <c r="N967" s="27"/>
      <c r="O967" s="27"/>
      <c r="P967" s="27"/>
      <c r="Q967" s="27"/>
      <c r="R967" s="27"/>
      <c r="S967" s="27"/>
      <c r="T967" s="27"/>
      <c r="U967" s="27"/>
      <c r="V967" s="27"/>
      <c r="W967" s="27"/>
    </row>
    <row r="968" spans="1:23">
      <c r="A968" s="358"/>
      <c r="B968" s="359"/>
      <c r="C968" s="360"/>
      <c r="D968" s="27"/>
      <c r="E968" s="27"/>
      <c r="F968" s="27"/>
      <c r="G968" s="27"/>
      <c r="H968" s="27"/>
      <c r="I968" s="27"/>
      <c r="J968" s="27"/>
      <c r="K968" s="27"/>
      <c r="L968" s="27"/>
      <c r="M968" s="27"/>
      <c r="N968" s="27"/>
      <c r="O968" s="27"/>
      <c r="P968" s="27"/>
      <c r="Q968" s="27"/>
      <c r="R968" s="27"/>
      <c r="S968" s="27"/>
      <c r="T968" s="27"/>
      <c r="U968" s="27"/>
      <c r="V968" s="27"/>
      <c r="W968" s="27"/>
    </row>
    <row r="969" spans="1:23">
      <c r="A969" s="358"/>
      <c r="B969" s="359"/>
      <c r="C969" s="360"/>
      <c r="D969" s="27"/>
      <c r="E969" s="27"/>
      <c r="F969" s="27"/>
      <c r="G969" s="27"/>
      <c r="H969" s="27"/>
      <c r="I969" s="27"/>
      <c r="J969" s="27"/>
      <c r="K969" s="27"/>
      <c r="L969" s="27"/>
      <c r="M969" s="27"/>
      <c r="N969" s="27"/>
      <c r="O969" s="27"/>
      <c r="P969" s="27"/>
      <c r="Q969" s="27"/>
      <c r="R969" s="27"/>
      <c r="S969" s="27"/>
      <c r="T969" s="27"/>
      <c r="U969" s="27"/>
      <c r="V969" s="27"/>
      <c r="W969" s="27"/>
    </row>
    <row r="970" spans="1:23">
      <c r="A970" s="358"/>
      <c r="B970" s="359"/>
      <c r="C970" s="360"/>
      <c r="D970" s="27"/>
      <c r="E970" s="27"/>
      <c r="F970" s="27"/>
      <c r="G970" s="27"/>
      <c r="H970" s="27"/>
      <c r="I970" s="27"/>
      <c r="J970" s="27"/>
      <c r="K970" s="27"/>
      <c r="L970" s="27"/>
      <c r="M970" s="27"/>
      <c r="N970" s="27"/>
      <c r="O970" s="27"/>
      <c r="P970" s="27"/>
      <c r="Q970" s="27"/>
      <c r="R970" s="27"/>
      <c r="S970" s="27"/>
      <c r="T970" s="27"/>
      <c r="U970" s="27"/>
      <c r="V970" s="27"/>
      <c r="W970" s="27"/>
    </row>
    <row r="971" spans="1:23">
      <c r="A971" s="358"/>
      <c r="B971" s="359"/>
      <c r="C971" s="360"/>
      <c r="D971" s="27"/>
      <c r="E971" s="27"/>
      <c r="F971" s="27"/>
      <c r="G971" s="27"/>
      <c r="H971" s="27"/>
      <c r="I971" s="27"/>
      <c r="J971" s="27"/>
      <c r="K971" s="27"/>
      <c r="L971" s="27"/>
      <c r="M971" s="27"/>
      <c r="N971" s="27"/>
      <c r="O971" s="27"/>
      <c r="P971" s="27"/>
      <c r="Q971" s="27"/>
      <c r="R971" s="27"/>
      <c r="S971" s="27"/>
      <c r="T971" s="27"/>
      <c r="U971" s="27"/>
      <c r="V971" s="27"/>
      <c r="W971" s="27"/>
    </row>
    <row r="972" spans="1:23">
      <c r="A972" s="358"/>
      <c r="B972" s="359"/>
      <c r="C972" s="360"/>
      <c r="D972" s="27"/>
      <c r="E972" s="27"/>
      <c r="F972" s="27"/>
      <c r="G972" s="27"/>
      <c r="H972" s="27"/>
      <c r="I972" s="27"/>
      <c r="J972" s="27"/>
      <c r="K972" s="27"/>
      <c r="L972" s="27"/>
      <c r="M972" s="27"/>
      <c r="N972" s="27"/>
      <c r="O972" s="27"/>
      <c r="P972" s="27"/>
      <c r="Q972" s="27"/>
      <c r="R972" s="27"/>
      <c r="S972" s="27"/>
      <c r="T972" s="27"/>
      <c r="U972" s="27"/>
      <c r="V972" s="27"/>
      <c r="W972" s="27"/>
    </row>
    <row r="973" spans="1:23">
      <c r="A973" s="358"/>
      <c r="B973" s="359"/>
      <c r="C973" s="360"/>
      <c r="D973" s="27"/>
      <c r="E973" s="27"/>
      <c r="F973" s="27"/>
      <c r="G973" s="27"/>
      <c r="H973" s="27"/>
      <c r="I973" s="27"/>
      <c r="J973" s="27"/>
      <c r="K973" s="27"/>
      <c r="L973" s="27"/>
      <c r="M973" s="27"/>
      <c r="N973" s="27"/>
      <c r="O973" s="27"/>
      <c r="P973" s="27"/>
      <c r="Q973" s="27"/>
      <c r="R973" s="27"/>
      <c r="S973" s="27"/>
      <c r="T973" s="27"/>
      <c r="U973" s="27"/>
      <c r="V973" s="27"/>
      <c r="W973" s="27"/>
    </row>
    <row r="974" spans="1:23">
      <c r="A974" s="358"/>
      <c r="B974" s="359"/>
      <c r="C974" s="360"/>
      <c r="D974" s="27"/>
      <c r="E974" s="27"/>
      <c r="F974" s="27"/>
      <c r="G974" s="27"/>
      <c r="H974" s="27"/>
      <c r="I974" s="27"/>
      <c r="J974" s="27"/>
      <c r="K974" s="27"/>
      <c r="L974" s="27"/>
      <c r="M974" s="27"/>
      <c r="N974" s="27"/>
      <c r="O974" s="27"/>
      <c r="P974" s="27"/>
      <c r="Q974" s="27"/>
      <c r="R974" s="27"/>
      <c r="S974" s="27"/>
      <c r="T974" s="27"/>
      <c r="U974" s="27"/>
      <c r="V974" s="27"/>
      <c r="W974" s="27"/>
    </row>
    <row r="975" spans="1:23">
      <c r="A975" s="358"/>
      <c r="B975" s="359"/>
      <c r="C975" s="360"/>
      <c r="D975" s="27"/>
      <c r="E975" s="27"/>
      <c r="F975" s="27"/>
      <c r="G975" s="27"/>
      <c r="H975" s="27"/>
      <c r="I975" s="27"/>
      <c r="J975" s="27"/>
      <c r="K975" s="27"/>
      <c r="L975" s="27"/>
      <c r="M975" s="27"/>
      <c r="N975" s="27"/>
      <c r="O975" s="27"/>
      <c r="P975" s="27"/>
      <c r="Q975" s="27"/>
      <c r="R975" s="27"/>
      <c r="S975" s="27"/>
      <c r="T975" s="27"/>
      <c r="U975" s="27"/>
      <c r="V975" s="27"/>
      <c r="W975" s="27"/>
    </row>
    <row r="976" spans="1:23">
      <c r="A976" s="358"/>
      <c r="B976" s="359"/>
      <c r="C976" s="360"/>
      <c r="D976" s="27"/>
      <c r="E976" s="27"/>
      <c r="F976" s="27"/>
      <c r="G976" s="27"/>
      <c r="H976" s="27"/>
      <c r="I976" s="27"/>
      <c r="J976" s="27"/>
      <c r="K976" s="27"/>
      <c r="L976" s="27"/>
      <c r="M976" s="27"/>
      <c r="N976" s="27"/>
      <c r="O976" s="27"/>
      <c r="P976" s="27"/>
      <c r="Q976" s="27"/>
      <c r="R976" s="27"/>
      <c r="S976" s="27"/>
      <c r="T976" s="27"/>
      <c r="U976" s="27"/>
      <c r="V976" s="27"/>
      <c r="W976" s="27"/>
    </row>
    <row r="977" spans="1:23">
      <c r="A977" s="358"/>
      <c r="B977" s="359"/>
      <c r="C977" s="360"/>
      <c r="D977" s="27"/>
      <c r="E977" s="27"/>
      <c r="F977" s="27"/>
      <c r="G977" s="27"/>
      <c r="H977" s="27"/>
      <c r="I977" s="27"/>
      <c r="J977" s="27"/>
      <c r="K977" s="27"/>
      <c r="L977" s="27"/>
      <c r="M977" s="27"/>
      <c r="N977" s="27"/>
      <c r="O977" s="27"/>
      <c r="P977" s="27"/>
      <c r="Q977" s="27"/>
      <c r="R977" s="27"/>
      <c r="S977" s="27"/>
      <c r="T977" s="27"/>
      <c r="U977" s="27"/>
      <c r="V977" s="27"/>
      <c r="W977" s="27"/>
    </row>
    <row r="978" spans="1:23">
      <c r="A978" s="358"/>
      <c r="B978" s="359"/>
      <c r="C978" s="360"/>
      <c r="D978" s="27"/>
      <c r="E978" s="27"/>
      <c r="F978" s="27"/>
      <c r="G978" s="27"/>
      <c r="H978" s="27"/>
      <c r="I978" s="27"/>
      <c r="J978" s="27"/>
      <c r="K978" s="27"/>
      <c r="L978" s="27"/>
      <c r="M978" s="27"/>
      <c r="N978" s="27"/>
      <c r="O978" s="27"/>
      <c r="P978" s="27"/>
      <c r="Q978" s="27"/>
      <c r="R978" s="27"/>
      <c r="S978" s="27"/>
      <c r="T978" s="27"/>
      <c r="U978" s="27"/>
      <c r="V978" s="27"/>
      <c r="W978" s="27"/>
    </row>
    <row r="979" spans="1:23">
      <c r="A979" s="358"/>
      <c r="B979" s="359"/>
      <c r="C979" s="360"/>
      <c r="D979" s="27"/>
      <c r="E979" s="27"/>
      <c r="F979" s="27"/>
      <c r="G979" s="27"/>
      <c r="H979" s="27"/>
      <c r="I979" s="27"/>
      <c r="J979" s="27"/>
      <c r="K979" s="27"/>
      <c r="L979" s="27"/>
      <c r="M979" s="27"/>
      <c r="N979" s="27"/>
      <c r="O979" s="27"/>
      <c r="P979" s="27"/>
      <c r="Q979" s="27"/>
      <c r="R979" s="27"/>
      <c r="S979" s="27"/>
      <c r="T979" s="27"/>
      <c r="U979" s="27"/>
      <c r="V979" s="27"/>
      <c r="W979" s="27"/>
    </row>
    <row r="980" spans="1:23">
      <c r="A980" s="358"/>
      <c r="B980" s="359"/>
      <c r="C980" s="360"/>
      <c r="D980" s="27"/>
      <c r="E980" s="27"/>
      <c r="F980" s="27"/>
      <c r="G980" s="27"/>
      <c r="H980" s="27"/>
      <c r="I980" s="27"/>
      <c r="J980" s="27"/>
      <c r="K980" s="27"/>
      <c r="L980" s="27"/>
      <c r="M980" s="27"/>
      <c r="N980" s="27"/>
      <c r="O980" s="27"/>
      <c r="P980" s="27"/>
      <c r="Q980" s="27"/>
      <c r="R980" s="27"/>
      <c r="S980" s="27"/>
      <c r="T980" s="27"/>
      <c r="U980" s="27"/>
      <c r="V980" s="27"/>
      <c r="W980" s="27"/>
    </row>
    <row r="981" spans="1:23">
      <c r="A981" s="358"/>
      <c r="B981" s="359"/>
      <c r="C981" s="360"/>
      <c r="D981" s="27"/>
      <c r="E981" s="27"/>
      <c r="F981" s="27"/>
      <c r="G981" s="27"/>
      <c r="H981" s="27"/>
      <c r="I981" s="27"/>
      <c r="J981" s="27"/>
      <c r="K981" s="27"/>
      <c r="L981" s="27"/>
      <c r="M981" s="27"/>
      <c r="N981" s="27"/>
      <c r="O981" s="27"/>
      <c r="P981" s="27"/>
      <c r="Q981" s="27"/>
      <c r="R981" s="27"/>
      <c r="S981" s="27"/>
      <c r="T981" s="27"/>
      <c r="U981" s="27"/>
      <c r="V981" s="27"/>
      <c r="W981" s="27"/>
    </row>
    <row r="982" spans="1:23">
      <c r="A982" s="358"/>
      <c r="B982" s="359"/>
      <c r="C982" s="360"/>
      <c r="D982" s="27"/>
      <c r="E982" s="27"/>
      <c r="F982" s="27"/>
      <c r="G982" s="27"/>
      <c r="H982" s="27"/>
      <c r="I982" s="27"/>
      <c r="J982" s="27"/>
      <c r="K982" s="27"/>
      <c r="L982" s="27"/>
      <c r="M982" s="27"/>
      <c r="N982" s="27"/>
      <c r="O982" s="27"/>
      <c r="P982" s="27"/>
      <c r="Q982" s="27"/>
      <c r="R982" s="27"/>
      <c r="S982" s="27"/>
      <c r="T982" s="27"/>
      <c r="U982" s="27"/>
      <c r="V982" s="27"/>
      <c r="W982" s="27"/>
    </row>
    <row r="983" spans="1:23">
      <c r="A983" s="358"/>
      <c r="B983" s="359"/>
      <c r="C983" s="360"/>
      <c r="D983" s="27"/>
      <c r="E983" s="27"/>
      <c r="F983" s="27"/>
      <c r="G983" s="27"/>
      <c r="H983" s="27"/>
      <c r="I983" s="27"/>
      <c r="J983" s="27"/>
      <c r="K983" s="27"/>
      <c r="L983" s="27"/>
      <c r="M983" s="27"/>
      <c r="N983" s="27"/>
      <c r="O983" s="27"/>
      <c r="P983" s="27"/>
      <c r="Q983" s="27"/>
      <c r="R983" s="27"/>
      <c r="S983" s="27"/>
      <c r="T983" s="27"/>
      <c r="U983" s="27"/>
      <c r="V983" s="27"/>
      <c r="W983" s="27"/>
    </row>
    <row r="984" spans="1:23">
      <c r="A984" s="358"/>
      <c r="B984" s="359"/>
      <c r="C984" s="360"/>
      <c r="D984" s="27"/>
      <c r="E984" s="27"/>
      <c r="F984" s="27"/>
      <c r="G984" s="27"/>
      <c r="H984" s="27"/>
      <c r="I984" s="27"/>
      <c r="J984" s="27"/>
      <c r="K984" s="27"/>
      <c r="L984" s="27"/>
      <c r="M984" s="27"/>
      <c r="N984" s="27"/>
      <c r="O984" s="27"/>
      <c r="P984" s="27"/>
      <c r="Q984" s="27"/>
      <c r="R984" s="27"/>
      <c r="S984" s="27"/>
      <c r="T984" s="27"/>
      <c r="U984" s="27"/>
      <c r="V984" s="27"/>
      <c r="W984" s="27"/>
    </row>
    <row r="985" spans="1:23">
      <c r="A985" s="358"/>
      <c r="B985" s="359"/>
      <c r="C985" s="360"/>
      <c r="D985" s="27"/>
      <c r="E985" s="27"/>
      <c r="F985" s="27"/>
      <c r="G985" s="27"/>
      <c r="H985" s="27"/>
      <c r="I985" s="27"/>
      <c r="J985" s="27"/>
      <c r="K985" s="27"/>
      <c r="L985" s="27"/>
      <c r="M985" s="27"/>
      <c r="N985" s="27"/>
      <c r="O985" s="27"/>
      <c r="P985" s="27"/>
      <c r="Q985" s="27"/>
      <c r="R985" s="27"/>
      <c r="S985" s="27"/>
      <c r="T985" s="27"/>
      <c r="U985" s="27"/>
      <c r="V985" s="27"/>
      <c r="W985" s="27"/>
    </row>
    <row r="986" spans="1:23">
      <c r="A986" s="358"/>
      <c r="B986" s="359"/>
      <c r="C986" s="360"/>
      <c r="D986" s="27"/>
      <c r="E986" s="27"/>
      <c r="F986" s="27"/>
      <c r="G986" s="27"/>
      <c r="H986" s="27"/>
      <c r="I986" s="27"/>
      <c r="J986" s="27"/>
      <c r="K986" s="27"/>
      <c r="L986" s="27"/>
      <c r="M986" s="27"/>
      <c r="N986" s="27"/>
      <c r="O986" s="27"/>
      <c r="P986" s="27"/>
      <c r="Q986" s="27"/>
      <c r="R986" s="27"/>
      <c r="S986" s="27"/>
      <c r="T986" s="27"/>
      <c r="U986" s="27"/>
      <c r="V986" s="27"/>
      <c r="W986" s="27"/>
    </row>
    <row r="987" spans="1:23">
      <c r="A987" s="358"/>
      <c r="B987" s="359"/>
      <c r="C987" s="360"/>
      <c r="D987" s="27"/>
      <c r="E987" s="27"/>
      <c r="F987" s="27"/>
      <c r="G987" s="27"/>
      <c r="H987" s="27"/>
      <c r="I987" s="27"/>
      <c r="J987" s="27"/>
      <c r="K987" s="27"/>
      <c r="L987" s="27"/>
      <c r="M987" s="27"/>
      <c r="N987" s="27"/>
      <c r="O987" s="27"/>
      <c r="P987" s="27"/>
      <c r="Q987" s="27"/>
      <c r="R987" s="27"/>
      <c r="S987" s="27"/>
      <c r="T987" s="27"/>
      <c r="U987" s="27"/>
      <c r="V987" s="27"/>
      <c r="W987" s="27"/>
    </row>
    <row r="988" spans="1:23">
      <c r="A988" s="358"/>
      <c r="B988" s="359"/>
      <c r="C988" s="360"/>
      <c r="D988" s="27"/>
      <c r="E988" s="27"/>
      <c r="F988" s="27"/>
      <c r="G988" s="27"/>
      <c r="H988" s="27"/>
      <c r="I988" s="27"/>
      <c r="J988" s="27"/>
      <c r="K988" s="27"/>
      <c r="L988" s="27"/>
      <c r="M988" s="27"/>
      <c r="N988" s="27"/>
      <c r="O988" s="27"/>
      <c r="P988" s="27"/>
      <c r="Q988" s="27"/>
      <c r="R988" s="27"/>
      <c r="S988" s="27"/>
      <c r="T988" s="27"/>
      <c r="U988" s="27"/>
      <c r="V988" s="27"/>
      <c r="W988" s="27"/>
    </row>
    <row r="989" spans="1:23">
      <c r="A989" s="358"/>
      <c r="B989" s="359"/>
      <c r="C989" s="360"/>
      <c r="D989" s="27"/>
      <c r="E989" s="27"/>
      <c r="F989" s="27"/>
      <c r="G989" s="27"/>
      <c r="H989" s="27"/>
      <c r="I989" s="27"/>
      <c r="J989" s="27"/>
      <c r="K989" s="27"/>
      <c r="L989" s="27"/>
      <c r="M989" s="27"/>
      <c r="N989" s="27"/>
      <c r="O989" s="27"/>
      <c r="P989" s="27"/>
      <c r="Q989" s="27"/>
      <c r="R989" s="27"/>
      <c r="S989" s="27"/>
      <c r="T989" s="27"/>
      <c r="U989" s="27"/>
      <c r="V989" s="27"/>
      <c r="W989" s="27"/>
    </row>
    <row r="990" spans="1:23">
      <c r="A990" s="358"/>
      <c r="B990" s="359"/>
      <c r="C990" s="360"/>
      <c r="D990" s="27"/>
      <c r="E990" s="27"/>
      <c r="F990" s="27"/>
      <c r="G990" s="27"/>
      <c r="H990" s="27"/>
      <c r="I990" s="27"/>
      <c r="J990" s="27"/>
      <c r="K990" s="27"/>
      <c r="L990" s="27"/>
      <c r="M990" s="27"/>
      <c r="N990" s="27"/>
      <c r="O990" s="27"/>
      <c r="P990" s="27"/>
      <c r="Q990" s="27"/>
      <c r="R990" s="27"/>
      <c r="S990" s="27"/>
      <c r="T990" s="27"/>
      <c r="U990" s="27"/>
      <c r="V990" s="27"/>
      <c r="W990" s="27"/>
    </row>
    <row r="991" spans="1:23">
      <c r="A991" s="358"/>
      <c r="B991" s="359"/>
      <c r="C991" s="360"/>
      <c r="D991" s="27"/>
      <c r="E991" s="27"/>
      <c r="F991" s="27"/>
      <c r="G991" s="27"/>
      <c r="H991" s="27"/>
      <c r="I991" s="27"/>
      <c r="J991" s="27"/>
      <c r="K991" s="27"/>
      <c r="L991" s="27"/>
      <c r="M991" s="27"/>
      <c r="N991" s="27"/>
      <c r="O991" s="27"/>
      <c r="P991" s="27"/>
      <c r="Q991" s="27"/>
      <c r="R991" s="27"/>
      <c r="S991" s="27"/>
      <c r="T991" s="27"/>
      <c r="U991" s="27"/>
      <c r="V991" s="27"/>
      <c r="W991" s="27"/>
    </row>
    <row r="992" spans="1:23">
      <c r="A992" s="358"/>
      <c r="B992" s="359"/>
      <c r="C992" s="360"/>
      <c r="D992" s="27"/>
      <c r="E992" s="27"/>
      <c r="F992" s="27"/>
      <c r="G992" s="27"/>
      <c r="H992" s="27"/>
      <c r="I992" s="27"/>
      <c r="J992" s="27"/>
      <c r="K992" s="27"/>
      <c r="L992" s="27"/>
      <c r="M992" s="27"/>
      <c r="N992" s="27"/>
      <c r="O992" s="27"/>
      <c r="P992" s="27"/>
      <c r="Q992" s="27"/>
      <c r="R992" s="27"/>
      <c r="S992" s="27"/>
      <c r="T992" s="27"/>
      <c r="U992" s="27"/>
      <c r="V992" s="27"/>
      <c r="W992" s="27"/>
    </row>
    <row r="993" spans="1:23">
      <c r="A993" s="358"/>
      <c r="B993" s="359"/>
      <c r="C993" s="360"/>
      <c r="D993" s="27"/>
      <c r="E993" s="27"/>
      <c r="F993" s="27"/>
      <c r="G993" s="27"/>
      <c r="H993" s="27"/>
      <c r="I993" s="27"/>
      <c r="J993" s="27"/>
      <c r="K993" s="27"/>
      <c r="L993" s="27"/>
      <c r="M993" s="27"/>
      <c r="N993" s="27"/>
      <c r="O993" s="27"/>
      <c r="P993" s="27"/>
      <c r="Q993" s="27"/>
      <c r="R993" s="27"/>
      <c r="S993" s="27"/>
      <c r="T993" s="27"/>
      <c r="U993" s="27"/>
      <c r="V993" s="27"/>
      <c r="W993" s="27"/>
    </row>
    <row r="994" spans="1:23">
      <c r="A994" s="358"/>
      <c r="B994" s="359"/>
      <c r="C994" s="360"/>
      <c r="D994" s="27"/>
      <c r="E994" s="27"/>
      <c r="F994" s="27"/>
      <c r="G994" s="27"/>
      <c r="H994" s="27"/>
      <c r="I994" s="27"/>
      <c r="J994" s="27"/>
      <c r="K994" s="27"/>
      <c r="L994" s="27"/>
      <c r="M994" s="27"/>
      <c r="N994" s="27"/>
      <c r="O994" s="27"/>
      <c r="P994" s="27"/>
      <c r="Q994" s="27"/>
      <c r="R994" s="27"/>
      <c r="S994" s="27"/>
      <c r="T994" s="27"/>
      <c r="U994" s="27"/>
      <c r="V994" s="27"/>
      <c r="W994" s="27"/>
    </row>
    <row r="995" spans="1:23">
      <c r="A995" s="358"/>
      <c r="B995" s="359"/>
      <c r="C995" s="360"/>
      <c r="D995" s="27"/>
      <c r="E995" s="27"/>
      <c r="F995" s="27"/>
      <c r="G995" s="27"/>
      <c r="H995" s="27"/>
      <c r="I995" s="27"/>
      <c r="J995" s="27"/>
      <c r="K995" s="27"/>
      <c r="L995" s="27"/>
      <c r="M995" s="27"/>
      <c r="N995" s="27"/>
      <c r="O995" s="27"/>
      <c r="P995" s="27"/>
      <c r="Q995" s="27"/>
      <c r="R995" s="27"/>
      <c r="S995" s="27"/>
      <c r="T995" s="27"/>
      <c r="U995" s="27"/>
      <c r="V995" s="27"/>
      <c r="W995" s="27"/>
    </row>
    <row r="996" spans="1:23">
      <c r="A996" s="358"/>
      <c r="B996" s="359"/>
      <c r="C996" s="360"/>
      <c r="D996" s="27"/>
      <c r="E996" s="27"/>
      <c r="F996" s="27"/>
      <c r="G996" s="27"/>
      <c r="H996" s="27"/>
      <c r="I996" s="27"/>
      <c r="J996" s="27"/>
      <c r="K996" s="27"/>
      <c r="L996" s="27"/>
      <c r="M996" s="27"/>
      <c r="N996" s="27"/>
      <c r="O996" s="27"/>
      <c r="P996" s="27"/>
      <c r="Q996" s="27"/>
      <c r="R996" s="27"/>
      <c r="S996" s="27"/>
      <c r="T996" s="27"/>
      <c r="U996" s="27"/>
      <c r="V996" s="27"/>
      <c r="W996" s="27"/>
    </row>
    <row r="997" spans="1:23">
      <c r="A997" s="358"/>
      <c r="B997" s="359"/>
      <c r="C997" s="360"/>
      <c r="D997" s="27"/>
      <c r="E997" s="27"/>
      <c r="F997" s="27"/>
      <c r="G997" s="27"/>
      <c r="H997" s="27"/>
      <c r="I997" s="27"/>
      <c r="J997" s="27"/>
      <c r="K997" s="27"/>
      <c r="L997" s="27"/>
      <c r="M997" s="27"/>
      <c r="N997" s="27"/>
      <c r="O997" s="27"/>
      <c r="P997" s="27"/>
      <c r="Q997" s="27"/>
      <c r="R997" s="27"/>
      <c r="S997" s="27"/>
      <c r="T997" s="27"/>
      <c r="U997" s="27"/>
      <c r="V997" s="27"/>
      <c r="W997" s="27"/>
    </row>
    <row r="998" spans="1:23">
      <c r="A998" s="358"/>
      <c r="B998" s="359"/>
      <c r="C998" s="360"/>
      <c r="D998" s="27"/>
      <c r="E998" s="27"/>
      <c r="F998" s="27"/>
      <c r="G998" s="27"/>
      <c r="H998" s="27"/>
      <c r="I998" s="27"/>
      <c r="J998" s="27"/>
      <c r="K998" s="27"/>
      <c r="L998" s="27"/>
      <c r="M998" s="27"/>
      <c r="N998" s="27"/>
      <c r="O998" s="27"/>
      <c r="P998" s="27"/>
      <c r="Q998" s="27"/>
      <c r="R998" s="27"/>
      <c r="S998" s="27"/>
      <c r="T998" s="27"/>
      <c r="U998" s="27"/>
      <c r="V998" s="27"/>
      <c r="W998" s="27"/>
    </row>
    <row r="999" spans="1:23">
      <c r="A999" s="358"/>
      <c r="B999" s="359"/>
      <c r="C999" s="360"/>
      <c r="D999" s="27"/>
      <c r="E999" s="27"/>
      <c r="F999" s="27"/>
      <c r="G999" s="27"/>
      <c r="H999" s="27"/>
      <c r="I999" s="27"/>
      <c r="J999" s="27"/>
      <c r="K999" s="27"/>
      <c r="L999" s="27"/>
      <c r="M999" s="27"/>
      <c r="N999" s="27"/>
      <c r="O999" s="27"/>
      <c r="P999" s="27"/>
      <c r="Q999" s="27"/>
      <c r="R999" s="27"/>
      <c r="S999" s="27"/>
      <c r="T999" s="27"/>
      <c r="U999" s="27"/>
      <c r="V999" s="27"/>
      <c r="W999" s="27"/>
    </row>
    <row r="1000" spans="1:23">
      <c r="A1000" s="358"/>
      <c r="B1000" s="359"/>
      <c r="C1000" s="360"/>
      <c r="D1000" s="27"/>
      <c r="E1000" s="27"/>
      <c r="F1000" s="27"/>
      <c r="G1000" s="27"/>
      <c r="H1000" s="27"/>
      <c r="I1000" s="27"/>
      <c r="J1000" s="27"/>
      <c r="K1000" s="27"/>
      <c r="L1000" s="27"/>
      <c r="M1000" s="27"/>
      <c r="N1000" s="27"/>
      <c r="O1000" s="27"/>
      <c r="P1000" s="27"/>
      <c r="Q1000" s="27"/>
      <c r="R1000" s="27"/>
      <c r="S1000" s="27"/>
      <c r="T1000" s="27"/>
      <c r="U1000" s="27"/>
      <c r="V1000" s="27"/>
      <c r="W1000" s="27"/>
    </row>
    <row r="1001" spans="1:23">
      <c r="A1001" s="358"/>
      <c r="B1001" s="359"/>
      <c r="C1001" s="360"/>
      <c r="D1001" s="27"/>
      <c r="E1001" s="27"/>
      <c r="F1001" s="27"/>
      <c r="G1001" s="27"/>
      <c r="H1001" s="27"/>
      <c r="I1001" s="27"/>
      <c r="J1001" s="27"/>
      <c r="K1001" s="27"/>
      <c r="L1001" s="27"/>
      <c r="M1001" s="27"/>
      <c r="N1001" s="27"/>
      <c r="O1001" s="27"/>
      <c r="P1001" s="27"/>
      <c r="Q1001" s="27"/>
      <c r="R1001" s="27"/>
      <c r="S1001" s="27"/>
      <c r="T1001" s="27"/>
      <c r="U1001" s="27"/>
      <c r="V1001" s="27"/>
      <c r="W1001" s="27"/>
    </row>
    <row r="1002" spans="1:23">
      <c r="A1002" s="358"/>
      <c r="B1002" s="359"/>
      <c r="C1002" s="360"/>
      <c r="D1002" s="27"/>
      <c r="E1002" s="27"/>
      <c r="F1002" s="27"/>
      <c r="G1002" s="27"/>
      <c r="H1002" s="27"/>
      <c r="I1002" s="27"/>
      <c r="J1002" s="27"/>
      <c r="K1002" s="27"/>
      <c r="L1002" s="27"/>
      <c r="M1002" s="27"/>
      <c r="N1002" s="27"/>
      <c r="O1002" s="27"/>
      <c r="P1002" s="27"/>
      <c r="Q1002" s="27"/>
      <c r="R1002" s="27"/>
      <c r="S1002" s="27"/>
      <c r="T1002" s="27"/>
      <c r="U1002" s="27"/>
      <c r="V1002" s="27"/>
      <c r="W1002" s="27"/>
    </row>
    <row r="1003" spans="1:23">
      <c r="A1003" s="358"/>
      <c r="B1003" s="359"/>
      <c r="C1003" s="360"/>
      <c r="D1003" s="27"/>
      <c r="E1003" s="27"/>
      <c r="F1003" s="27"/>
      <c r="G1003" s="27"/>
      <c r="H1003" s="27"/>
      <c r="I1003" s="27"/>
      <c r="J1003" s="27"/>
      <c r="K1003" s="27"/>
      <c r="L1003" s="27"/>
      <c r="M1003" s="27"/>
      <c r="N1003" s="27"/>
      <c r="O1003" s="27"/>
      <c r="P1003" s="27"/>
      <c r="Q1003" s="27"/>
      <c r="R1003" s="27"/>
      <c r="S1003" s="27"/>
      <c r="T1003" s="27"/>
      <c r="U1003" s="27"/>
      <c r="V1003" s="27"/>
      <c r="W1003" s="27"/>
    </row>
    <row r="1004" spans="1:23">
      <c r="A1004" s="358"/>
      <c r="B1004" s="359"/>
      <c r="C1004" s="360"/>
      <c r="D1004" s="27"/>
      <c r="E1004" s="27"/>
      <c r="F1004" s="27"/>
      <c r="G1004" s="27"/>
      <c r="H1004" s="27"/>
      <c r="I1004" s="27"/>
      <c r="J1004" s="27"/>
      <c r="K1004" s="27"/>
      <c r="L1004" s="27"/>
      <c r="M1004" s="27"/>
      <c r="N1004" s="27"/>
      <c r="O1004" s="27"/>
      <c r="P1004" s="27"/>
      <c r="Q1004" s="27"/>
      <c r="R1004" s="27"/>
      <c r="S1004" s="27"/>
      <c r="T1004" s="27"/>
      <c r="U1004" s="27"/>
      <c r="V1004" s="27"/>
      <c r="W1004" s="27"/>
    </row>
    <row r="1005" spans="1:23">
      <c r="A1005" s="358"/>
      <c r="B1005" s="359"/>
      <c r="C1005" s="360"/>
      <c r="D1005" s="27"/>
      <c r="E1005" s="27"/>
      <c r="F1005" s="27"/>
      <c r="G1005" s="27"/>
      <c r="H1005" s="27"/>
      <c r="I1005" s="27"/>
      <c r="J1005" s="27"/>
      <c r="K1005" s="27"/>
      <c r="L1005" s="27"/>
      <c r="M1005" s="27"/>
      <c r="N1005" s="27"/>
      <c r="O1005" s="27"/>
      <c r="P1005" s="27"/>
      <c r="Q1005" s="27"/>
      <c r="R1005" s="27"/>
      <c r="S1005" s="27"/>
      <c r="T1005" s="27"/>
      <c r="U1005" s="27"/>
      <c r="V1005" s="27"/>
      <c r="W1005" s="27"/>
    </row>
    <row r="1006" spans="1:23">
      <c r="A1006" s="358"/>
      <c r="B1006" s="359"/>
      <c r="C1006" s="360"/>
      <c r="D1006" s="27"/>
      <c r="E1006" s="27"/>
      <c r="F1006" s="27"/>
      <c r="G1006" s="27"/>
      <c r="H1006" s="27"/>
      <c r="I1006" s="27"/>
      <c r="J1006" s="27"/>
      <c r="K1006" s="27"/>
      <c r="L1006" s="27"/>
      <c r="M1006" s="27"/>
      <c r="N1006" s="27"/>
      <c r="O1006" s="27"/>
      <c r="P1006" s="27"/>
      <c r="Q1006" s="27"/>
      <c r="R1006" s="27"/>
      <c r="S1006" s="27"/>
      <c r="T1006" s="27"/>
      <c r="U1006" s="27"/>
      <c r="V1006" s="27"/>
      <c r="W1006" s="27"/>
    </row>
    <row r="1007" spans="1:23">
      <c r="A1007" s="358"/>
      <c r="B1007" s="359"/>
      <c r="C1007" s="360"/>
      <c r="D1007" s="27"/>
      <c r="E1007" s="27"/>
      <c r="F1007" s="27"/>
      <c r="G1007" s="27"/>
      <c r="H1007" s="27"/>
      <c r="I1007" s="27"/>
      <c r="J1007" s="27"/>
      <c r="K1007" s="27"/>
      <c r="L1007" s="27"/>
      <c r="M1007" s="27"/>
      <c r="N1007" s="27"/>
      <c r="O1007" s="27"/>
      <c r="P1007" s="27"/>
      <c r="Q1007" s="27"/>
      <c r="R1007" s="27"/>
      <c r="S1007" s="27"/>
      <c r="T1007" s="27"/>
      <c r="U1007" s="27"/>
      <c r="V1007" s="27"/>
      <c r="W1007" s="27"/>
    </row>
    <row r="1008" spans="1:23">
      <c r="A1008" s="358"/>
      <c r="B1008" s="359"/>
      <c r="C1008" s="360"/>
      <c r="D1008" s="27"/>
      <c r="E1008" s="27"/>
      <c r="F1008" s="27"/>
      <c r="G1008" s="27"/>
      <c r="H1008" s="27"/>
      <c r="I1008" s="27"/>
      <c r="J1008" s="27"/>
      <c r="K1008" s="27"/>
      <c r="L1008" s="27"/>
      <c r="M1008" s="27"/>
      <c r="N1008" s="27"/>
      <c r="O1008" s="27"/>
      <c r="P1008" s="27"/>
      <c r="Q1008" s="27"/>
      <c r="R1008" s="27"/>
      <c r="S1008" s="27"/>
      <c r="T1008" s="27"/>
      <c r="U1008" s="27"/>
      <c r="V1008" s="27"/>
      <c r="W1008" s="27"/>
    </row>
    <row r="1009" spans="1:23">
      <c r="A1009" s="358"/>
      <c r="B1009" s="359"/>
      <c r="C1009" s="360"/>
      <c r="D1009" s="27"/>
      <c r="E1009" s="27"/>
      <c r="F1009" s="27"/>
      <c r="G1009" s="27"/>
      <c r="H1009" s="27"/>
      <c r="I1009" s="27"/>
      <c r="J1009" s="27"/>
      <c r="K1009" s="27"/>
      <c r="L1009" s="27"/>
      <c r="M1009" s="27"/>
      <c r="N1009" s="27"/>
      <c r="O1009" s="27"/>
      <c r="P1009" s="27"/>
      <c r="Q1009" s="27"/>
      <c r="R1009" s="27"/>
      <c r="S1009" s="27"/>
      <c r="T1009" s="27"/>
      <c r="U1009" s="27"/>
      <c r="V1009" s="27"/>
      <c r="W1009" s="27"/>
    </row>
    <row r="1010" spans="1:23">
      <c r="A1010" s="358"/>
      <c r="B1010" s="359"/>
      <c r="C1010" s="360"/>
      <c r="D1010" s="27"/>
      <c r="E1010" s="27"/>
      <c r="F1010" s="27"/>
      <c r="G1010" s="27"/>
      <c r="H1010" s="27"/>
      <c r="I1010" s="27"/>
      <c r="J1010" s="27"/>
      <c r="K1010" s="27"/>
      <c r="L1010" s="27"/>
      <c r="M1010" s="27"/>
      <c r="N1010" s="27"/>
      <c r="O1010" s="27"/>
      <c r="P1010" s="27"/>
      <c r="Q1010" s="27"/>
      <c r="R1010" s="27"/>
      <c r="S1010" s="27"/>
      <c r="T1010" s="27"/>
      <c r="U1010" s="27"/>
      <c r="V1010" s="27"/>
      <c r="W1010" s="27"/>
    </row>
    <row r="1011" spans="1:23">
      <c r="A1011" s="358"/>
      <c r="B1011" s="359"/>
      <c r="C1011" s="360"/>
      <c r="D1011" s="27"/>
      <c r="E1011" s="27"/>
      <c r="F1011" s="27"/>
      <c r="G1011" s="27"/>
      <c r="H1011" s="27"/>
      <c r="I1011" s="27"/>
      <c r="J1011" s="27"/>
      <c r="K1011" s="27"/>
      <c r="L1011" s="27"/>
      <c r="M1011" s="27"/>
      <c r="N1011" s="27"/>
      <c r="O1011" s="27"/>
      <c r="P1011" s="27"/>
      <c r="Q1011" s="27"/>
      <c r="R1011" s="27"/>
      <c r="S1011" s="27"/>
      <c r="T1011" s="27"/>
      <c r="U1011" s="27"/>
      <c r="V1011" s="27"/>
      <c r="W1011" s="27"/>
    </row>
    <row r="1012" spans="1:23">
      <c r="A1012" s="358"/>
      <c r="B1012" s="359"/>
      <c r="C1012" s="360"/>
      <c r="D1012" s="27"/>
      <c r="E1012" s="27"/>
      <c r="F1012" s="27"/>
      <c r="G1012" s="27"/>
      <c r="H1012" s="27"/>
      <c r="I1012" s="27"/>
      <c r="J1012" s="27"/>
      <c r="K1012" s="27"/>
      <c r="L1012" s="27"/>
      <c r="M1012" s="27"/>
      <c r="N1012" s="27"/>
      <c r="O1012" s="27"/>
      <c r="P1012" s="27"/>
      <c r="Q1012" s="27"/>
      <c r="R1012" s="27"/>
      <c r="S1012" s="27"/>
      <c r="T1012" s="27"/>
      <c r="U1012" s="27"/>
      <c r="V1012" s="27"/>
      <c r="W1012" s="27"/>
    </row>
    <row r="1013" spans="1:23">
      <c r="A1013" s="358"/>
      <c r="B1013" s="359"/>
      <c r="C1013" s="360"/>
      <c r="D1013" s="27"/>
      <c r="E1013" s="27"/>
      <c r="F1013" s="27"/>
      <c r="G1013" s="27"/>
      <c r="H1013" s="27"/>
      <c r="I1013" s="27"/>
      <c r="J1013" s="27"/>
      <c r="K1013" s="27"/>
      <c r="L1013" s="27"/>
      <c r="M1013" s="27"/>
      <c r="N1013" s="27"/>
      <c r="O1013" s="27"/>
      <c r="P1013" s="27"/>
      <c r="Q1013" s="27"/>
      <c r="R1013" s="27"/>
      <c r="S1013" s="27"/>
      <c r="T1013" s="27"/>
      <c r="U1013" s="27"/>
      <c r="V1013" s="27"/>
      <c r="W1013" s="27"/>
    </row>
    <row r="1014" spans="1:23">
      <c r="A1014" s="358"/>
      <c r="B1014" s="359"/>
      <c r="C1014" s="360"/>
      <c r="D1014" s="27"/>
      <c r="E1014" s="27"/>
      <c r="F1014" s="27"/>
      <c r="G1014" s="27"/>
      <c r="H1014" s="27"/>
      <c r="I1014" s="27"/>
      <c r="J1014" s="27"/>
      <c r="K1014" s="27"/>
      <c r="L1014" s="27"/>
      <c r="M1014" s="27"/>
      <c r="N1014" s="27"/>
      <c r="O1014" s="27"/>
      <c r="P1014" s="27"/>
      <c r="Q1014" s="27"/>
      <c r="R1014" s="27"/>
      <c r="S1014" s="27"/>
      <c r="T1014" s="27"/>
      <c r="U1014" s="27"/>
      <c r="V1014" s="27"/>
      <c r="W1014" s="27"/>
    </row>
    <row r="1015" spans="1:23">
      <c r="A1015" s="358"/>
      <c r="B1015" s="359"/>
      <c r="C1015" s="360"/>
      <c r="D1015" s="27"/>
      <c r="E1015" s="27"/>
      <c r="F1015" s="27"/>
      <c r="G1015" s="27"/>
      <c r="H1015" s="27"/>
      <c r="I1015" s="27"/>
      <c r="J1015" s="27"/>
      <c r="K1015" s="27"/>
      <c r="L1015" s="27"/>
      <c r="M1015" s="27"/>
      <c r="N1015" s="27"/>
      <c r="O1015" s="27"/>
      <c r="P1015" s="27"/>
      <c r="Q1015" s="27"/>
      <c r="R1015" s="27"/>
      <c r="S1015" s="27"/>
      <c r="T1015" s="27"/>
      <c r="U1015" s="27"/>
      <c r="V1015" s="27"/>
      <c r="W1015" s="27"/>
    </row>
    <row r="1016" spans="1:23">
      <c r="A1016" s="358"/>
      <c r="B1016" s="359"/>
      <c r="C1016" s="360"/>
      <c r="D1016" s="27"/>
      <c r="E1016" s="27"/>
      <c r="F1016" s="27"/>
      <c r="G1016" s="27"/>
      <c r="H1016" s="27"/>
      <c r="I1016" s="27"/>
      <c r="J1016" s="27"/>
      <c r="K1016" s="27"/>
      <c r="L1016" s="27"/>
      <c r="M1016" s="27"/>
      <c r="N1016" s="27"/>
      <c r="O1016" s="27"/>
      <c r="P1016" s="27"/>
      <c r="Q1016" s="27"/>
      <c r="R1016" s="27"/>
      <c r="S1016" s="27"/>
      <c r="T1016" s="27"/>
      <c r="U1016" s="27"/>
      <c r="V1016" s="27"/>
      <c r="W1016" s="27"/>
    </row>
    <row r="1017" spans="1:23">
      <c r="A1017" s="358"/>
      <c r="B1017" s="359"/>
      <c r="C1017" s="360"/>
      <c r="D1017" s="27"/>
      <c r="E1017" s="27"/>
      <c r="F1017" s="27"/>
      <c r="G1017" s="27"/>
      <c r="H1017" s="27"/>
      <c r="I1017" s="27"/>
      <c r="J1017" s="27"/>
      <c r="K1017" s="27"/>
      <c r="L1017" s="27"/>
      <c r="M1017" s="27"/>
      <c r="N1017" s="27"/>
      <c r="O1017" s="27"/>
      <c r="P1017" s="27"/>
      <c r="Q1017" s="27"/>
      <c r="R1017" s="27"/>
      <c r="S1017" s="27"/>
      <c r="T1017" s="27"/>
      <c r="U1017" s="27"/>
      <c r="V1017" s="27"/>
      <c r="W1017" s="27"/>
    </row>
    <row r="1018" spans="1:23">
      <c r="A1018" s="358"/>
      <c r="B1018" s="359"/>
      <c r="C1018" s="360"/>
      <c r="D1018" s="27"/>
      <c r="E1018" s="27"/>
      <c r="F1018" s="27"/>
      <c r="G1018" s="27"/>
      <c r="H1018" s="27"/>
      <c r="I1018" s="27"/>
      <c r="J1018" s="27"/>
      <c r="K1018" s="27"/>
      <c r="L1018" s="27"/>
      <c r="M1018" s="27"/>
      <c r="N1018" s="27"/>
      <c r="O1018" s="27"/>
      <c r="P1018" s="27"/>
      <c r="Q1018" s="27"/>
      <c r="R1018" s="27"/>
      <c r="S1018" s="27"/>
      <c r="T1018" s="27"/>
      <c r="U1018" s="27"/>
      <c r="V1018" s="27"/>
      <c r="W1018" s="27"/>
    </row>
    <row r="1019" spans="1:23">
      <c r="A1019" s="358"/>
      <c r="B1019" s="359"/>
      <c r="C1019" s="360"/>
      <c r="D1019" s="27"/>
      <c r="E1019" s="27"/>
      <c r="F1019" s="27"/>
      <c r="G1019" s="27"/>
      <c r="H1019" s="27"/>
      <c r="I1019" s="27"/>
      <c r="J1019" s="27"/>
      <c r="K1019" s="27"/>
      <c r="L1019" s="27"/>
      <c r="M1019" s="27"/>
      <c r="N1019" s="27"/>
      <c r="O1019" s="27"/>
      <c r="P1019" s="27"/>
      <c r="Q1019" s="27"/>
      <c r="R1019" s="27"/>
      <c r="S1019" s="27"/>
      <c r="T1019" s="27"/>
      <c r="U1019" s="27"/>
      <c r="V1019" s="27"/>
      <c r="W1019" s="27"/>
    </row>
    <row r="1020" spans="1:23">
      <c r="A1020" s="358"/>
      <c r="B1020" s="359"/>
      <c r="C1020" s="360"/>
      <c r="D1020" s="27"/>
      <c r="E1020" s="27"/>
      <c r="F1020" s="27"/>
      <c r="G1020" s="27"/>
      <c r="H1020" s="27"/>
      <c r="I1020" s="27"/>
      <c r="J1020" s="27"/>
      <c r="K1020" s="27"/>
      <c r="L1020" s="27"/>
      <c r="M1020" s="27"/>
      <c r="N1020" s="27"/>
      <c r="O1020" s="27"/>
      <c r="P1020" s="27"/>
      <c r="Q1020" s="27"/>
      <c r="R1020" s="27"/>
      <c r="S1020" s="27"/>
      <c r="T1020" s="27"/>
      <c r="U1020" s="27"/>
      <c r="V1020" s="27"/>
      <c r="W1020" s="27"/>
    </row>
    <row r="1021" spans="1:23">
      <c r="A1021" s="358"/>
      <c r="B1021" s="359"/>
      <c r="C1021" s="360"/>
      <c r="D1021" s="27"/>
      <c r="E1021" s="27"/>
      <c r="F1021" s="27"/>
      <c r="G1021" s="27"/>
      <c r="H1021" s="27"/>
      <c r="I1021" s="27"/>
      <c r="J1021" s="27"/>
      <c r="K1021" s="27"/>
      <c r="L1021" s="27"/>
      <c r="M1021" s="27"/>
      <c r="N1021" s="27"/>
      <c r="O1021" s="27"/>
      <c r="P1021" s="27"/>
      <c r="Q1021" s="27"/>
      <c r="R1021" s="27"/>
      <c r="S1021" s="27"/>
      <c r="T1021" s="27"/>
      <c r="U1021" s="27"/>
      <c r="V1021" s="27"/>
      <c r="W1021" s="27"/>
    </row>
    <row r="1022" spans="1:23">
      <c r="A1022" s="358"/>
      <c r="B1022" s="359"/>
      <c r="C1022" s="360"/>
      <c r="D1022" s="27"/>
      <c r="E1022" s="27"/>
      <c r="F1022" s="27"/>
      <c r="G1022" s="27"/>
      <c r="H1022" s="27"/>
      <c r="I1022" s="27"/>
      <c r="J1022" s="27"/>
      <c r="K1022" s="27"/>
      <c r="L1022" s="27"/>
      <c r="M1022" s="27"/>
      <c r="N1022" s="27"/>
      <c r="O1022" s="27"/>
      <c r="P1022" s="27"/>
      <c r="Q1022" s="27"/>
      <c r="R1022" s="27"/>
      <c r="S1022" s="27"/>
      <c r="T1022" s="27"/>
      <c r="U1022" s="27"/>
      <c r="V1022" s="27"/>
      <c r="W1022" s="27"/>
    </row>
    <row r="1023" spans="1:23">
      <c r="A1023" s="358"/>
      <c r="B1023" s="359"/>
      <c r="C1023" s="360"/>
      <c r="D1023" s="27"/>
      <c r="E1023" s="27"/>
      <c r="F1023" s="27"/>
      <c r="G1023" s="27"/>
      <c r="H1023" s="27"/>
      <c r="I1023" s="27"/>
      <c r="J1023" s="27"/>
      <c r="K1023" s="27"/>
      <c r="L1023" s="27"/>
      <c r="M1023" s="27"/>
      <c r="N1023" s="27"/>
      <c r="O1023" s="27"/>
      <c r="P1023" s="27"/>
      <c r="Q1023" s="27"/>
      <c r="R1023" s="27"/>
      <c r="S1023" s="27"/>
      <c r="T1023" s="27"/>
      <c r="U1023" s="27"/>
      <c r="V1023" s="27"/>
      <c r="W1023" s="27"/>
    </row>
    <row r="1024" spans="1:23">
      <c r="A1024" s="358"/>
      <c r="B1024" s="359"/>
      <c r="C1024" s="360"/>
      <c r="D1024" s="27"/>
      <c r="E1024" s="27"/>
      <c r="F1024" s="27"/>
      <c r="G1024" s="27"/>
      <c r="H1024" s="27"/>
      <c r="I1024" s="27"/>
      <c r="J1024" s="27"/>
      <c r="K1024" s="27"/>
      <c r="L1024" s="27"/>
      <c r="M1024" s="27"/>
      <c r="N1024" s="27"/>
      <c r="O1024" s="27"/>
      <c r="P1024" s="27"/>
      <c r="Q1024" s="27"/>
      <c r="R1024" s="27"/>
      <c r="S1024" s="27"/>
      <c r="T1024" s="27"/>
      <c r="U1024" s="27"/>
      <c r="V1024" s="27"/>
      <c r="W1024" s="27"/>
    </row>
    <row r="1025" spans="1:23">
      <c r="A1025" s="358"/>
      <c r="B1025" s="359"/>
      <c r="C1025" s="360"/>
      <c r="D1025" s="27"/>
      <c r="E1025" s="27"/>
      <c r="F1025" s="27"/>
      <c r="G1025" s="27"/>
      <c r="H1025" s="27"/>
      <c r="I1025" s="27"/>
      <c r="J1025" s="27"/>
      <c r="K1025" s="27"/>
      <c r="L1025" s="27"/>
      <c r="M1025" s="27"/>
      <c r="N1025" s="27"/>
      <c r="O1025" s="27"/>
      <c r="P1025" s="27"/>
      <c r="Q1025" s="27"/>
      <c r="R1025" s="27"/>
      <c r="S1025" s="27"/>
      <c r="T1025" s="27"/>
      <c r="U1025" s="27"/>
      <c r="V1025" s="27"/>
      <c r="W1025" s="27"/>
    </row>
    <row r="1026" spans="1:23">
      <c r="A1026" s="358"/>
      <c r="B1026" s="359"/>
      <c r="C1026" s="360"/>
      <c r="D1026" s="27"/>
      <c r="E1026" s="27"/>
      <c r="F1026" s="27"/>
      <c r="G1026" s="27"/>
      <c r="H1026" s="27"/>
      <c r="I1026" s="27"/>
      <c r="J1026" s="27"/>
      <c r="K1026" s="27"/>
      <c r="L1026" s="27"/>
      <c r="M1026" s="27"/>
      <c r="N1026" s="27"/>
      <c r="O1026" s="27"/>
      <c r="P1026" s="27"/>
      <c r="Q1026" s="27"/>
      <c r="R1026" s="27"/>
      <c r="S1026" s="27"/>
      <c r="T1026" s="27"/>
      <c r="U1026" s="27"/>
      <c r="V1026" s="27"/>
      <c r="W1026" s="27"/>
    </row>
    <row r="1027" spans="1:23">
      <c r="A1027" s="358"/>
      <c r="B1027" s="359"/>
      <c r="C1027" s="360"/>
      <c r="D1027" s="27"/>
      <c r="E1027" s="27"/>
      <c r="F1027" s="27"/>
      <c r="G1027" s="27"/>
      <c r="H1027" s="27"/>
      <c r="I1027" s="27"/>
      <c r="J1027" s="27"/>
      <c r="K1027" s="27"/>
      <c r="L1027" s="27"/>
      <c r="M1027" s="27"/>
      <c r="N1027" s="27"/>
      <c r="O1027" s="27"/>
      <c r="P1027" s="27"/>
      <c r="Q1027" s="27"/>
      <c r="R1027" s="27"/>
      <c r="S1027" s="27"/>
      <c r="T1027" s="27"/>
      <c r="U1027" s="27"/>
      <c r="V1027" s="27"/>
      <c r="W1027" s="27"/>
    </row>
    <row r="1028" spans="1:23">
      <c r="A1028" s="358"/>
      <c r="B1028" s="359"/>
      <c r="C1028" s="360"/>
      <c r="D1028" s="27"/>
      <c r="E1028" s="27"/>
      <c r="F1028" s="27"/>
      <c r="G1028" s="27"/>
      <c r="H1028" s="27"/>
      <c r="I1028" s="27"/>
      <c r="J1028" s="27"/>
      <c r="K1028" s="27"/>
      <c r="L1028" s="27"/>
      <c r="M1028" s="27"/>
      <c r="N1028" s="27"/>
      <c r="O1028" s="27"/>
      <c r="P1028" s="27"/>
      <c r="Q1028" s="27"/>
      <c r="R1028" s="27"/>
      <c r="S1028" s="27"/>
      <c r="T1028" s="27"/>
      <c r="U1028" s="27"/>
      <c r="V1028" s="27"/>
      <c r="W1028" s="27"/>
    </row>
    <row r="1029" spans="1:23">
      <c r="A1029" s="358"/>
      <c r="B1029" s="359"/>
      <c r="C1029" s="360"/>
      <c r="D1029" s="27"/>
      <c r="E1029" s="27"/>
      <c r="F1029" s="27"/>
      <c r="G1029" s="27"/>
      <c r="H1029" s="27"/>
      <c r="I1029" s="27"/>
      <c r="J1029" s="27"/>
      <c r="K1029" s="27"/>
      <c r="L1029" s="27"/>
      <c r="M1029" s="27"/>
      <c r="N1029" s="27"/>
      <c r="O1029" s="27"/>
      <c r="P1029" s="27"/>
      <c r="Q1029" s="27"/>
      <c r="R1029" s="27"/>
      <c r="S1029" s="27"/>
      <c r="T1029" s="27"/>
      <c r="U1029" s="27"/>
      <c r="V1029" s="27"/>
      <c r="W1029" s="27"/>
    </row>
    <row r="1030" spans="1:23">
      <c r="A1030" s="358"/>
      <c r="B1030" s="359"/>
      <c r="C1030" s="360"/>
      <c r="D1030" s="27"/>
      <c r="E1030" s="27"/>
      <c r="F1030" s="27"/>
      <c r="G1030" s="27"/>
      <c r="H1030" s="27"/>
      <c r="I1030" s="27"/>
      <c r="J1030" s="27"/>
      <c r="K1030" s="27"/>
      <c r="L1030" s="27"/>
      <c r="M1030" s="27"/>
      <c r="N1030" s="27"/>
      <c r="O1030" s="27"/>
      <c r="P1030" s="27"/>
      <c r="Q1030" s="27"/>
      <c r="R1030" s="27"/>
      <c r="S1030" s="27"/>
      <c r="T1030" s="27"/>
      <c r="U1030" s="27"/>
      <c r="V1030" s="27"/>
      <c r="W1030" s="27"/>
    </row>
    <row r="1031" spans="1:23">
      <c r="A1031" s="358"/>
      <c r="B1031" s="359"/>
      <c r="C1031" s="360"/>
      <c r="D1031" s="27"/>
      <c r="E1031" s="27"/>
      <c r="F1031" s="27"/>
      <c r="G1031" s="27"/>
      <c r="H1031" s="27"/>
      <c r="I1031" s="27"/>
      <c r="J1031" s="27"/>
      <c r="K1031" s="27"/>
      <c r="L1031" s="27"/>
      <c r="M1031" s="27"/>
      <c r="N1031" s="27"/>
      <c r="O1031" s="27"/>
      <c r="P1031" s="27"/>
      <c r="Q1031" s="27"/>
      <c r="R1031" s="27"/>
      <c r="S1031" s="27"/>
      <c r="T1031" s="27"/>
      <c r="U1031" s="27"/>
      <c r="V1031" s="27"/>
      <c r="W1031" s="27"/>
    </row>
    <row r="1032" spans="1:23">
      <c r="A1032" s="358"/>
      <c r="B1032" s="359"/>
      <c r="C1032" s="360"/>
      <c r="D1032" s="27"/>
      <c r="E1032" s="27"/>
      <c r="F1032" s="27"/>
      <c r="G1032" s="27"/>
      <c r="H1032" s="27"/>
      <c r="I1032" s="27"/>
      <c r="J1032" s="27"/>
      <c r="K1032" s="27"/>
      <c r="L1032" s="27"/>
      <c r="M1032" s="27"/>
      <c r="N1032" s="27"/>
      <c r="O1032" s="27"/>
      <c r="P1032" s="27"/>
      <c r="Q1032" s="27"/>
      <c r="R1032" s="27"/>
      <c r="S1032" s="27"/>
      <c r="T1032" s="27"/>
      <c r="U1032" s="27"/>
      <c r="V1032" s="27"/>
      <c r="W1032" s="27"/>
    </row>
    <row r="1033" spans="1:23">
      <c r="A1033" s="358"/>
      <c r="B1033" s="359"/>
      <c r="C1033" s="360"/>
      <c r="D1033" s="27"/>
      <c r="E1033" s="27"/>
      <c r="F1033" s="27"/>
      <c r="G1033" s="27"/>
      <c r="H1033" s="27"/>
      <c r="I1033" s="27"/>
      <c r="J1033" s="27"/>
      <c r="K1033" s="27"/>
      <c r="L1033" s="27"/>
      <c r="M1033" s="27"/>
      <c r="N1033" s="27"/>
      <c r="O1033" s="27"/>
      <c r="P1033" s="27"/>
      <c r="Q1033" s="27"/>
      <c r="R1033" s="27"/>
      <c r="S1033" s="27"/>
      <c r="T1033" s="27"/>
      <c r="U1033" s="27"/>
      <c r="V1033" s="27"/>
      <c r="W1033" s="27"/>
    </row>
    <row r="1034" spans="1:23">
      <c r="A1034" s="358"/>
      <c r="B1034" s="359"/>
      <c r="C1034" s="360"/>
      <c r="D1034" s="27"/>
      <c r="E1034" s="27"/>
      <c r="F1034" s="27"/>
      <c r="G1034" s="27"/>
      <c r="H1034" s="27"/>
      <c r="I1034" s="27"/>
      <c r="J1034" s="27"/>
      <c r="K1034" s="27"/>
      <c r="L1034" s="27"/>
      <c r="M1034" s="27"/>
      <c r="N1034" s="27"/>
      <c r="O1034" s="27"/>
      <c r="P1034" s="27"/>
      <c r="Q1034" s="27"/>
      <c r="R1034" s="27"/>
      <c r="S1034" s="27"/>
      <c r="T1034" s="27"/>
      <c r="U1034" s="27"/>
      <c r="V1034" s="27"/>
      <c r="W1034" s="27"/>
    </row>
    <row r="1035" spans="1:23">
      <c r="A1035" s="358"/>
      <c r="B1035" s="359"/>
      <c r="C1035" s="360"/>
      <c r="D1035" s="27"/>
      <c r="E1035" s="27"/>
      <c r="F1035" s="27"/>
      <c r="G1035" s="27"/>
      <c r="H1035" s="27"/>
      <c r="I1035" s="27"/>
      <c r="J1035" s="27"/>
      <c r="K1035" s="27"/>
      <c r="L1035" s="27"/>
      <c r="M1035" s="27"/>
      <c r="N1035" s="27"/>
      <c r="O1035" s="27"/>
      <c r="P1035" s="27"/>
      <c r="Q1035" s="27"/>
      <c r="R1035" s="27"/>
      <c r="S1035" s="27"/>
      <c r="T1035" s="27"/>
      <c r="U1035" s="27"/>
      <c r="V1035" s="27"/>
      <c r="W1035" s="27"/>
    </row>
    <row r="1036" spans="1:23">
      <c r="A1036" s="358"/>
      <c r="B1036" s="359"/>
      <c r="C1036" s="360"/>
      <c r="D1036" s="27"/>
      <c r="E1036" s="27"/>
      <c r="F1036" s="27"/>
      <c r="G1036" s="27"/>
      <c r="H1036" s="27"/>
      <c r="I1036" s="27"/>
      <c r="J1036" s="27"/>
      <c r="K1036" s="27"/>
      <c r="L1036" s="27"/>
      <c r="M1036" s="27"/>
      <c r="N1036" s="27"/>
      <c r="O1036" s="27"/>
      <c r="P1036" s="27"/>
      <c r="Q1036" s="27"/>
      <c r="R1036" s="27"/>
      <c r="S1036" s="27"/>
      <c r="T1036" s="27"/>
      <c r="U1036" s="27"/>
      <c r="V1036" s="27"/>
      <c r="W1036" s="27"/>
    </row>
    <row r="1037" spans="1:23">
      <c r="A1037" s="358"/>
      <c r="B1037" s="359"/>
      <c r="C1037" s="360"/>
      <c r="D1037" s="27"/>
      <c r="E1037" s="27"/>
      <c r="F1037" s="27"/>
      <c r="G1037" s="27"/>
      <c r="H1037" s="27"/>
      <c r="I1037" s="27"/>
      <c r="J1037" s="27"/>
      <c r="K1037" s="27"/>
      <c r="L1037" s="27"/>
      <c r="M1037" s="27"/>
      <c r="N1037" s="27"/>
      <c r="O1037" s="27"/>
      <c r="P1037" s="27"/>
      <c r="Q1037" s="27"/>
      <c r="R1037" s="27"/>
      <c r="S1037" s="27"/>
      <c r="T1037" s="27"/>
      <c r="U1037" s="27"/>
      <c r="V1037" s="27"/>
      <c r="W1037" s="27"/>
    </row>
    <row r="1038" spans="1:23">
      <c r="A1038" s="358"/>
      <c r="B1038" s="359"/>
      <c r="C1038" s="360"/>
      <c r="D1038" s="27"/>
      <c r="E1038" s="27"/>
      <c r="F1038" s="27"/>
      <c r="G1038" s="27"/>
      <c r="H1038" s="27"/>
      <c r="I1038" s="27"/>
      <c r="J1038" s="27"/>
      <c r="K1038" s="27"/>
      <c r="L1038" s="27"/>
      <c r="M1038" s="27"/>
      <c r="N1038" s="27"/>
      <c r="O1038" s="27"/>
      <c r="P1038" s="27"/>
      <c r="Q1038" s="27"/>
      <c r="R1038" s="27"/>
      <c r="S1038" s="27"/>
      <c r="T1038" s="27"/>
      <c r="U1038" s="27"/>
      <c r="V1038" s="27"/>
      <c r="W1038" s="27"/>
    </row>
    <row r="1039" spans="1:23">
      <c r="A1039" s="358"/>
      <c r="B1039" s="359"/>
      <c r="C1039" s="360"/>
      <c r="D1039" s="27"/>
      <c r="E1039" s="27"/>
      <c r="F1039" s="27"/>
      <c r="G1039" s="27"/>
      <c r="H1039" s="27"/>
      <c r="I1039" s="27"/>
      <c r="J1039" s="27"/>
      <c r="K1039" s="27"/>
      <c r="L1039" s="27"/>
      <c r="M1039" s="27"/>
      <c r="N1039" s="27"/>
      <c r="O1039" s="27"/>
      <c r="P1039" s="27"/>
      <c r="Q1039" s="27"/>
      <c r="R1039" s="27"/>
      <c r="S1039" s="27"/>
      <c r="T1039" s="27"/>
      <c r="U1039" s="27"/>
      <c r="V1039" s="27"/>
      <c r="W1039" s="27"/>
    </row>
    <row r="1040" spans="1:23">
      <c r="A1040" s="358"/>
      <c r="B1040" s="359"/>
      <c r="C1040" s="360"/>
      <c r="D1040" s="27"/>
      <c r="E1040" s="27"/>
      <c r="F1040" s="27"/>
      <c r="G1040" s="27"/>
      <c r="H1040" s="27"/>
      <c r="I1040" s="27"/>
      <c r="J1040" s="27"/>
      <c r="K1040" s="27"/>
      <c r="L1040" s="27"/>
      <c r="M1040" s="27"/>
      <c r="N1040" s="27"/>
      <c r="O1040" s="27"/>
      <c r="P1040" s="27"/>
      <c r="Q1040" s="27"/>
      <c r="R1040" s="27"/>
      <c r="S1040" s="27"/>
      <c r="T1040" s="27"/>
      <c r="U1040" s="27"/>
      <c r="V1040" s="27"/>
      <c r="W1040" s="27"/>
    </row>
    <row r="1041" spans="1:23">
      <c r="A1041" s="358"/>
      <c r="B1041" s="359"/>
      <c r="C1041" s="360"/>
      <c r="D1041" s="27"/>
      <c r="E1041" s="27"/>
      <c r="F1041" s="27"/>
      <c r="G1041" s="27"/>
      <c r="H1041" s="27"/>
      <c r="I1041" s="27"/>
      <c r="J1041" s="27"/>
      <c r="K1041" s="27"/>
      <c r="L1041" s="27"/>
      <c r="M1041" s="27"/>
      <c r="N1041" s="27"/>
      <c r="O1041" s="27"/>
      <c r="P1041" s="27"/>
      <c r="Q1041" s="27"/>
      <c r="R1041" s="27"/>
      <c r="S1041" s="27"/>
      <c r="T1041" s="27"/>
      <c r="U1041" s="27"/>
      <c r="V1041" s="27"/>
      <c r="W1041" s="27"/>
    </row>
    <row r="1042" spans="1:23">
      <c r="A1042" s="358"/>
      <c r="B1042" s="359"/>
      <c r="C1042" s="360"/>
      <c r="D1042" s="27"/>
      <c r="E1042" s="27"/>
      <c r="F1042" s="27"/>
      <c r="G1042" s="27"/>
      <c r="H1042" s="27"/>
      <c r="I1042" s="27"/>
      <c r="J1042" s="27"/>
      <c r="K1042" s="27"/>
      <c r="L1042" s="27"/>
      <c r="M1042" s="27"/>
      <c r="N1042" s="27"/>
      <c r="O1042" s="27"/>
      <c r="P1042" s="27"/>
      <c r="Q1042" s="27"/>
      <c r="R1042" s="27"/>
      <c r="S1042" s="27"/>
      <c r="T1042" s="27"/>
      <c r="U1042" s="27"/>
      <c r="V1042" s="27"/>
      <c r="W1042" s="27"/>
    </row>
    <row r="1043" spans="1:23">
      <c r="A1043" s="358"/>
      <c r="B1043" s="359"/>
      <c r="C1043" s="360"/>
      <c r="D1043" s="27"/>
      <c r="E1043" s="27"/>
      <c r="F1043" s="27"/>
      <c r="G1043" s="27"/>
      <c r="H1043" s="27"/>
      <c r="I1043" s="27"/>
      <c r="J1043" s="27"/>
      <c r="K1043" s="27"/>
      <c r="L1043" s="27"/>
      <c r="M1043" s="27"/>
      <c r="N1043" s="27"/>
      <c r="O1043" s="27"/>
      <c r="P1043" s="27"/>
      <c r="Q1043" s="27"/>
      <c r="R1043" s="27"/>
      <c r="S1043" s="27"/>
      <c r="T1043" s="27"/>
      <c r="U1043" s="27"/>
      <c r="V1043" s="27"/>
      <c r="W1043" s="27"/>
    </row>
    <row r="1044" spans="1:23">
      <c r="A1044" s="358"/>
      <c r="B1044" s="359"/>
      <c r="C1044" s="360"/>
      <c r="D1044" s="27"/>
      <c r="E1044" s="27"/>
      <c r="F1044" s="27"/>
      <c r="G1044" s="27"/>
      <c r="H1044" s="27"/>
      <c r="I1044" s="27"/>
      <c r="J1044" s="27"/>
      <c r="K1044" s="27"/>
      <c r="L1044" s="27"/>
      <c r="M1044" s="27"/>
      <c r="N1044" s="27"/>
      <c r="O1044" s="27"/>
      <c r="P1044" s="27"/>
      <c r="Q1044" s="27"/>
      <c r="R1044" s="27"/>
      <c r="S1044" s="27"/>
      <c r="T1044" s="27"/>
      <c r="U1044" s="27"/>
      <c r="V1044" s="27"/>
      <c r="W1044" s="27"/>
    </row>
    <row r="1045" spans="1:23">
      <c r="A1045" s="358"/>
      <c r="B1045" s="359"/>
      <c r="C1045" s="360"/>
      <c r="D1045" s="27"/>
      <c r="E1045" s="27"/>
      <c r="F1045" s="27"/>
      <c r="G1045" s="27"/>
      <c r="H1045" s="27"/>
      <c r="I1045" s="27"/>
      <c r="J1045" s="27"/>
      <c r="K1045" s="27"/>
      <c r="L1045" s="27"/>
      <c r="M1045" s="27"/>
      <c r="N1045" s="27"/>
      <c r="O1045" s="27"/>
      <c r="P1045" s="27"/>
      <c r="Q1045" s="27"/>
      <c r="R1045" s="27"/>
      <c r="S1045" s="27"/>
      <c r="T1045" s="27"/>
      <c r="U1045" s="27"/>
      <c r="V1045" s="27"/>
      <c r="W1045" s="27"/>
    </row>
    <row r="1046" spans="1:23">
      <c r="A1046" s="358"/>
      <c r="B1046" s="359"/>
      <c r="C1046" s="360"/>
      <c r="D1046" s="27"/>
      <c r="E1046" s="27"/>
      <c r="F1046" s="27"/>
      <c r="G1046" s="27"/>
      <c r="H1046" s="27"/>
      <c r="I1046" s="27"/>
      <c r="J1046" s="27"/>
      <c r="K1046" s="27"/>
      <c r="L1046" s="27"/>
      <c r="M1046" s="27"/>
      <c r="N1046" s="27"/>
      <c r="O1046" s="27"/>
      <c r="P1046" s="27"/>
      <c r="Q1046" s="27"/>
      <c r="R1046" s="27"/>
      <c r="S1046" s="27"/>
      <c r="T1046" s="27"/>
      <c r="U1046" s="27"/>
      <c r="V1046" s="27"/>
      <c r="W1046" s="27"/>
    </row>
    <row r="1047" spans="1:23">
      <c r="A1047" s="358"/>
      <c r="B1047" s="359"/>
      <c r="C1047" s="360"/>
      <c r="D1047" s="27"/>
      <c r="E1047" s="27"/>
      <c r="F1047" s="27"/>
      <c r="G1047" s="27"/>
      <c r="H1047" s="27"/>
      <c r="I1047" s="27"/>
      <c r="J1047" s="27"/>
      <c r="K1047" s="27"/>
      <c r="L1047" s="27"/>
      <c r="M1047" s="27"/>
      <c r="N1047" s="27"/>
      <c r="O1047" s="27"/>
      <c r="P1047" s="27"/>
      <c r="Q1047" s="27"/>
      <c r="R1047" s="27"/>
      <c r="S1047" s="27"/>
      <c r="T1047" s="27"/>
      <c r="U1047" s="27"/>
      <c r="V1047" s="27"/>
      <c r="W1047" s="27"/>
    </row>
    <row r="1048" spans="1:23">
      <c r="A1048" s="358"/>
      <c r="B1048" s="359"/>
      <c r="C1048" s="360"/>
      <c r="D1048" s="27"/>
      <c r="E1048" s="27"/>
      <c r="F1048" s="27"/>
      <c r="G1048" s="27"/>
      <c r="H1048" s="27"/>
      <c r="I1048" s="27"/>
      <c r="J1048" s="27"/>
      <c r="K1048" s="27"/>
      <c r="L1048" s="27"/>
      <c r="M1048" s="27"/>
      <c r="N1048" s="27"/>
      <c r="O1048" s="27"/>
      <c r="P1048" s="27"/>
      <c r="Q1048" s="27"/>
      <c r="R1048" s="27"/>
      <c r="S1048" s="27"/>
      <c r="T1048" s="27"/>
      <c r="U1048" s="27"/>
      <c r="V1048" s="27"/>
      <c r="W1048" s="27"/>
    </row>
    <row r="1049" spans="1:23">
      <c r="A1049" s="358"/>
      <c r="B1049" s="359"/>
      <c r="C1049" s="360"/>
      <c r="D1049" s="27"/>
      <c r="E1049" s="27"/>
      <c r="F1049" s="27"/>
      <c r="G1049" s="27"/>
      <c r="H1049" s="27"/>
      <c r="I1049" s="27"/>
      <c r="J1049" s="27"/>
      <c r="K1049" s="27"/>
      <c r="L1049" s="27"/>
      <c r="M1049" s="27"/>
      <c r="N1049" s="27"/>
      <c r="O1049" s="27"/>
      <c r="P1049" s="27"/>
      <c r="Q1049" s="27"/>
      <c r="R1049" s="27"/>
      <c r="S1049" s="27"/>
      <c r="T1049" s="27"/>
      <c r="U1049" s="27"/>
      <c r="V1049" s="27"/>
      <c r="W1049" s="27"/>
    </row>
    <row r="1050" spans="1:23">
      <c r="A1050" s="358"/>
      <c r="B1050" s="359"/>
      <c r="C1050" s="360"/>
      <c r="D1050" s="27"/>
      <c r="E1050" s="27"/>
      <c r="F1050" s="27"/>
      <c r="G1050" s="27"/>
      <c r="H1050" s="27"/>
      <c r="I1050" s="27"/>
      <c r="J1050" s="27"/>
      <c r="K1050" s="27"/>
      <c r="L1050" s="27"/>
      <c r="M1050" s="27"/>
      <c r="N1050" s="27"/>
      <c r="O1050" s="27"/>
      <c r="P1050" s="27"/>
      <c r="Q1050" s="27"/>
      <c r="R1050" s="27"/>
      <c r="S1050" s="27"/>
      <c r="T1050" s="27"/>
      <c r="U1050" s="27"/>
      <c r="V1050" s="27"/>
      <c r="W1050" s="27"/>
    </row>
    <row r="1051" spans="1:23">
      <c r="A1051" s="358"/>
      <c r="B1051" s="359"/>
      <c r="C1051" s="360"/>
      <c r="D1051" s="27"/>
      <c r="E1051" s="27"/>
      <c r="F1051" s="27"/>
      <c r="G1051" s="27"/>
      <c r="H1051" s="27"/>
      <c r="I1051" s="27"/>
      <c r="J1051" s="27"/>
      <c r="K1051" s="27"/>
      <c r="L1051" s="27"/>
      <c r="M1051" s="27"/>
      <c r="N1051" s="27"/>
      <c r="O1051" s="27"/>
      <c r="P1051" s="27"/>
      <c r="Q1051" s="27"/>
      <c r="R1051" s="27"/>
      <c r="S1051" s="27"/>
      <c r="T1051" s="27"/>
      <c r="U1051" s="27"/>
      <c r="V1051" s="27"/>
      <c r="W1051" s="27"/>
    </row>
    <row r="1052" spans="1:23">
      <c r="A1052" s="358"/>
      <c r="B1052" s="359"/>
      <c r="C1052" s="360"/>
      <c r="D1052" s="27"/>
      <c r="E1052" s="27"/>
      <c r="F1052" s="27"/>
      <c r="G1052" s="27"/>
      <c r="H1052" s="27"/>
      <c r="I1052" s="27"/>
      <c r="J1052" s="27"/>
      <c r="K1052" s="27"/>
      <c r="L1052" s="27"/>
      <c r="M1052" s="27"/>
      <c r="N1052" s="27"/>
      <c r="O1052" s="27"/>
      <c r="P1052" s="27"/>
      <c r="Q1052" s="27"/>
      <c r="R1052" s="27"/>
      <c r="S1052" s="27"/>
      <c r="T1052" s="27"/>
      <c r="U1052" s="27"/>
      <c r="V1052" s="27"/>
      <c r="W1052" s="27"/>
    </row>
    <row r="1053" spans="1:23">
      <c r="A1053" s="358"/>
      <c r="B1053" s="359"/>
      <c r="C1053" s="360"/>
      <c r="D1053" s="27"/>
      <c r="E1053" s="27"/>
      <c r="F1053" s="27"/>
      <c r="G1053" s="27"/>
      <c r="H1053" s="27"/>
      <c r="I1053" s="27"/>
      <c r="J1053" s="27"/>
      <c r="K1053" s="27"/>
      <c r="L1053" s="27"/>
      <c r="M1053" s="27"/>
      <c r="N1053" s="27"/>
      <c r="O1053" s="27"/>
      <c r="P1053" s="27"/>
      <c r="Q1053" s="27"/>
      <c r="R1053" s="27"/>
      <c r="S1053" s="27"/>
      <c r="T1053" s="27"/>
      <c r="U1053" s="27"/>
      <c r="V1053" s="27"/>
      <c r="W1053" s="27"/>
    </row>
    <row r="1054" spans="1:23">
      <c r="A1054" s="358"/>
      <c r="B1054" s="359"/>
      <c r="C1054" s="360"/>
      <c r="D1054" s="27"/>
      <c r="E1054" s="27"/>
      <c r="F1054" s="27"/>
      <c r="G1054" s="27"/>
      <c r="H1054" s="27"/>
      <c r="I1054" s="27"/>
      <c r="J1054" s="27"/>
      <c r="K1054" s="27"/>
      <c r="L1054" s="27"/>
      <c r="M1054" s="27"/>
      <c r="N1054" s="27"/>
      <c r="O1054" s="27"/>
      <c r="P1054" s="27"/>
      <c r="Q1054" s="27"/>
      <c r="R1054" s="27"/>
      <c r="S1054" s="27"/>
      <c r="T1054" s="27"/>
      <c r="U1054" s="27"/>
      <c r="V1054" s="27"/>
      <c r="W1054" s="27"/>
    </row>
    <row r="1055" spans="1:23">
      <c r="A1055" s="358"/>
      <c r="B1055" s="359"/>
      <c r="C1055" s="360"/>
      <c r="D1055" s="27"/>
      <c r="E1055" s="27"/>
      <c r="F1055" s="27"/>
      <c r="G1055" s="27"/>
      <c r="H1055" s="27"/>
      <c r="I1055" s="27"/>
      <c r="J1055" s="27"/>
      <c r="K1055" s="27"/>
      <c r="L1055" s="27"/>
      <c r="M1055" s="27"/>
      <c r="N1055" s="27"/>
      <c r="O1055" s="27"/>
      <c r="P1055" s="27"/>
      <c r="Q1055" s="27"/>
      <c r="R1055" s="27"/>
      <c r="S1055" s="27"/>
      <c r="T1055" s="27"/>
      <c r="U1055" s="27"/>
      <c r="V1055" s="27"/>
      <c r="W1055" s="27"/>
    </row>
    <row r="1056" spans="1:23">
      <c r="A1056" s="358"/>
      <c r="B1056" s="359"/>
      <c r="C1056" s="360"/>
      <c r="D1056" s="27"/>
      <c r="E1056" s="27"/>
      <c r="F1056" s="27"/>
      <c r="G1056" s="27"/>
      <c r="H1056" s="27"/>
      <c r="I1056" s="27"/>
      <c r="J1056" s="27"/>
      <c r="K1056" s="27"/>
      <c r="L1056" s="27"/>
      <c r="M1056" s="27"/>
      <c r="N1056" s="27"/>
      <c r="O1056" s="27"/>
      <c r="P1056" s="27"/>
      <c r="Q1056" s="27"/>
      <c r="R1056" s="27"/>
      <c r="S1056" s="27"/>
      <c r="T1056" s="27"/>
      <c r="U1056" s="27"/>
      <c r="V1056" s="27"/>
      <c r="W1056" s="27"/>
    </row>
    <row r="1057" spans="1:23">
      <c r="A1057" s="358"/>
      <c r="B1057" s="359"/>
      <c r="C1057" s="360"/>
      <c r="D1057" s="27"/>
      <c r="E1057" s="27"/>
      <c r="F1057" s="27"/>
      <c r="G1057" s="27"/>
      <c r="H1057" s="27"/>
      <c r="I1057" s="27"/>
      <c r="J1057" s="27"/>
      <c r="K1057" s="27"/>
      <c r="L1057" s="27"/>
      <c r="M1057" s="27"/>
      <c r="N1057" s="27"/>
      <c r="O1057" s="27"/>
      <c r="P1057" s="27"/>
      <c r="Q1057" s="27"/>
      <c r="R1057" s="27"/>
      <c r="S1057" s="27"/>
      <c r="T1057" s="27"/>
      <c r="U1057" s="27"/>
      <c r="V1057" s="27"/>
      <c r="W1057" s="27"/>
    </row>
    <row r="1058" spans="1:23">
      <c r="A1058" s="358"/>
      <c r="B1058" s="359"/>
      <c r="C1058" s="360"/>
      <c r="D1058" s="27"/>
      <c r="E1058" s="27"/>
      <c r="F1058" s="27"/>
      <c r="G1058" s="27"/>
      <c r="H1058" s="27"/>
      <c r="I1058" s="27"/>
      <c r="J1058" s="27"/>
      <c r="K1058" s="27"/>
      <c r="L1058" s="27"/>
      <c r="M1058" s="27"/>
      <c r="N1058" s="27"/>
      <c r="O1058" s="27"/>
      <c r="P1058" s="27"/>
      <c r="Q1058" s="27"/>
      <c r="R1058" s="27"/>
      <c r="S1058" s="27"/>
      <c r="T1058" s="27"/>
      <c r="U1058" s="27"/>
      <c r="V1058" s="27"/>
      <c r="W1058" s="27"/>
    </row>
    <row r="1059" spans="1:23">
      <c r="A1059" s="358"/>
      <c r="B1059" s="359"/>
      <c r="C1059" s="360"/>
      <c r="D1059" s="27"/>
      <c r="E1059" s="27"/>
      <c r="F1059" s="27"/>
      <c r="G1059" s="27"/>
      <c r="H1059" s="27"/>
      <c r="I1059" s="27"/>
      <c r="J1059" s="27"/>
      <c r="K1059" s="27"/>
      <c r="L1059" s="27"/>
      <c r="M1059" s="27"/>
      <c r="N1059" s="27"/>
      <c r="O1059" s="27"/>
      <c r="P1059" s="27"/>
      <c r="Q1059" s="27"/>
      <c r="R1059" s="27"/>
      <c r="S1059" s="27"/>
      <c r="T1059" s="27"/>
      <c r="U1059" s="27"/>
      <c r="V1059" s="27"/>
      <c r="W1059" s="27"/>
    </row>
    <row r="1060" spans="1:23">
      <c r="A1060" s="358"/>
      <c r="B1060" s="359"/>
      <c r="C1060" s="360"/>
      <c r="D1060" s="27"/>
      <c r="E1060" s="27"/>
      <c r="F1060" s="27"/>
      <c r="G1060" s="27"/>
      <c r="H1060" s="27"/>
      <c r="I1060" s="27"/>
      <c r="J1060" s="27"/>
      <c r="K1060" s="27"/>
      <c r="L1060" s="27"/>
      <c r="M1060" s="27"/>
      <c r="N1060" s="27"/>
      <c r="O1060" s="27"/>
      <c r="P1060" s="27"/>
      <c r="Q1060" s="27"/>
      <c r="R1060" s="27"/>
      <c r="S1060" s="27"/>
      <c r="T1060" s="27"/>
      <c r="U1060" s="27"/>
      <c r="V1060" s="27"/>
      <c r="W1060" s="27"/>
    </row>
    <row r="1061" spans="1:23">
      <c r="A1061" s="358"/>
      <c r="B1061" s="359"/>
      <c r="C1061" s="360"/>
      <c r="D1061" s="27"/>
      <c r="E1061" s="27"/>
      <c r="F1061" s="27"/>
      <c r="G1061" s="27"/>
      <c r="H1061" s="27"/>
      <c r="I1061" s="27"/>
      <c r="J1061" s="27"/>
      <c r="K1061" s="27"/>
      <c r="L1061" s="27"/>
      <c r="M1061" s="27"/>
      <c r="N1061" s="27"/>
      <c r="O1061" s="27"/>
      <c r="P1061" s="27"/>
      <c r="Q1061" s="27"/>
      <c r="R1061" s="27"/>
      <c r="S1061" s="27"/>
      <c r="T1061" s="27"/>
      <c r="U1061" s="27"/>
      <c r="V1061" s="27"/>
      <c r="W1061" s="27"/>
    </row>
    <row r="1062" spans="1:23">
      <c r="A1062" s="358"/>
      <c r="B1062" s="359"/>
      <c r="C1062" s="360"/>
      <c r="D1062" s="27"/>
      <c r="E1062" s="27"/>
      <c r="F1062" s="27"/>
      <c r="G1062" s="27"/>
      <c r="H1062" s="27"/>
      <c r="I1062" s="27"/>
      <c r="J1062" s="27"/>
      <c r="K1062" s="27"/>
      <c r="L1062" s="27"/>
      <c r="M1062" s="27"/>
      <c r="N1062" s="27"/>
      <c r="O1062" s="27"/>
      <c r="P1062" s="27"/>
      <c r="Q1062" s="27"/>
      <c r="R1062" s="27"/>
      <c r="S1062" s="27"/>
      <c r="T1062" s="27"/>
      <c r="U1062" s="27"/>
      <c r="V1062" s="27"/>
      <c r="W1062" s="27"/>
    </row>
    <row r="1063" spans="1:23">
      <c r="A1063" s="27"/>
      <c r="B1063" s="84"/>
      <c r="C1063" s="27"/>
      <c r="D1063" s="27"/>
      <c r="E1063" s="27"/>
      <c r="F1063" s="27"/>
      <c r="G1063" s="27"/>
      <c r="H1063" s="27"/>
      <c r="I1063" s="27"/>
      <c r="J1063" s="27"/>
      <c r="K1063" s="27"/>
      <c r="L1063" s="27"/>
      <c r="M1063" s="27"/>
      <c r="N1063" s="27"/>
      <c r="O1063" s="27"/>
      <c r="P1063" s="27"/>
      <c r="Q1063" s="27"/>
      <c r="R1063" s="27"/>
      <c r="S1063" s="27"/>
      <c r="T1063" s="27"/>
      <c r="U1063" s="27"/>
      <c r="V1063" s="27"/>
      <c r="W1063" s="27"/>
    </row>
    <row r="1064" spans="1:23">
      <c r="A1064" s="27"/>
      <c r="B1064" s="84"/>
      <c r="C1064" s="27"/>
      <c r="D1064" s="27"/>
      <c r="E1064" s="27"/>
      <c r="F1064" s="27"/>
      <c r="G1064" s="27"/>
      <c r="H1064" s="27"/>
      <c r="I1064" s="27"/>
      <c r="J1064" s="27"/>
      <c r="K1064" s="27"/>
      <c r="L1064" s="27"/>
      <c r="M1064" s="27"/>
      <c r="N1064" s="27"/>
      <c r="O1064" s="27"/>
      <c r="P1064" s="27"/>
      <c r="Q1064" s="27"/>
      <c r="R1064" s="27"/>
      <c r="S1064" s="27"/>
      <c r="T1064" s="27"/>
      <c r="U1064" s="27"/>
      <c r="V1064" s="27"/>
      <c r="W1064" s="27"/>
    </row>
    <row r="1065" spans="1:23">
      <c r="A1065" s="27"/>
      <c r="B1065" s="84"/>
      <c r="C1065" s="27"/>
      <c r="D1065" s="27"/>
      <c r="E1065" s="27"/>
      <c r="F1065" s="27"/>
      <c r="G1065" s="27"/>
      <c r="H1065" s="27"/>
      <c r="I1065" s="27"/>
      <c r="J1065" s="27"/>
      <c r="K1065" s="27"/>
      <c r="L1065" s="27"/>
      <c r="M1065" s="27"/>
      <c r="N1065" s="27"/>
      <c r="O1065" s="27"/>
      <c r="P1065" s="27"/>
      <c r="Q1065" s="27"/>
      <c r="R1065" s="27"/>
      <c r="S1065" s="27"/>
      <c r="T1065" s="27"/>
      <c r="U1065" s="27"/>
      <c r="V1065" s="27"/>
      <c r="W1065" s="27"/>
    </row>
    <row r="1066" spans="1:23">
      <c r="A1066" s="27"/>
      <c r="B1066" s="84"/>
      <c r="C1066" s="27"/>
      <c r="D1066" s="27"/>
      <c r="E1066" s="27"/>
      <c r="F1066" s="27"/>
      <c r="G1066" s="27"/>
      <c r="H1066" s="27"/>
      <c r="I1066" s="27"/>
      <c r="J1066" s="27"/>
      <c r="K1066" s="27"/>
      <c r="L1066" s="27"/>
      <c r="M1066" s="27"/>
      <c r="N1066" s="27"/>
      <c r="O1066" s="27"/>
      <c r="P1066" s="27"/>
      <c r="Q1066" s="27"/>
      <c r="R1066" s="27"/>
      <c r="S1066" s="27"/>
      <c r="T1066" s="27"/>
      <c r="U1066" s="27"/>
      <c r="V1066" s="27"/>
      <c r="W1066" s="27"/>
    </row>
    <row r="1067" spans="1:23">
      <c r="A1067" s="27"/>
      <c r="B1067" s="84"/>
      <c r="C1067" s="27"/>
      <c r="D1067" s="27"/>
      <c r="E1067" s="27"/>
      <c r="F1067" s="27"/>
      <c r="G1067" s="27"/>
      <c r="H1067" s="27"/>
      <c r="I1067" s="27"/>
      <c r="J1067" s="27"/>
      <c r="K1067" s="27"/>
      <c r="L1067" s="27"/>
      <c r="M1067" s="27"/>
      <c r="N1067" s="27"/>
      <c r="O1067" s="27"/>
      <c r="P1067" s="27"/>
      <c r="Q1067" s="27"/>
      <c r="R1067" s="27"/>
      <c r="S1067" s="27"/>
      <c r="T1067" s="27"/>
      <c r="U1067" s="27"/>
      <c r="V1067" s="27"/>
      <c r="W1067" s="27"/>
    </row>
    <row r="1068" spans="1:23">
      <c r="A1068" s="27"/>
      <c r="B1068" s="84"/>
      <c r="C1068" s="27"/>
      <c r="D1068" s="27"/>
      <c r="E1068" s="27"/>
      <c r="F1068" s="27"/>
      <c r="G1068" s="27"/>
      <c r="H1068" s="27"/>
      <c r="I1068" s="27"/>
      <c r="J1068" s="27"/>
      <c r="K1068" s="27"/>
      <c r="L1068" s="27"/>
      <c r="M1068" s="27"/>
      <c r="N1068" s="27"/>
      <c r="O1068" s="27"/>
      <c r="P1068" s="27"/>
      <c r="Q1068" s="27"/>
      <c r="R1068" s="27"/>
      <c r="S1068" s="27"/>
      <c r="T1068" s="27"/>
      <c r="U1068" s="27"/>
      <c r="V1068" s="27"/>
      <c r="W1068" s="27"/>
    </row>
    <row r="1069" spans="1:23">
      <c r="A1069" s="27"/>
      <c r="B1069" s="84"/>
      <c r="C1069" s="27"/>
      <c r="D1069" s="27"/>
      <c r="E1069" s="27"/>
      <c r="F1069" s="27"/>
      <c r="G1069" s="27"/>
      <c r="H1069" s="27"/>
      <c r="I1069" s="27"/>
      <c r="J1069" s="27"/>
      <c r="K1069" s="27"/>
      <c r="L1069" s="27"/>
      <c r="M1069" s="27"/>
      <c r="N1069" s="27"/>
      <c r="O1069" s="27"/>
      <c r="P1069" s="27"/>
      <c r="Q1069" s="27"/>
      <c r="R1069" s="27"/>
      <c r="S1069" s="27"/>
      <c r="T1069" s="27"/>
      <c r="U1069" s="27"/>
      <c r="V1069" s="27"/>
      <c r="W1069" s="27"/>
    </row>
    <row r="1070" spans="1:23">
      <c r="A1070" s="27"/>
      <c r="B1070" s="84"/>
      <c r="C1070" s="27"/>
      <c r="D1070" s="27"/>
      <c r="E1070" s="27"/>
      <c r="F1070" s="27"/>
      <c r="G1070" s="27"/>
      <c r="H1070" s="27"/>
      <c r="I1070" s="27"/>
      <c r="J1070" s="27"/>
      <c r="K1070" s="27"/>
      <c r="L1070" s="27"/>
      <c r="M1070" s="27"/>
      <c r="N1070" s="27"/>
      <c r="O1070" s="27"/>
      <c r="P1070" s="27"/>
      <c r="Q1070" s="27"/>
      <c r="R1070" s="27"/>
      <c r="S1070" s="27"/>
      <c r="T1070" s="27"/>
      <c r="U1070" s="27"/>
      <c r="V1070" s="27"/>
      <c r="W1070" s="27"/>
    </row>
    <row r="1071" spans="1:23">
      <c r="A1071" s="27"/>
      <c r="B1071" s="84"/>
      <c r="C1071" s="27"/>
      <c r="D1071" s="27"/>
      <c r="E1071" s="27"/>
      <c r="F1071" s="27"/>
      <c r="G1071" s="27"/>
      <c r="H1071" s="27"/>
      <c r="I1071" s="27"/>
      <c r="J1071" s="27"/>
      <c r="K1071" s="27"/>
      <c r="L1071" s="27"/>
      <c r="M1071" s="27"/>
      <c r="N1071" s="27"/>
      <c r="O1071" s="27"/>
      <c r="P1071" s="27"/>
      <c r="Q1071" s="27"/>
      <c r="R1071" s="27"/>
      <c r="S1071" s="27"/>
      <c r="T1071" s="27"/>
      <c r="U1071" s="27"/>
      <c r="V1071" s="27"/>
      <c r="W1071" s="27"/>
    </row>
    <row r="1072" spans="1:23">
      <c r="A1072" s="27"/>
      <c r="B1072" s="84"/>
      <c r="C1072" s="27"/>
      <c r="D1072" s="27"/>
      <c r="E1072" s="27"/>
      <c r="F1072" s="27"/>
      <c r="G1072" s="27"/>
      <c r="H1072" s="27"/>
      <c r="I1072" s="27"/>
      <c r="J1072" s="27"/>
      <c r="K1072" s="27"/>
      <c r="L1072" s="27"/>
      <c r="M1072" s="27"/>
      <c r="N1072" s="27"/>
      <c r="O1072" s="27"/>
      <c r="P1072" s="27"/>
      <c r="Q1072" s="27"/>
      <c r="R1072" s="27"/>
      <c r="S1072" s="27"/>
      <c r="T1072" s="27"/>
      <c r="U1072" s="27"/>
      <c r="V1072" s="27"/>
      <c r="W1072" s="27"/>
    </row>
    <row r="1073" spans="1:23">
      <c r="A1073" s="27"/>
      <c r="B1073" s="84"/>
      <c r="C1073" s="27"/>
      <c r="D1073" s="27"/>
      <c r="E1073" s="27"/>
      <c r="F1073" s="27"/>
      <c r="G1073" s="27"/>
      <c r="H1073" s="27"/>
      <c r="I1073" s="27"/>
      <c r="J1073" s="27"/>
      <c r="K1073" s="27"/>
      <c r="L1073" s="27"/>
      <c r="M1073" s="27"/>
      <c r="N1073" s="27"/>
      <c r="O1073" s="27"/>
      <c r="P1073" s="27"/>
      <c r="Q1073" s="27"/>
      <c r="R1073" s="27"/>
      <c r="S1073" s="27"/>
      <c r="T1073" s="27"/>
      <c r="U1073" s="27"/>
      <c r="V1073" s="27"/>
      <c r="W1073" s="27"/>
    </row>
    <row r="1074" spans="1:23">
      <c r="A1074" s="27"/>
      <c r="B1074" s="84"/>
      <c r="C1074" s="27"/>
      <c r="D1074" s="27"/>
      <c r="E1074" s="27"/>
      <c r="F1074" s="27"/>
      <c r="G1074" s="27"/>
      <c r="H1074" s="27"/>
      <c r="I1074" s="27"/>
      <c r="J1074" s="27"/>
      <c r="K1074" s="27"/>
      <c r="L1074" s="27"/>
      <c r="M1074" s="27"/>
      <c r="N1074" s="27"/>
      <c r="O1074" s="27"/>
      <c r="P1074" s="27"/>
      <c r="Q1074" s="27"/>
      <c r="R1074" s="27"/>
      <c r="S1074" s="27"/>
      <c r="T1074" s="27"/>
      <c r="U1074" s="27"/>
      <c r="V1074" s="27"/>
      <c r="W1074" s="27"/>
    </row>
    <row r="1075" spans="1:23">
      <c r="A1075" s="27"/>
      <c r="B1075" s="84"/>
      <c r="C1075" s="27"/>
      <c r="D1075" s="27"/>
      <c r="E1075" s="27"/>
      <c r="F1075" s="27"/>
      <c r="G1075" s="27"/>
      <c r="H1075" s="27"/>
      <c r="I1075" s="27"/>
      <c r="J1075" s="27"/>
      <c r="K1075" s="27"/>
      <c r="L1075" s="27"/>
      <c r="M1075" s="27"/>
      <c r="N1075" s="27"/>
      <c r="O1075" s="27"/>
      <c r="P1075" s="27"/>
      <c r="Q1075" s="27"/>
      <c r="R1075" s="27"/>
      <c r="S1075" s="27"/>
      <c r="T1075" s="27"/>
      <c r="U1075" s="27"/>
      <c r="V1075" s="27"/>
      <c r="W1075" s="27"/>
    </row>
    <row r="1076" spans="1:23">
      <c r="A1076" s="27"/>
      <c r="B1076" s="84"/>
      <c r="C1076" s="27"/>
      <c r="D1076" s="27"/>
      <c r="E1076" s="27"/>
      <c r="F1076" s="27"/>
      <c r="G1076" s="27"/>
      <c r="H1076" s="27"/>
      <c r="I1076" s="27"/>
      <c r="J1076" s="27"/>
      <c r="K1076" s="27"/>
      <c r="L1076" s="27"/>
      <c r="M1076" s="27"/>
      <c r="N1076" s="27"/>
      <c r="O1076" s="27"/>
      <c r="P1076" s="27"/>
      <c r="Q1076" s="27"/>
      <c r="R1076" s="27"/>
      <c r="S1076" s="27"/>
      <c r="T1076" s="27"/>
      <c r="U1076" s="27"/>
      <c r="V1076" s="27"/>
      <c r="W1076" s="27"/>
    </row>
    <row r="1077" spans="1:23">
      <c r="A1077" s="27"/>
      <c r="B1077" s="84"/>
      <c r="C1077" s="27"/>
      <c r="D1077" s="27"/>
      <c r="E1077" s="27"/>
      <c r="F1077" s="27"/>
      <c r="G1077" s="27"/>
      <c r="H1077" s="27"/>
      <c r="I1077" s="27"/>
      <c r="J1077" s="27"/>
      <c r="K1077" s="27"/>
      <c r="L1077" s="27"/>
      <c r="M1077" s="27"/>
      <c r="N1077" s="27"/>
      <c r="O1077" s="27"/>
      <c r="P1077" s="27"/>
      <c r="Q1077" s="27"/>
      <c r="R1077" s="27"/>
      <c r="S1077" s="27"/>
      <c r="T1077" s="27"/>
      <c r="U1077" s="27"/>
      <c r="V1077" s="27"/>
      <c r="W1077" s="27"/>
    </row>
    <row r="1078" spans="1:23">
      <c r="A1078" s="27"/>
      <c r="B1078" s="84"/>
      <c r="C1078" s="27"/>
      <c r="D1078" s="27"/>
      <c r="E1078" s="27"/>
      <c r="F1078" s="27"/>
      <c r="G1078" s="27"/>
      <c r="H1078" s="27"/>
      <c r="I1078" s="27"/>
      <c r="J1078" s="27"/>
      <c r="K1078" s="27"/>
      <c r="L1078" s="27"/>
      <c r="M1078" s="27"/>
      <c r="N1078" s="27"/>
      <c r="O1078" s="27"/>
      <c r="P1078" s="27"/>
      <c r="Q1078" s="27"/>
      <c r="R1078" s="27"/>
      <c r="S1078" s="27"/>
      <c r="T1078" s="27"/>
      <c r="U1078" s="27"/>
      <c r="V1078" s="27"/>
      <c r="W1078" s="27"/>
    </row>
    <row r="1079" spans="1:23">
      <c r="A1079" s="27"/>
      <c r="B1079" s="84"/>
      <c r="C1079" s="27"/>
      <c r="D1079" s="27"/>
      <c r="E1079" s="27"/>
      <c r="F1079" s="27"/>
      <c r="G1079" s="27"/>
      <c r="H1079" s="27"/>
      <c r="I1079" s="27"/>
      <c r="J1079" s="27"/>
      <c r="K1079" s="27"/>
      <c r="L1079" s="27"/>
      <c r="M1079" s="27"/>
      <c r="N1079" s="27"/>
      <c r="O1079" s="27"/>
      <c r="P1079" s="27"/>
      <c r="Q1079" s="27"/>
      <c r="R1079" s="27"/>
      <c r="S1079" s="27"/>
      <c r="T1079" s="27"/>
      <c r="U1079" s="27"/>
      <c r="V1079" s="27"/>
      <c r="W1079" s="27"/>
    </row>
    <row r="1080" spans="1:23">
      <c r="A1080" s="27"/>
      <c r="B1080" s="84"/>
      <c r="C1080" s="27"/>
      <c r="D1080" s="27"/>
      <c r="E1080" s="27"/>
      <c r="F1080" s="27"/>
      <c r="G1080" s="27"/>
      <c r="H1080" s="27"/>
      <c r="I1080" s="27"/>
      <c r="J1080" s="27"/>
      <c r="K1080" s="27"/>
      <c r="L1080" s="27"/>
      <c r="M1080" s="27"/>
      <c r="N1080" s="27"/>
      <c r="O1080" s="27"/>
      <c r="P1080" s="27"/>
      <c r="Q1080" s="27"/>
      <c r="R1080" s="27"/>
      <c r="S1080" s="27"/>
      <c r="T1080" s="27"/>
      <c r="U1080" s="27"/>
      <c r="V1080" s="27"/>
      <c r="W1080" s="27"/>
    </row>
    <row r="1081" spans="1:23">
      <c r="A1081" s="27"/>
      <c r="B1081" s="84"/>
      <c r="C1081" s="27"/>
      <c r="D1081" s="27"/>
      <c r="E1081" s="27"/>
      <c r="F1081" s="27"/>
      <c r="G1081" s="27"/>
      <c r="H1081" s="27"/>
      <c r="I1081" s="27"/>
      <c r="J1081" s="27"/>
      <c r="K1081" s="27"/>
      <c r="L1081" s="27"/>
      <c r="M1081" s="27"/>
      <c r="N1081" s="27"/>
      <c r="O1081" s="27"/>
      <c r="P1081" s="27"/>
      <c r="Q1081" s="27"/>
      <c r="R1081" s="27"/>
      <c r="S1081" s="27"/>
      <c r="T1081" s="27"/>
      <c r="U1081" s="27"/>
      <c r="V1081" s="27"/>
      <c r="W1081" s="27"/>
    </row>
    <row r="1082" spans="1:23">
      <c r="A1082" s="27"/>
      <c r="B1082" s="84"/>
      <c r="C1082" s="27"/>
      <c r="D1082" s="27"/>
      <c r="E1082" s="27"/>
      <c r="F1082" s="27"/>
      <c r="G1082" s="27"/>
      <c r="H1082" s="27"/>
      <c r="I1082" s="27"/>
      <c r="J1082" s="27"/>
      <c r="K1082" s="27"/>
      <c r="L1082" s="27"/>
      <c r="M1082" s="27"/>
      <c r="N1082" s="27"/>
      <c r="O1082" s="27"/>
      <c r="P1082" s="27"/>
      <c r="Q1082" s="27"/>
      <c r="R1082" s="27"/>
      <c r="S1082" s="27"/>
      <c r="T1082" s="27"/>
      <c r="U1082" s="27"/>
      <c r="V1082" s="27"/>
      <c r="W1082" s="27"/>
    </row>
    <row r="1083" spans="1:23">
      <c r="A1083" s="27"/>
      <c r="B1083" s="84"/>
      <c r="C1083" s="27"/>
      <c r="D1083" s="27"/>
      <c r="E1083" s="27"/>
      <c r="F1083" s="27"/>
      <c r="G1083" s="27"/>
      <c r="H1083" s="27"/>
      <c r="I1083" s="27"/>
      <c r="J1083" s="27"/>
      <c r="K1083" s="27"/>
      <c r="L1083" s="27"/>
      <c r="M1083" s="27"/>
      <c r="N1083" s="27"/>
      <c r="O1083" s="27"/>
      <c r="P1083" s="27"/>
      <c r="Q1083" s="27"/>
      <c r="R1083" s="27"/>
      <c r="S1083" s="27"/>
      <c r="T1083" s="27"/>
      <c r="U1083" s="27"/>
      <c r="V1083" s="27"/>
      <c r="W1083" s="27"/>
    </row>
    <row r="1084" spans="1:23">
      <c r="A1084" s="27"/>
      <c r="B1084" s="84"/>
      <c r="C1084" s="27"/>
      <c r="D1084" s="27"/>
      <c r="E1084" s="27"/>
      <c r="F1084" s="27"/>
      <c r="G1084" s="27"/>
      <c r="H1084" s="27"/>
      <c r="I1084" s="27"/>
      <c r="J1084" s="27"/>
      <c r="K1084" s="27"/>
      <c r="L1084" s="27"/>
      <c r="M1084" s="27"/>
      <c r="N1084" s="27"/>
      <c r="O1084" s="27"/>
      <c r="P1084" s="27"/>
      <c r="Q1084" s="27"/>
      <c r="R1084" s="27"/>
      <c r="S1084" s="27"/>
      <c r="T1084" s="27"/>
      <c r="U1084" s="27"/>
      <c r="V1084" s="27"/>
      <c r="W1084" s="27"/>
    </row>
    <row r="1085" spans="1:23">
      <c r="A1085" s="27"/>
      <c r="B1085" s="84"/>
      <c r="C1085" s="27"/>
      <c r="D1085" s="27"/>
      <c r="E1085" s="27"/>
      <c r="F1085" s="27"/>
      <c r="G1085" s="27"/>
      <c r="H1085" s="27"/>
      <c r="I1085" s="27"/>
      <c r="J1085" s="27"/>
      <c r="K1085" s="27"/>
      <c r="L1085" s="27"/>
      <c r="M1085" s="27"/>
      <c r="N1085" s="27"/>
      <c r="O1085" s="27"/>
      <c r="P1085" s="27"/>
      <c r="Q1085" s="27"/>
      <c r="R1085" s="27"/>
      <c r="S1085" s="27"/>
      <c r="T1085" s="27"/>
      <c r="U1085" s="27"/>
      <c r="V1085" s="27"/>
      <c r="W1085" s="27"/>
    </row>
    <row r="1086" spans="1:23">
      <c r="A1086" s="27"/>
      <c r="B1086" s="84"/>
      <c r="C1086" s="27"/>
      <c r="D1086" s="27"/>
      <c r="E1086" s="27"/>
      <c r="F1086" s="27"/>
      <c r="G1086" s="27"/>
      <c r="H1086" s="27"/>
      <c r="I1086" s="27"/>
      <c r="J1086" s="27"/>
      <c r="K1086" s="27"/>
      <c r="L1086" s="27"/>
      <c r="M1086" s="27"/>
      <c r="N1086" s="27"/>
      <c r="O1086" s="27"/>
      <c r="P1086" s="27"/>
      <c r="Q1086" s="27"/>
      <c r="R1086" s="27"/>
      <c r="S1086" s="27"/>
      <c r="T1086" s="27"/>
      <c r="U1086" s="27"/>
      <c r="V1086" s="27"/>
      <c r="W1086" s="27"/>
    </row>
    <row r="1087" spans="1:23">
      <c r="A1087" s="27"/>
      <c r="B1087" s="84"/>
      <c r="C1087" s="27"/>
      <c r="D1087" s="27"/>
      <c r="E1087" s="27"/>
      <c r="F1087" s="27"/>
      <c r="G1087" s="27"/>
      <c r="H1087" s="27"/>
      <c r="I1087" s="27"/>
      <c r="J1087" s="27"/>
      <c r="K1087" s="27"/>
      <c r="L1087" s="27"/>
      <c r="M1087" s="27"/>
      <c r="N1087" s="27"/>
      <c r="O1087" s="27"/>
      <c r="P1087" s="27"/>
      <c r="Q1087" s="27"/>
      <c r="R1087" s="27"/>
      <c r="S1087" s="27"/>
      <c r="T1087" s="27"/>
      <c r="U1087" s="27"/>
      <c r="V1087" s="27"/>
      <c r="W1087" s="27"/>
    </row>
    <row r="1088" spans="1:23">
      <c r="A1088" s="27"/>
      <c r="B1088" s="84"/>
      <c r="C1088" s="27"/>
      <c r="D1088" s="27"/>
      <c r="E1088" s="27"/>
      <c r="F1088" s="27"/>
      <c r="G1088" s="27"/>
      <c r="H1088" s="27"/>
      <c r="I1088" s="27"/>
      <c r="J1088" s="27"/>
      <c r="K1088" s="27"/>
      <c r="L1088" s="27"/>
      <c r="M1088" s="27"/>
      <c r="N1088" s="27"/>
      <c r="O1088" s="27"/>
      <c r="P1088" s="27"/>
      <c r="Q1088" s="27"/>
      <c r="R1088" s="27"/>
      <c r="S1088" s="27"/>
      <c r="T1088" s="27"/>
      <c r="U1088" s="27"/>
      <c r="V1088" s="27"/>
      <c r="W1088" s="27"/>
    </row>
    <row r="1089" spans="1:23">
      <c r="A1089" s="27"/>
      <c r="B1089" s="84"/>
      <c r="C1089" s="27"/>
      <c r="D1089" s="27"/>
      <c r="E1089" s="27"/>
      <c r="F1089" s="27"/>
      <c r="G1089" s="27"/>
      <c r="H1089" s="27"/>
      <c r="I1089" s="27"/>
      <c r="J1089" s="27"/>
      <c r="K1089" s="27"/>
      <c r="L1089" s="27"/>
      <c r="M1089" s="27"/>
      <c r="N1089" s="27"/>
      <c r="O1089" s="27"/>
      <c r="P1089" s="27"/>
      <c r="Q1089" s="27"/>
      <c r="R1089" s="27"/>
      <c r="S1089" s="27"/>
      <c r="T1089" s="27"/>
      <c r="U1089" s="27"/>
      <c r="V1089" s="27"/>
      <c r="W1089" s="27"/>
    </row>
    <row r="1090" spans="1:23">
      <c r="A1090" s="27"/>
      <c r="B1090" s="84"/>
      <c r="C1090" s="27"/>
      <c r="D1090" s="27"/>
      <c r="E1090" s="27"/>
      <c r="F1090" s="27"/>
      <c r="G1090" s="27"/>
      <c r="H1090" s="27"/>
      <c r="I1090" s="27"/>
      <c r="J1090" s="27"/>
      <c r="K1090" s="27"/>
      <c r="L1090" s="27"/>
      <c r="M1090" s="27"/>
      <c r="N1090" s="27"/>
      <c r="O1090" s="27"/>
      <c r="P1090" s="27"/>
      <c r="Q1090" s="27"/>
      <c r="R1090" s="27"/>
      <c r="S1090" s="27"/>
      <c r="T1090" s="27"/>
      <c r="U1090" s="27"/>
      <c r="V1090" s="27"/>
      <c r="W1090" s="27"/>
    </row>
    <row r="1091" spans="1:23">
      <c r="A1091" s="27"/>
      <c r="B1091" s="84"/>
      <c r="C1091" s="27"/>
      <c r="D1091" s="27"/>
      <c r="E1091" s="27"/>
      <c r="F1091" s="27"/>
      <c r="G1091" s="27"/>
      <c r="H1091" s="27"/>
      <c r="I1091" s="27"/>
      <c r="J1091" s="27"/>
      <c r="K1091" s="27"/>
      <c r="L1091" s="27"/>
      <c r="M1091" s="27"/>
      <c r="N1091" s="27"/>
      <c r="O1091" s="27"/>
      <c r="P1091" s="27"/>
      <c r="Q1091" s="27"/>
      <c r="R1091" s="27"/>
      <c r="S1091" s="27"/>
      <c r="T1091" s="27"/>
      <c r="U1091" s="27"/>
      <c r="V1091" s="27"/>
      <c r="W1091" s="27"/>
    </row>
    <row r="1092" spans="1:23">
      <c r="A1092" s="27"/>
      <c r="B1092" s="84"/>
      <c r="C1092" s="27"/>
      <c r="D1092" s="27"/>
      <c r="E1092" s="27"/>
      <c r="F1092" s="27"/>
      <c r="G1092" s="27"/>
      <c r="H1092" s="27"/>
      <c r="I1092" s="27"/>
      <c r="J1092" s="27"/>
      <c r="K1092" s="27"/>
      <c r="L1092" s="27"/>
      <c r="M1092" s="27"/>
      <c r="N1092" s="27"/>
      <c r="O1092" s="27"/>
      <c r="P1092" s="27"/>
      <c r="Q1092" s="27"/>
      <c r="R1092" s="27"/>
      <c r="S1092" s="27"/>
      <c r="T1092" s="27"/>
      <c r="U1092" s="27"/>
      <c r="V1092" s="27"/>
      <c r="W1092" s="27"/>
    </row>
    <row r="1093" spans="1:23">
      <c r="A1093" s="27"/>
      <c r="B1093" s="84"/>
      <c r="C1093" s="27"/>
      <c r="D1093" s="27"/>
      <c r="E1093" s="27"/>
      <c r="F1093" s="27"/>
      <c r="G1093" s="27"/>
      <c r="H1093" s="27"/>
      <c r="I1093" s="27"/>
      <c r="J1093" s="27"/>
      <c r="K1093" s="27"/>
      <c r="L1093" s="27"/>
      <c r="M1093" s="27"/>
      <c r="N1093" s="27"/>
      <c r="O1093" s="27"/>
      <c r="P1093" s="27"/>
      <c r="Q1093" s="27"/>
      <c r="R1093" s="27"/>
      <c r="S1093" s="27"/>
      <c r="T1093" s="27"/>
      <c r="U1093" s="27"/>
      <c r="V1093" s="27"/>
      <c r="W1093" s="27"/>
    </row>
    <row r="1094" spans="1:23">
      <c r="A1094" s="27"/>
      <c r="B1094" s="84"/>
      <c r="C1094" s="27"/>
      <c r="D1094" s="27"/>
      <c r="E1094" s="27"/>
      <c r="F1094" s="27"/>
      <c r="G1094" s="27"/>
      <c r="H1094" s="27"/>
      <c r="I1094" s="27"/>
      <c r="J1094" s="27"/>
      <c r="K1094" s="27"/>
      <c r="L1094" s="27"/>
      <c r="M1094" s="27"/>
      <c r="N1094" s="27"/>
      <c r="O1094" s="27"/>
      <c r="P1094" s="27"/>
      <c r="Q1094" s="27"/>
      <c r="R1094" s="27"/>
      <c r="S1094" s="27"/>
      <c r="T1094" s="27"/>
      <c r="U1094" s="27"/>
      <c r="V1094" s="27"/>
      <c r="W1094" s="27"/>
    </row>
    <row r="1095" spans="1:23">
      <c r="A1095" s="27"/>
      <c r="B1095" s="84"/>
      <c r="C1095" s="27"/>
      <c r="D1095" s="27"/>
      <c r="E1095" s="27"/>
      <c r="F1095" s="27"/>
      <c r="G1095" s="27"/>
      <c r="H1095" s="27"/>
      <c r="I1095" s="27"/>
      <c r="J1095" s="27"/>
      <c r="K1095" s="27"/>
      <c r="L1095" s="27"/>
      <c r="M1095" s="27"/>
      <c r="N1095" s="27"/>
      <c r="O1095" s="27"/>
      <c r="P1095" s="27"/>
      <c r="Q1095" s="27"/>
      <c r="R1095" s="27"/>
      <c r="S1095" s="27"/>
      <c r="T1095" s="27"/>
      <c r="U1095" s="27"/>
      <c r="V1095" s="27"/>
      <c r="W1095" s="27"/>
    </row>
    <row r="1096" spans="1:23">
      <c r="A1096" s="27"/>
      <c r="B1096" s="84"/>
      <c r="C1096" s="27"/>
      <c r="D1096" s="27"/>
      <c r="E1096" s="27"/>
      <c r="F1096" s="27"/>
      <c r="G1096" s="27"/>
      <c r="H1096" s="27"/>
      <c r="I1096" s="27"/>
      <c r="J1096" s="27"/>
      <c r="K1096" s="27"/>
      <c r="L1096" s="27"/>
      <c r="M1096" s="27"/>
      <c r="N1096" s="27"/>
      <c r="O1096" s="27"/>
      <c r="P1096" s="27"/>
      <c r="Q1096" s="27"/>
      <c r="R1096" s="27"/>
      <c r="S1096" s="27"/>
      <c r="T1096" s="27"/>
      <c r="U1096" s="27"/>
      <c r="V1096" s="27"/>
      <c r="W1096" s="27"/>
    </row>
    <row r="1097" spans="1:23">
      <c r="A1097" s="27"/>
      <c r="B1097" s="84"/>
      <c r="C1097" s="27"/>
      <c r="D1097" s="27"/>
      <c r="E1097" s="27"/>
      <c r="F1097" s="27"/>
      <c r="G1097" s="27"/>
      <c r="H1097" s="27"/>
      <c r="I1097" s="27"/>
      <c r="J1097" s="27"/>
      <c r="K1097" s="27"/>
      <c r="L1097" s="27"/>
      <c r="M1097" s="27"/>
      <c r="N1097" s="27"/>
      <c r="O1097" s="27"/>
      <c r="P1097" s="27"/>
      <c r="Q1097" s="27"/>
      <c r="R1097" s="27"/>
      <c r="S1097" s="27"/>
      <c r="T1097" s="27"/>
      <c r="U1097" s="27"/>
      <c r="V1097" s="27"/>
      <c r="W1097" s="27"/>
    </row>
    <row r="1098" spans="1:23">
      <c r="A1098" s="27"/>
      <c r="B1098" s="84"/>
      <c r="C1098" s="27"/>
      <c r="D1098" s="27"/>
      <c r="E1098" s="27"/>
      <c r="F1098" s="27"/>
      <c r="G1098" s="27"/>
      <c r="H1098" s="27"/>
      <c r="I1098" s="27"/>
      <c r="J1098" s="27"/>
      <c r="K1098" s="27"/>
      <c r="L1098" s="27"/>
      <c r="M1098" s="27"/>
      <c r="N1098" s="27"/>
      <c r="O1098" s="27"/>
      <c r="P1098" s="27"/>
      <c r="Q1098" s="27"/>
      <c r="R1098" s="27"/>
      <c r="S1098" s="27"/>
      <c r="T1098" s="27"/>
      <c r="U1098" s="27"/>
      <c r="V1098" s="27"/>
      <c r="W1098" s="27"/>
    </row>
    <row r="1099" spans="1:23">
      <c r="A1099" s="27"/>
      <c r="B1099" s="84"/>
      <c r="C1099" s="27"/>
      <c r="D1099" s="27"/>
      <c r="E1099" s="27"/>
      <c r="F1099" s="27"/>
      <c r="G1099" s="27"/>
      <c r="H1099" s="27"/>
      <c r="I1099" s="27"/>
      <c r="J1099" s="27"/>
      <c r="K1099" s="27"/>
      <c r="L1099" s="27"/>
      <c r="M1099" s="27"/>
      <c r="N1099" s="27"/>
      <c r="O1099" s="27"/>
      <c r="P1099" s="27"/>
      <c r="Q1099" s="27"/>
      <c r="R1099" s="27"/>
      <c r="S1099" s="27"/>
      <c r="T1099" s="27"/>
      <c r="U1099" s="27"/>
      <c r="V1099" s="27"/>
      <c r="W1099" s="27"/>
    </row>
    <row r="1100" spans="1:23">
      <c r="A1100" s="27"/>
      <c r="B1100" s="84"/>
      <c r="C1100" s="27"/>
      <c r="D1100" s="27"/>
      <c r="E1100" s="27"/>
      <c r="F1100" s="27"/>
      <c r="G1100" s="27"/>
      <c r="H1100" s="27"/>
      <c r="I1100" s="27"/>
      <c r="J1100" s="27"/>
      <c r="K1100" s="27"/>
      <c r="L1100" s="27"/>
      <c r="M1100" s="27"/>
      <c r="N1100" s="27"/>
      <c r="O1100" s="27"/>
      <c r="P1100" s="27"/>
      <c r="Q1100" s="27"/>
      <c r="R1100" s="27"/>
      <c r="S1100" s="27"/>
      <c r="T1100" s="27"/>
      <c r="U1100" s="27"/>
      <c r="V1100" s="27"/>
      <c r="W1100" s="27"/>
    </row>
    <row r="1101" spans="1:23">
      <c r="A1101" s="27"/>
      <c r="B1101" s="84"/>
      <c r="C1101" s="27"/>
      <c r="D1101" s="27"/>
      <c r="E1101" s="27"/>
      <c r="F1101" s="27"/>
      <c r="G1101" s="27"/>
      <c r="H1101" s="27"/>
      <c r="I1101" s="27"/>
      <c r="J1101" s="27"/>
      <c r="K1101" s="27"/>
      <c r="L1101" s="27"/>
      <c r="M1101" s="27"/>
      <c r="N1101" s="27"/>
      <c r="O1101" s="27"/>
      <c r="P1101" s="27"/>
      <c r="Q1101" s="27"/>
      <c r="R1101" s="27"/>
      <c r="S1101" s="27"/>
      <c r="T1101" s="27"/>
      <c r="U1101" s="27"/>
      <c r="V1101" s="27"/>
      <c r="W1101" s="27"/>
    </row>
    <row r="1102" spans="1:23">
      <c r="A1102" s="27"/>
      <c r="B1102" s="84"/>
      <c r="C1102" s="27"/>
      <c r="D1102" s="27"/>
      <c r="E1102" s="27"/>
      <c r="F1102" s="27"/>
      <c r="G1102" s="27"/>
      <c r="H1102" s="27"/>
      <c r="I1102" s="27"/>
      <c r="J1102" s="27"/>
      <c r="K1102" s="27"/>
      <c r="L1102" s="27"/>
      <c r="M1102" s="27"/>
      <c r="N1102" s="27"/>
      <c r="O1102" s="27"/>
      <c r="P1102" s="27"/>
      <c r="Q1102" s="27"/>
      <c r="R1102" s="27"/>
      <c r="S1102" s="27"/>
      <c r="T1102" s="27"/>
      <c r="U1102" s="27"/>
      <c r="V1102" s="27"/>
      <c r="W1102" s="27"/>
    </row>
    <row r="1103" spans="1:23">
      <c r="A1103" s="27"/>
    </row>
    <row r="1104" spans="1:23">
      <c r="A1104" s="27"/>
    </row>
    <row r="1105" spans="1:1">
      <c r="A1105" s="27"/>
    </row>
    <row r="1106" spans="1:1">
      <c r="A1106" s="27"/>
    </row>
    <row r="1107" spans="1:1">
      <c r="A1107" s="27"/>
    </row>
    <row r="1108" spans="1:1">
      <c r="A1108" s="27"/>
    </row>
  </sheetData>
  <mergeCells count="10">
    <mergeCell ref="G21:J23"/>
    <mergeCell ref="G11:H11"/>
    <mergeCell ref="B15:E15"/>
    <mergeCell ref="G15:H15"/>
    <mergeCell ref="B13:D13"/>
    <mergeCell ref="B7:H7"/>
    <mergeCell ref="B11:C11"/>
    <mergeCell ref="B9:D9"/>
    <mergeCell ref="G17:H17"/>
    <mergeCell ref="G19:H19"/>
  </mergeCells>
  <dataValidations count="1">
    <dataValidation type="list" allowBlank="1" showInputMessage="1" showErrorMessage="1" sqref="G11:H11" xr:uid="{00000000-0002-0000-0900-000000000000}">
      <formula1>"Add New Activity Rates, Update Existing Activity"</formula1>
    </dataValidation>
  </dataValidation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AP49"/>
  <sheetViews>
    <sheetView zoomScale="85" zoomScaleNormal="85" workbookViewId="0">
      <selection activeCell="A45" sqref="A45:J47"/>
    </sheetView>
  </sheetViews>
  <sheetFormatPr defaultRowHeight="14.45"/>
  <cols>
    <col min="1" max="1" width="17.140625" customWidth="1"/>
    <col min="2" max="2" width="14.140625" customWidth="1"/>
    <col min="3" max="3" width="14.42578125" customWidth="1"/>
    <col min="4" max="4" width="24.140625" customWidth="1"/>
    <col min="5" max="5" width="11.5703125" customWidth="1"/>
    <col min="6" max="6" width="13.5703125" customWidth="1"/>
    <col min="7" max="7" width="12.5703125" customWidth="1"/>
    <col min="8" max="8" width="12.42578125" customWidth="1"/>
    <col min="9" max="9" width="14.5703125" customWidth="1"/>
    <col min="10" max="10" width="13.42578125" customWidth="1"/>
    <col min="11" max="11" width="10.85546875" customWidth="1"/>
    <col min="12" max="12" width="12.42578125" customWidth="1"/>
    <col min="13" max="13" width="14.5703125" customWidth="1"/>
    <col min="14" max="14" width="19.42578125" customWidth="1"/>
    <col min="15" max="15" width="10.5703125" customWidth="1"/>
    <col min="16" max="16" width="12.42578125" customWidth="1"/>
    <col min="17" max="17" width="14.140625" customWidth="1"/>
    <col min="18" max="18" width="13.85546875" customWidth="1"/>
    <col min="19" max="19" width="11.85546875" customWidth="1"/>
    <col min="20" max="20" width="14.42578125" customWidth="1"/>
    <col min="21" max="21" width="15.42578125" customWidth="1"/>
    <col min="22" max="22" width="11.42578125" customWidth="1"/>
    <col min="23" max="23" width="10.5703125" customWidth="1"/>
    <col min="24" max="24" width="15.140625" customWidth="1"/>
    <col min="25" max="25" width="13.5703125" customWidth="1"/>
    <col min="26" max="26" width="15.5703125" customWidth="1"/>
    <col min="27" max="27" width="13.5703125" customWidth="1"/>
    <col min="28" max="28" width="10.5703125" customWidth="1"/>
    <col min="29" max="29" width="12.85546875" customWidth="1"/>
    <col min="30" max="30" width="11.5703125" customWidth="1"/>
    <col min="31" max="31" width="11.42578125" customWidth="1"/>
    <col min="32" max="32" width="12.5703125" customWidth="1"/>
    <col min="33" max="33" width="11.42578125" customWidth="1"/>
    <col min="36" max="36" width="12.5703125" customWidth="1"/>
    <col min="37" max="37" width="14.5703125" customWidth="1"/>
    <col min="38" max="38" width="15.5703125" customWidth="1"/>
    <col min="40" max="40" width="13.42578125" customWidth="1"/>
    <col min="41" max="41" width="15" customWidth="1"/>
    <col min="42" max="42" width="14.5703125" customWidth="1"/>
    <col min="43" max="43" width="12.5703125" customWidth="1"/>
  </cols>
  <sheetData>
    <row r="1" spans="1:42" ht="93.6" customHeight="1">
      <c r="A1" s="109" t="s">
        <v>816</v>
      </c>
      <c r="B1" s="110" t="s">
        <v>817</v>
      </c>
      <c r="C1" s="110" t="s">
        <v>818</v>
      </c>
      <c r="D1" s="110" t="s">
        <v>819</v>
      </c>
      <c r="E1" s="110" t="s">
        <v>820</v>
      </c>
      <c r="F1" s="110" t="s">
        <v>821</v>
      </c>
      <c r="G1" s="110" t="s">
        <v>822</v>
      </c>
      <c r="H1" s="110" t="s">
        <v>823</v>
      </c>
      <c r="I1" s="109" t="s">
        <v>824</v>
      </c>
      <c r="J1" s="110" t="s">
        <v>825</v>
      </c>
      <c r="K1" s="131" t="s">
        <v>826</v>
      </c>
      <c r="L1" s="132" t="s">
        <v>721</v>
      </c>
      <c r="M1" s="131" t="s">
        <v>827</v>
      </c>
      <c r="N1" s="109" t="s">
        <v>828</v>
      </c>
      <c r="O1" s="110" t="s">
        <v>829</v>
      </c>
      <c r="P1" s="110" t="s">
        <v>830</v>
      </c>
      <c r="Q1" s="110" t="s">
        <v>831</v>
      </c>
      <c r="R1" s="110" t="s">
        <v>90</v>
      </c>
      <c r="S1" s="110" t="s">
        <v>91</v>
      </c>
      <c r="T1" s="110" t="s">
        <v>832</v>
      </c>
      <c r="U1" s="110" t="s">
        <v>93</v>
      </c>
      <c r="V1" s="110" t="s">
        <v>94</v>
      </c>
      <c r="W1" s="110" t="s">
        <v>95</v>
      </c>
      <c r="X1" s="133" t="s">
        <v>833</v>
      </c>
      <c r="Y1" s="108" t="s">
        <v>97</v>
      </c>
      <c r="Z1" s="134" t="s">
        <v>834</v>
      </c>
      <c r="AA1" s="135" t="s">
        <v>835</v>
      </c>
      <c r="AB1" s="136" t="s">
        <v>836</v>
      </c>
      <c r="AC1" s="111" t="s">
        <v>816</v>
      </c>
      <c r="AD1" s="112" t="s">
        <v>837</v>
      </c>
      <c r="AE1" s="112" t="s">
        <v>838</v>
      </c>
      <c r="AF1" s="137" t="s">
        <v>839</v>
      </c>
      <c r="AG1" s="113" t="s">
        <v>840</v>
      </c>
      <c r="AH1" s="114" t="s">
        <v>841</v>
      </c>
      <c r="AI1" s="115" t="s">
        <v>842</v>
      </c>
      <c r="AJ1" s="113" t="s">
        <v>843</v>
      </c>
      <c r="AK1" s="114" t="s">
        <v>844</v>
      </c>
      <c r="AL1" s="114" t="s">
        <v>845</v>
      </c>
      <c r="AM1" s="116" t="s">
        <v>846</v>
      </c>
      <c r="AN1" s="113" t="s">
        <v>847</v>
      </c>
      <c r="AO1" s="114" t="s">
        <v>848</v>
      </c>
      <c r="AP1" s="130" t="s">
        <v>849</v>
      </c>
    </row>
    <row r="2" spans="1:42" ht="42.6" customHeight="1">
      <c r="A2" s="117"/>
      <c r="B2" s="117" t="s">
        <v>850</v>
      </c>
      <c r="C2" s="117" t="s">
        <v>851</v>
      </c>
      <c r="D2" s="118"/>
      <c r="E2" s="117"/>
      <c r="F2" s="117"/>
      <c r="G2" s="117"/>
      <c r="H2" s="117"/>
      <c r="I2" s="138"/>
      <c r="J2" s="119"/>
      <c r="K2" s="138"/>
      <c r="L2" s="119"/>
      <c r="M2" s="119"/>
      <c r="N2" s="119"/>
      <c r="O2" s="119"/>
      <c r="P2" s="119"/>
      <c r="Q2" s="119"/>
      <c r="R2" s="119"/>
      <c r="S2" s="119"/>
      <c r="T2" s="119"/>
      <c r="U2" s="119"/>
      <c r="V2" s="119"/>
      <c r="W2" s="119"/>
      <c r="X2" s="119"/>
      <c r="Y2" s="138"/>
      <c r="Z2" s="119"/>
      <c r="AA2" s="119"/>
      <c r="AB2" s="119"/>
      <c r="AC2" s="120"/>
      <c r="AD2" s="120"/>
      <c r="AE2" s="120"/>
      <c r="AF2" s="120"/>
      <c r="AG2" s="120"/>
      <c r="AH2" s="120"/>
      <c r="AI2" s="120"/>
      <c r="AJ2" s="120"/>
      <c r="AK2" s="120"/>
      <c r="AL2" s="120"/>
      <c r="AM2" s="120"/>
      <c r="AN2" s="120"/>
      <c r="AO2" s="120"/>
      <c r="AP2" s="139"/>
    </row>
    <row r="4" spans="1:42" ht="15" thickBot="1">
      <c r="A4" s="750" t="s">
        <v>852</v>
      </c>
      <c r="B4" s="750"/>
    </row>
    <row r="5" spans="1:42" ht="15" thickBot="1">
      <c r="A5" s="751" t="s">
        <v>853</v>
      </c>
      <c r="B5" s="752"/>
      <c r="C5" s="752"/>
      <c r="D5" s="752"/>
      <c r="E5" s="752"/>
      <c r="F5" s="752"/>
      <c r="G5" s="752"/>
      <c r="H5" s="752"/>
      <c r="I5" s="752"/>
      <c r="J5" s="752"/>
      <c r="K5" s="752"/>
      <c r="L5" s="752"/>
      <c r="M5" s="752"/>
      <c r="N5" s="752"/>
      <c r="O5" s="752"/>
      <c r="P5" s="752"/>
      <c r="Q5" s="752"/>
      <c r="R5" s="752"/>
      <c r="S5" s="753"/>
    </row>
    <row r="6" spans="1:42" ht="50.1">
      <c r="A6" s="109" t="s">
        <v>816</v>
      </c>
      <c r="B6" s="110" t="s">
        <v>817</v>
      </c>
      <c r="C6" s="110" t="s">
        <v>818</v>
      </c>
      <c r="D6" s="110" t="s">
        <v>819</v>
      </c>
      <c r="E6" s="110" t="s">
        <v>820</v>
      </c>
      <c r="F6" s="110" t="s">
        <v>821</v>
      </c>
      <c r="G6" s="110" t="s">
        <v>822</v>
      </c>
      <c r="H6" s="110" t="s">
        <v>823</v>
      </c>
      <c r="I6" s="110" t="s">
        <v>825</v>
      </c>
      <c r="J6" s="110" t="s">
        <v>831</v>
      </c>
      <c r="K6" s="110" t="s">
        <v>90</v>
      </c>
      <c r="L6" s="110" t="s">
        <v>91</v>
      </c>
      <c r="M6" s="110" t="s">
        <v>832</v>
      </c>
      <c r="N6" s="110" t="s">
        <v>93</v>
      </c>
      <c r="O6" s="110" t="s">
        <v>94</v>
      </c>
      <c r="P6" s="110" t="s">
        <v>95</v>
      </c>
      <c r="Q6" s="121" t="s">
        <v>834</v>
      </c>
      <c r="R6" s="122" t="s">
        <v>835</v>
      </c>
      <c r="S6" s="123" t="s">
        <v>836</v>
      </c>
      <c r="T6" s="140" t="s">
        <v>123</v>
      </c>
    </row>
    <row r="7" spans="1:42" ht="27.6" customHeight="1">
      <c r="A7" s="344" t="s">
        <v>118</v>
      </c>
      <c r="B7" s="349" t="s">
        <v>854</v>
      </c>
      <c r="C7" s="344" t="s">
        <v>855</v>
      </c>
      <c r="D7" s="344" t="s">
        <v>118</v>
      </c>
      <c r="E7" s="344" t="s">
        <v>118</v>
      </c>
      <c r="F7" s="344" t="s">
        <v>118</v>
      </c>
      <c r="G7" s="344" t="s">
        <v>118</v>
      </c>
      <c r="H7" s="344" t="s">
        <v>118</v>
      </c>
      <c r="I7" s="119"/>
      <c r="J7" s="344" t="s">
        <v>118</v>
      </c>
      <c r="K7" s="344" t="s">
        <v>118</v>
      </c>
      <c r="L7" s="344" t="s">
        <v>118</v>
      </c>
      <c r="M7" s="344" t="s">
        <v>118</v>
      </c>
      <c r="N7" s="344" t="s">
        <v>118</v>
      </c>
      <c r="O7" s="344" t="s">
        <v>118</v>
      </c>
      <c r="P7" s="344" t="s">
        <v>118</v>
      </c>
      <c r="Q7" s="344" t="s">
        <v>118</v>
      </c>
      <c r="R7" s="344" t="s">
        <v>118</v>
      </c>
      <c r="S7" s="344" t="s">
        <v>118</v>
      </c>
      <c r="T7" s="343"/>
    </row>
    <row r="8" spans="1:42">
      <c r="T8" s="17"/>
    </row>
    <row r="9" spans="1:42" ht="15" thickBot="1">
      <c r="A9" s="750" t="s">
        <v>856</v>
      </c>
      <c r="B9" s="750"/>
    </row>
    <row r="10" spans="1:42" ht="15" thickBot="1">
      <c r="A10" s="751" t="s">
        <v>853</v>
      </c>
      <c r="B10" s="752"/>
      <c r="C10" s="752"/>
      <c r="D10" s="752"/>
      <c r="E10" s="752"/>
      <c r="F10" s="752"/>
      <c r="G10" s="752"/>
      <c r="H10" s="752"/>
      <c r="I10" s="752"/>
      <c r="J10" s="752"/>
      <c r="K10" s="752"/>
      <c r="L10" s="752"/>
      <c r="M10" s="752"/>
      <c r="N10" s="752"/>
      <c r="O10" s="752"/>
      <c r="P10" s="752"/>
      <c r="Q10" s="752"/>
      <c r="R10" s="752"/>
      <c r="S10" s="752"/>
      <c r="T10" s="752"/>
      <c r="U10" s="752"/>
      <c r="V10" s="752"/>
      <c r="W10" s="752"/>
      <c r="X10" s="752"/>
      <c r="Y10" s="752"/>
      <c r="Z10" s="752"/>
      <c r="AA10" s="752"/>
      <c r="AB10" s="752"/>
      <c r="AC10" s="753"/>
    </row>
    <row r="11" spans="1:42" ht="51">
      <c r="A11" s="109" t="s">
        <v>816</v>
      </c>
      <c r="B11" s="110" t="s">
        <v>817</v>
      </c>
      <c r="C11" s="110" t="s">
        <v>818</v>
      </c>
      <c r="D11" s="110" t="s">
        <v>819</v>
      </c>
      <c r="E11" s="110" t="s">
        <v>820</v>
      </c>
      <c r="F11" s="110" t="s">
        <v>821</v>
      </c>
      <c r="G11" s="110" t="s">
        <v>822</v>
      </c>
      <c r="H11" s="110" t="s">
        <v>823</v>
      </c>
      <c r="I11" s="110" t="s">
        <v>825</v>
      </c>
      <c r="J11" s="110" t="s">
        <v>831</v>
      </c>
      <c r="K11" s="110" t="s">
        <v>90</v>
      </c>
      <c r="L11" s="110" t="s">
        <v>91</v>
      </c>
      <c r="M11" s="110" t="s">
        <v>832</v>
      </c>
      <c r="N11" s="110" t="s">
        <v>93</v>
      </c>
      <c r="O11" s="110" t="s">
        <v>94</v>
      </c>
      <c r="P11" s="110" t="s">
        <v>95</v>
      </c>
      <c r="Q11" s="121" t="s">
        <v>834</v>
      </c>
      <c r="R11" s="122" t="s">
        <v>835</v>
      </c>
      <c r="S11" s="123" t="s">
        <v>836</v>
      </c>
      <c r="T11" s="124" t="s">
        <v>816</v>
      </c>
      <c r="U11" s="125" t="s">
        <v>837</v>
      </c>
      <c r="V11" s="125" t="s">
        <v>838</v>
      </c>
      <c r="W11" s="126" t="s">
        <v>840</v>
      </c>
      <c r="X11" s="127" t="s">
        <v>841</v>
      </c>
      <c r="Y11" s="128" t="s">
        <v>842</v>
      </c>
      <c r="Z11" s="126" t="s">
        <v>843</v>
      </c>
      <c r="AA11" s="127" t="s">
        <v>844</v>
      </c>
      <c r="AB11" s="127" t="s">
        <v>845</v>
      </c>
      <c r="AC11" s="129" t="s">
        <v>846</v>
      </c>
      <c r="AD11" s="140" t="s">
        <v>123</v>
      </c>
    </row>
    <row r="12" spans="1:42" ht="44.1" customHeight="1">
      <c r="A12" s="344" t="s">
        <v>118</v>
      </c>
      <c r="B12" s="349" t="s">
        <v>854</v>
      </c>
      <c r="C12" s="344" t="s">
        <v>855</v>
      </c>
      <c r="D12" s="344" t="s">
        <v>118</v>
      </c>
      <c r="E12" s="344" t="s">
        <v>118</v>
      </c>
      <c r="F12" s="344" t="s">
        <v>118</v>
      </c>
      <c r="G12" s="344" t="s">
        <v>118</v>
      </c>
      <c r="H12" s="344" t="s">
        <v>118</v>
      </c>
      <c r="I12" s="119"/>
      <c r="J12" s="344" t="s">
        <v>118</v>
      </c>
      <c r="K12" s="344" t="s">
        <v>118</v>
      </c>
      <c r="L12" s="344" t="s">
        <v>118</v>
      </c>
      <c r="M12" s="344" t="s">
        <v>118</v>
      </c>
      <c r="N12" s="344" t="s">
        <v>118</v>
      </c>
      <c r="O12" s="344" t="s">
        <v>118</v>
      </c>
      <c r="P12" s="344" t="s">
        <v>118</v>
      </c>
      <c r="Q12" s="344" t="s">
        <v>118</v>
      </c>
      <c r="R12" s="344" t="s">
        <v>118</v>
      </c>
      <c r="S12" s="344" t="s">
        <v>118</v>
      </c>
      <c r="T12" s="344" t="str">
        <f>A12</f>
        <v/>
      </c>
      <c r="U12" s="344" t="str">
        <f>D12</f>
        <v/>
      </c>
      <c r="V12" s="344" t="str">
        <f>E12</f>
        <v/>
      </c>
      <c r="W12" s="344" t="s">
        <v>118</v>
      </c>
      <c r="X12" s="344" t="s">
        <v>118</v>
      </c>
      <c r="Y12" s="344" t="s">
        <v>118</v>
      </c>
      <c r="Z12" s="344" t="s">
        <v>118</v>
      </c>
      <c r="AA12" s="344" t="s">
        <v>118</v>
      </c>
      <c r="AB12" s="344" t="s">
        <v>118</v>
      </c>
      <c r="AC12" s="344" t="s">
        <v>118</v>
      </c>
      <c r="AD12" s="343"/>
    </row>
    <row r="13" spans="1:42">
      <c r="AD13" s="17"/>
    </row>
    <row r="14" spans="1:42">
      <c r="A14" s="750" t="s">
        <v>857</v>
      </c>
      <c r="B14" s="750"/>
      <c r="D14" s="750"/>
      <c r="E14" s="750"/>
    </row>
    <row r="15" spans="1:42" ht="14.45" customHeight="1" thickBot="1">
      <c r="A15" s="747" t="s">
        <v>858</v>
      </c>
      <c r="B15" s="748"/>
      <c r="C15" s="748"/>
      <c r="D15" s="749"/>
    </row>
    <row r="16" spans="1:42" ht="45.6" customHeight="1">
      <c r="A16" s="109" t="s">
        <v>828</v>
      </c>
      <c r="B16" s="110" t="s">
        <v>829</v>
      </c>
      <c r="C16" s="461" t="s">
        <v>830</v>
      </c>
      <c r="D16" s="462" t="s">
        <v>117</v>
      </c>
    </row>
    <row r="17" spans="1:14" ht="18" customHeight="1">
      <c r="A17" s="344" t="s">
        <v>118</v>
      </c>
      <c r="B17" s="344" t="s">
        <v>118</v>
      </c>
      <c r="C17" s="344" t="s">
        <v>118</v>
      </c>
      <c r="D17" s="606"/>
    </row>
    <row r="19" spans="1:14" ht="15" thickBot="1">
      <c r="A19" s="13" t="s">
        <v>859</v>
      </c>
    </row>
    <row r="20" spans="1:14" ht="15" thickBot="1">
      <c r="A20" s="718" t="s">
        <v>860</v>
      </c>
      <c r="B20" s="719"/>
      <c r="C20" s="719"/>
      <c r="D20" s="719"/>
      <c r="E20" s="720"/>
    </row>
    <row r="21" spans="1:14" ht="36.6">
      <c r="A21" s="109" t="s">
        <v>816</v>
      </c>
      <c r="B21" s="110" t="s">
        <v>819</v>
      </c>
      <c r="C21" s="110" t="s">
        <v>820</v>
      </c>
      <c r="D21" s="110" t="s">
        <v>821</v>
      </c>
      <c r="E21" s="110" t="s">
        <v>822</v>
      </c>
      <c r="F21" s="140" t="s">
        <v>123</v>
      </c>
    </row>
    <row r="22" spans="1:14" ht="33.6" customHeight="1">
      <c r="A22" s="344" t="s">
        <v>118</v>
      </c>
      <c r="B22" s="347"/>
      <c r="C22" s="344" t="s">
        <v>118</v>
      </c>
      <c r="D22" s="344" t="s">
        <v>118</v>
      </c>
      <c r="E22" s="344" t="s">
        <v>118</v>
      </c>
      <c r="F22" s="343"/>
    </row>
    <row r="24" spans="1:14" ht="15" thickBot="1">
      <c r="A24" s="13" t="s">
        <v>861</v>
      </c>
    </row>
    <row r="25" spans="1:14" ht="15" thickBot="1">
      <c r="A25" s="718" t="s">
        <v>860</v>
      </c>
      <c r="B25" s="719"/>
      <c r="C25" s="719"/>
      <c r="D25" s="719"/>
      <c r="E25" s="719"/>
      <c r="F25" s="719"/>
      <c r="G25" s="719"/>
      <c r="H25" s="719"/>
      <c r="I25" s="720"/>
    </row>
    <row r="26" spans="1:14" ht="38.450000000000003">
      <c r="A26" s="109" t="s">
        <v>816</v>
      </c>
      <c r="B26" s="110" t="s">
        <v>819</v>
      </c>
      <c r="C26" s="110" t="s">
        <v>820</v>
      </c>
      <c r="D26" s="110" t="s">
        <v>821</v>
      </c>
      <c r="E26" s="110" t="s">
        <v>822</v>
      </c>
      <c r="F26" s="124" t="s">
        <v>816</v>
      </c>
      <c r="G26" s="125" t="s">
        <v>837</v>
      </c>
      <c r="H26" s="125" t="s">
        <v>838</v>
      </c>
      <c r="I26" s="141" t="s">
        <v>839</v>
      </c>
      <c r="J26" s="140" t="s">
        <v>123</v>
      </c>
    </row>
    <row r="27" spans="1:14">
      <c r="A27" s="344" t="s">
        <v>118</v>
      </c>
      <c r="B27" s="347"/>
      <c r="C27" s="344" t="s">
        <v>118</v>
      </c>
      <c r="D27" s="344" t="s">
        <v>118</v>
      </c>
      <c r="E27" s="344" t="s">
        <v>118</v>
      </c>
      <c r="F27" s="344" t="str">
        <f>A27</f>
        <v/>
      </c>
      <c r="G27" s="344">
        <f>B27</f>
        <v>0</v>
      </c>
      <c r="H27" s="344" t="str">
        <f>C27</f>
        <v/>
      </c>
      <c r="I27" s="344" t="s">
        <v>118</v>
      </c>
      <c r="J27" s="343"/>
    </row>
    <row r="29" spans="1:14" ht="15" thickBot="1">
      <c r="A29" s="13" t="s">
        <v>862</v>
      </c>
    </row>
    <row r="30" spans="1:14" ht="15" thickBot="1">
      <c r="A30" s="754" t="s">
        <v>858</v>
      </c>
      <c r="B30" s="755"/>
      <c r="C30" s="755"/>
      <c r="D30" s="755"/>
      <c r="E30" s="755"/>
      <c r="F30" s="755"/>
      <c r="G30" s="755"/>
      <c r="H30" s="755"/>
      <c r="I30" s="755"/>
      <c r="J30" s="755"/>
      <c r="K30" s="755"/>
      <c r="L30" s="755"/>
      <c r="M30" s="755"/>
      <c r="N30" s="756"/>
    </row>
    <row r="31" spans="1:14" ht="53.45" customHeight="1">
      <c r="A31" s="109" t="s">
        <v>828</v>
      </c>
      <c r="B31" s="110" t="s">
        <v>829</v>
      </c>
      <c r="C31" s="110" t="s">
        <v>830</v>
      </c>
      <c r="D31" s="110" t="s">
        <v>832</v>
      </c>
      <c r="E31" s="110" t="s">
        <v>93</v>
      </c>
      <c r="F31" s="110" t="s">
        <v>94</v>
      </c>
      <c r="G31" s="110" t="s">
        <v>95</v>
      </c>
      <c r="H31" s="121" t="s">
        <v>834</v>
      </c>
      <c r="I31" s="122" t="s">
        <v>835</v>
      </c>
      <c r="J31" s="123" t="s">
        <v>836</v>
      </c>
      <c r="K31" s="109" t="s">
        <v>828</v>
      </c>
      <c r="L31" s="110" t="s">
        <v>829</v>
      </c>
      <c r="M31" s="463" t="s">
        <v>830</v>
      </c>
      <c r="N31" s="464" t="s">
        <v>117</v>
      </c>
    </row>
    <row r="32" spans="1:14" ht="24" customHeight="1">
      <c r="A32" s="344" t="s">
        <v>118</v>
      </c>
      <c r="B32" s="344" t="s">
        <v>118</v>
      </c>
      <c r="C32" s="344" t="s">
        <v>118</v>
      </c>
      <c r="D32" s="348"/>
      <c r="E32" s="348"/>
      <c r="F32" s="348"/>
      <c r="G32" s="348"/>
      <c r="H32" s="344" t="s">
        <v>118</v>
      </c>
      <c r="I32" s="344" t="s">
        <v>118</v>
      </c>
      <c r="J32" s="344" t="s">
        <v>118</v>
      </c>
      <c r="K32" s="344" t="s">
        <v>118</v>
      </c>
      <c r="L32" s="344" t="s">
        <v>118</v>
      </c>
      <c r="M32" s="344" t="s">
        <v>118</v>
      </c>
      <c r="N32" s="606"/>
    </row>
    <row r="34" spans="1:11" ht="15" thickBot="1">
      <c r="A34" s="13" t="s">
        <v>863</v>
      </c>
    </row>
    <row r="35" spans="1:11" ht="15" thickBot="1">
      <c r="A35" s="718" t="s">
        <v>853</v>
      </c>
      <c r="B35" s="719"/>
      <c r="C35" s="719"/>
      <c r="D35" s="719"/>
      <c r="E35" s="719"/>
      <c r="F35" s="720"/>
    </row>
    <row r="36" spans="1:11" ht="51">
      <c r="A36" s="109" t="s">
        <v>816</v>
      </c>
      <c r="B36" s="110" t="s">
        <v>817</v>
      </c>
      <c r="C36" s="110" t="s">
        <v>819</v>
      </c>
      <c r="D36" s="110" t="s">
        <v>820</v>
      </c>
      <c r="E36" s="110" t="s">
        <v>821</v>
      </c>
      <c r="F36" s="110" t="s">
        <v>825</v>
      </c>
      <c r="G36" s="140" t="s">
        <v>123</v>
      </c>
    </row>
    <row r="37" spans="1:11" ht="26.45" customHeight="1">
      <c r="A37" s="344" t="s">
        <v>118</v>
      </c>
      <c r="B37" s="349" t="s">
        <v>864</v>
      </c>
      <c r="C37" s="349" t="s">
        <v>139</v>
      </c>
      <c r="D37" s="348" t="s">
        <v>139</v>
      </c>
      <c r="E37" s="348">
        <v>0</v>
      </c>
      <c r="F37" s="348" t="s">
        <v>142</v>
      </c>
      <c r="G37" s="343"/>
    </row>
    <row r="39" spans="1:11" ht="15" thickBot="1">
      <c r="A39" s="13" t="s">
        <v>865</v>
      </c>
    </row>
    <row r="40" spans="1:11" ht="15" thickBot="1">
      <c r="A40" s="718" t="s">
        <v>853</v>
      </c>
      <c r="B40" s="719"/>
      <c r="C40" s="719"/>
      <c r="D40" s="719"/>
      <c r="E40" s="719"/>
      <c r="F40" s="719"/>
      <c r="G40" s="719"/>
      <c r="H40" s="719"/>
      <c r="I40" s="719"/>
      <c r="J40" s="720"/>
    </row>
    <row r="41" spans="1:11" ht="51">
      <c r="A41" s="109" t="s">
        <v>816</v>
      </c>
      <c r="B41" s="110" t="s">
        <v>817</v>
      </c>
      <c r="C41" s="110" t="s">
        <v>819</v>
      </c>
      <c r="D41" s="110" t="s">
        <v>820</v>
      </c>
      <c r="E41" s="110" t="s">
        <v>821</v>
      </c>
      <c r="F41" s="110" t="s">
        <v>825</v>
      </c>
      <c r="G41" s="124" t="s">
        <v>816</v>
      </c>
      <c r="H41" s="125" t="s">
        <v>837</v>
      </c>
      <c r="I41" s="125" t="s">
        <v>838</v>
      </c>
      <c r="J41" s="141" t="s">
        <v>839</v>
      </c>
      <c r="K41" s="140" t="s">
        <v>123</v>
      </c>
    </row>
    <row r="42" spans="1:11">
      <c r="A42" s="344" t="s">
        <v>118</v>
      </c>
      <c r="B42" s="349" t="s">
        <v>864</v>
      </c>
      <c r="C42" s="349" t="s">
        <v>139</v>
      </c>
      <c r="D42" s="348" t="s">
        <v>139</v>
      </c>
      <c r="E42" s="348">
        <v>0</v>
      </c>
      <c r="F42" s="348" t="s">
        <v>142</v>
      </c>
      <c r="G42" s="348" t="str">
        <f>A42</f>
        <v/>
      </c>
      <c r="H42" s="348" t="str">
        <f>C42</f>
        <v xml:space="preserve">DNU - </v>
      </c>
      <c r="I42" s="348" t="str">
        <f>D42</f>
        <v xml:space="preserve">DNU - </v>
      </c>
      <c r="J42" s="348"/>
      <c r="K42" s="343"/>
    </row>
    <row r="44" spans="1:11" ht="15" thickBot="1">
      <c r="A44" s="13" t="s">
        <v>866</v>
      </c>
    </row>
    <row r="45" spans="1:11" ht="15" thickBot="1">
      <c r="A45" s="754" t="s">
        <v>867</v>
      </c>
      <c r="B45" s="755"/>
      <c r="C45" s="755"/>
      <c r="D45" s="755"/>
      <c r="E45" s="755"/>
      <c r="F45" s="755"/>
      <c r="G45" s="755"/>
      <c r="H45" s="755"/>
      <c r="I45" s="755"/>
      <c r="J45" s="756"/>
    </row>
    <row r="46" spans="1:11" ht="38.450000000000003" customHeight="1">
      <c r="A46" s="110" t="s">
        <v>822</v>
      </c>
      <c r="B46" s="109" t="s">
        <v>828</v>
      </c>
      <c r="C46" s="110" t="s">
        <v>829</v>
      </c>
      <c r="D46" s="110" t="s">
        <v>830</v>
      </c>
      <c r="E46" s="110" t="s">
        <v>90</v>
      </c>
      <c r="F46" s="110" t="s">
        <v>91</v>
      </c>
      <c r="G46" s="110" t="s">
        <v>832</v>
      </c>
      <c r="H46" s="110" t="s">
        <v>93</v>
      </c>
      <c r="I46" s="110" t="s">
        <v>94</v>
      </c>
      <c r="J46" s="110" t="s">
        <v>95</v>
      </c>
    </row>
    <row r="47" spans="1:11">
      <c r="A47" s="344" t="s">
        <v>118</v>
      </c>
      <c r="B47" s="344" t="s">
        <v>118</v>
      </c>
      <c r="C47" s="344" t="s">
        <v>118</v>
      </c>
      <c r="D47" s="348"/>
      <c r="E47" s="348"/>
      <c r="F47" s="348"/>
      <c r="G47" s="348"/>
      <c r="H47" s="348"/>
      <c r="I47" s="348"/>
      <c r="J47" s="348"/>
    </row>
    <row r="49" ht="15" customHeight="1"/>
  </sheetData>
  <mergeCells count="13">
    <mergeCell ref="A25:I25"/>
    <mergeCell ref="A20:E20"/>
    <mergeCell ref="A45:J45"/>
    <mergeCell ref="A35:F35"/>
    <mergeCell ref="A40:J40"/>
    <mergeCell ref="A30:N30"/>
    <mergeCell ref="A15:D15"/>
    <mergeCell ref="A4:B4"/>
    <mergeCell ref="A9:B9"/>
    <mergeCell ref="A5:S5"/>
    <mergeCell ref="A10:AC10"/>
    <mergeCell ref="D14:E14"/>
    <mergeCell ref="A14:B14"/>
  </mergeCells>
  <dataValidations count="6">
    <dataValidation type="custom" allowBlank="1" showInputMessage="1" showErrorMessage="1" sqref="D2 B27 B22" xr:uid="{00000000-0002-0000-0A00-000000000000}">
      <formula1>LEN(B2)&lt;=20</formula1>
    </dataValidation>
    <dataValidation type="custom" allowBlank="1" showInputMessage="1" showErrorMessage="1" sqref="E2" xr:uid="{00000000-0002-0000-0A00-000001000000}">
      <formula1>LEN(E2)&lt;=40</formula1>
    </dataValidation>
    <dataValidation type="custom" allowBlank="1" showInputMessage="1" showErrorMessage="1" sqref="G2" xr:uid="{00000000-0002-0000-0A00-000002000000}">
      <formula1>LEN(G2)&lt;=12</formula1>
    </dataValidation>
    <dataValidation type="list" allowBlank="1" showInputMessage="1" showErrorMessage="1" sqref="G37 K42 AD12 F22 J27 T7" xr:uid="{00000000-0002-0000-0A00-000003000000}">
      <formula1>"Yes, No"</formula1>
    </dataValidation>
    <dataValidation type="list" allowBlank="1" showInputMessage="1" showErrorMessage="1" sqref="J2 I7 I12" xr:uid="{00000000-0002-0000-0A00-000004000000}">
      <formula1>"Locked, Unlocked"</formula1>
    </dataValidation>
    <dataValidation type="list" allowBlank="1" showInputMessage="1" showErrorMessage="1" sqref="D17 N32" xr:uid="{00000000-0002-0000-0A00-000005000000}">
      <formula1>"✓, No"</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theme="5" tint="0.59999389629810485"/>
  </sheetPr>
  <dimension ref="A1:AP270"/>
  <sheetViews>
    <sheetView topLeftCell="A65" zoomScaleNormal="100" workbookViewId="0">
      <selection activeCell="G16" sqref="G16"/>
    </sheetView>
  </sheetViews>
  <sheetFormatPr defaultRowHeight="14.45"/>
  <cols>
    <col min="1" max="1" width="1.42578125" style="176" customWidth="1"/>
    <col min="2" max="2" width="39.42578125" style="176" customWidth="1"/>
    <col min="3" max="3" width="6.42578125" style="176" customWidth="1"/>
    <col min="4" max="6" width="14.5703125" style="176" customWidth="1"/>
    <col min="7" max="7" width="52.42578125" style="176" customWidth="1"/>
    <col min="8" max="8" width="20.42578125" style="176" customWidth="1"/>
    <col min="9" max="9" width="2.5703125" style="187" customWidth="1"/>
    <col min="10" max="10" width="1.5703125" style="188" customWidth="1"/>
    <col min="11" max="11" width="2.5703125" style="187" customWidth="1"/>
    <col min="12" max="12" width="3.5703125" style="176" customWidth="1"/>
  </cols>
  <sheetData>
    <row r="1" spans="1:17">
      <c r="A1" s="83"/>
      <c r="B1" s="27"/>
      <c r="C1" s="81"/>
      <c r="D1" s="81"/>
      <c r="E1" s="27"/>
      <c r="F1" s="81"/>
      <c r="G1" s="81"/>
      <c r="H1" s="27"/>
      <c r="I1" s="27"/>
      <c r="J1" s="27"/>
      <c r="K1" s="27"/>
      <c r="L1" s="81"/>
      <c r="M1" s="363">
        <f ca="1">TODAY()</f>
        <v>46008</v>
      </c>
      <c r="N1" s="27"/>
      <c r="O1" s="27"/>
      <c r="P1" s="27"/>
      <c r="Q1" s="27"/>
    </row>
    <row r="2" spans="1:17">
      <c r="A2" s="83"/>
      <c r="B2" s="27"/>
      <c r="C2" s="27"/>
      <c r="D2" s="95"/>
      <c r="E2" s="27"/>
      <c r="F2" s="82"/>
      <c r="G2" s="74"/>
      <c r="H2" s="27"/>
      <c r="I2" s="27"/>
      <c r="J2" s="27"/>
      <c r="K2" s="27"/>
      <c r="L2" s="27"/>
      <c r="M2" s="27"/>
      <c r="N2" s="27"/>
      <c r="O2" s="27"/>
      <c r="P2" s="27"/>
      <c r="Q2" s="27"/>
    </row>
    <row r="3" spans="1:17">
      <c r="A3" s="83"/>
      <c r="B3" s="27"/>
      <c r="C3" s="27"/>
      <c r="D3" s="27"/>
      <c r="E3" s="27"/>
      <c r="F3" s="74"/>
      <c r="G3" s="74"/>
      <c r="H3" s="27"/>
      <c r="I3" s="27"/>
      <c r="J3" s="27"/>
      <c r="K3" s="27"/>
      <c r="L3" s="27"/>
      <c r="M3" s="27"/>
      <c r="N3" s="27"/>
      <c r="O3" s="27"/>
      <c r="P3" s="27"/>
      <c r="Q3" s="27"/>
    </row>
    <row r="4" spans="1:17">
      <c r="A4" s="83"/>
      <c r="B4" s="27"/>
      <c r="C4" s="27"/>
      <c r="D4" s="93"/>
      <c r="E4" s="27"/>
      <c r="F4" s="74"/>
      <c r="G4" s="74"/>
      <c r="H4" s="27"/>
      <c r="I4" s="27"/>
      <c r="J4" s="27"/>
      <c r="K4" s="27"/>
      <c r="L4" s="27"/>
      <c r="M4" s="27"/>
      <c r="N4" s="27"/>
      <c r="O4" s="27"/>
      <c r="P4" s="27"/>
      <c r="Q4" s="27"/>
    </row>
    <row r="5" spans="1:17">
      <c r="A5" s="83"/>
      <c r="B5" s="27"/>
      <c r="C5" s="27"/>
      <c r="D5"/>
      <c r="E5" s="27"/>
      <c r="F5" s="27"/>
      <c r="G5" s="74"/>
      <c r="H5" s="27"/>
      <c r="I5" s="27"/>
      <c r="J5" s="27"/>
      <c r="K5" s="27"/>
      <c r="L5" s="27"/>
      <c r="M5" s="27"/>
      <c r="N5" s="27"/>
      <c r="O5" s="27"/>
      <c r="P5" s="27"/>
      <c r="Q5" s="27"/>
    </row>
    <row r="6" spans="1:17">
      <c r="A6" s="83"/>
      <c r="B6" s="95"/>
      <c r="C6" s="27"/>
      <c r="D6" s="209"/>
      <c r="E6" s="209"/>
      <c r="F6" s="209"/>
      <c r="G6" s="209"/>
      <c r="H6" s="27"/>
      <c r="I6" s="27"/>
      <c r="J6" s="27"/>
      <c r="K6" s="27"/>
      <c r="L6" s="27"/>
      <c r="M6" s="27"/>
      <c r="N6" s="27"/>
      <c r="O6" s="27"/>
      <c r="P6" s="27"/>
      <c r="Q6" s="27"/>
    </row>
    <row r="7" spans="1:17" ht="15.6">
      <c r="A7" s="83"/>
      <c r="B7" s="276" t="s">
        <v>868</v>
      </c>
      <c r="C7" s="174"/>
      <c r="D7" s="174"/>
      <c r="E7" s="174"/>
      <c r="F7" s="174"/>
      <c r="G7" s="175"/>
      <c r="H7" s="231"/>
      <c r="I7" s="27"/>
      <c r="J7" s="27"/>
      <c r="K7" s="27"/>
      <c r="L7" s="27"/>
      <c r="M7" s="27"/>
      <c r="N7" s="27"/>
      <c r="O7" s="27"/>
      <c r="P7" s="27"/>
      <c r="Q7" s="27"/>
    </row>
    <row r="8" spans="1:17">
      <c r="A8" s="83"/>
      <c r="B8" s="770" t="s">
        <v>869</v>
      </c>
      <c r="C8" s="771"/>
      <c r="D8" s="771"/>
      <c r="E8" s="771"/>
      <c r="F8" s="771"/>
      <c r="G8" s="772"/>
      <c r="H8" s="27"/>
      <c r="I8" s="27"/>
      <c r="J8" s="27"/>
      <c r="K8" s="27"/>
      <c r="L8" s="27"/>
      <c r="M8" s="27"/>
      <c r="N8" s="27"/>
      <c r="O8" s="27"/>
      <c r="P8" s="27"/>
      <c r="Q8" s="27"/>
    </row>
    <row r="9" spans="1:17" ht="15.95" thickBot="1">
      <c r="A9" s="83"/>
      <c r="B9" s="177"/>
      <c r="C9" s="178"/>
      <c r="D9" s="216"/>
      <c r="E9" s="227"/>
      <c r="F9" s="215"/>
      <c r="G9" s="228"/>
      <c r="H9" s="27"/>
      <c r="I9" s="27"/>
      <c r="J9" s="27"/>
      <c r="K9" s="27"/>
      <c r="L9" s="27"/>
      <c r="M9" s="27"/>
      <c r="N9" s="27"/>
      <c r="O9" s="27"/>
      <c r="P9" s="27"/>
      <c r="Q9" s="27"/>
    </row>
    <row r="10" spans="1:17" ht="15.95" thickBot="1">
      <c r="A10" s="83"/>
      <c r="B10" s="253" t="s">
        <v>870</v>
      </c>
      <c r="C10" s="226"/>
      <c r="D10" s="179"/>
      <c r="E10" s="217"/>
      <c r="F10" s="214"/>
      <c r="H10" s="27"/>
      <c r="I10" s="27"/>
      <c r="J10" s="27"/>
      <c r="K10" s="27"/>
      <c r="L10" s="27"/>
      <c r="M10" s="27"/>
      <c r="N10" s="27"/>
      <c r="O10" s="27"/>
      <c r="P10" s="27"/>
      <c r="Q10" s="27"/>
    </row>
    <row r="11" spans="1:17" ht="15.95" thickBot="1">
      <c r="A11" s="83"/>
      <c r="B11" s="180"/>
      <c r="C11" s="178"/>
      <c r="D11" s="216"/>
      <c r="E11" s="218"/>
      <c r="F11" s="216"/>
      <c r="G11" s="253" t="s">
        <v>805</v>
      </c>
      <c r="H11" s="27"/>
      <c r="I11" s="27"/>
      <c r="J11" s="27"/>
      <c r="K11" s="27"/>
      <c r="L11" s="27"/>
      <c r="M11" s="27"/>
      <c r="N11" s="27"/>
      <c r="O11" s="27"/>
      <c r="P11" s="27"/>
      <c r="Q11" s="27"/>
    </row>
    <row r="12" spans="1:17" ht="15.95" thickBot="1">
      <c r="A12" s="83"/>
      <c r="B12" s="254" t="s">
        <v>871</v>
      </c>
      <c r="C12" s="181"/>
      <c r="D12" s="182">
        <v>0</v>
      </c>
      <c r="E12" s="182"/>
      <c r="F12" s="182"/>
      <c r="H12" s="95"/>
      <c r="I12" s="95"/>
      <c r="J12" s="27"/>
      <c r="K12" s="27"/>
      <c r="L12" s="27"/>
      <c r="M12" s="27"/>
      <c r="N12" s="27"/>
      <c r="O12" s="27"/>
      <c r="P12" s="27"/>
      <c r="Q12" s="27"/>
    </row>
    <row r="13" spans="1:17" ht="15.6">
      <c r="A13" s="83"/>
      <c r="B13" s="229" t="s">
        <v>872</v>
      </c>
      <c r="C13" s="234"/>
      <c r="D13" s="775"/>
      <c r="E13" s="776"/>
      <c r="F13" s="179"/>
      <c r="G13" s="235" t="s">
        <v>806</v>
      </c>
      <c r="H13" s="745">
        <f ca="1">TODAY()</f>
        <v>46008</v>
      </c>
      <c r="I13" s="746"/>
      <c r="J13" s="84"/>
      <c r="K13" s="27"/>
      <c r="L13" s="27"/>
      <c r="M13" s="27"/>
      <c r="N13" s="27"/>
      <c r="O13" s="27"/>
      <c r="P13" s="27"/>
      <c r="Q13" s="27"/>
    </row>
    <row r="14" spans="1:17">
      <c r="A14" s="83"/>
      <c r="B14" s="183"/>
      <c r="C14" s="222"/>
      <c r="D14" s="184"/>
      <c r="E14" s="219"/>
      <c r="F14" s="219"/>
      <c r="G14" s="236"/>
      <c r="H14" s="81"/>
      <c r="I14" s="81"/>
      <c r="J14" s="27"/>
      <c r="K14" s="27"/>
      <c r="L14" s="27"/>
      <c r="M14" s="27"/>
      <c r="N14" s="27"/>
      <c r="O14" s="27"/>
      <c r="P14" s="27"/>
      <c r="Q14" s="27"/>
    </row>
    <row r="15" spans="1:17" ht="15.6">
      <c r="A15" s="83"/>
      <c r="B15" s="183"/>
      <c r="C15" s="179"/>
      <c r="D15" s="220"/>
      <c r="E15" s="184"/>
      <c r="F15" s="184"/>
      <c r="G15" s="237" t="s">
        <v>807</v>
      </c>
      <c r="H15" s="773"/>
      <c r="I15" s="774"/>
      <c r="J15" s="27"/>
      <c r="K15" s="27"/>
      <c r="L15" s="27"/>
      <c r="M15" s="27"/>
      <c r="N15" s="27"/>
      <c r="O15" s="27"/>
      <c r="P15" s="27"/>
      <c r="Q15" s="27"/>
    </row>
    <row r="16" spans="1:17" ht="15.6">
      <c r="A16" s="83"/>
      <c r="B16" s="27"/>
      <c r="C16" s="27"/>
      <c r="D16" s="27"/>
      <c r="E16" s="27"/>
      <c r="F16" s="185"/>
      <c r="G16" s="238"/>
      <c r="H16" s="27"/>
      <c r="I16" s="27"/>
      <c r="J16" s="27"/>
      <c r="K16" s="27"/>
      <c r="L16" s="27"/>
      <c r="M16" s="27"/>
      <c r="N16" s="27"/>
      <c r="O16" s="27"/>
      <c r="P16" s="27"/>
      <c r="Q16" s="27"/>
    </row>
    <row r="17" spans="1:42" ht="15.6">
      <c r="A17" s="83"/>
      <c r="B17" s="27"/>
      <c r="C17" s="27"/>
      <c r="D17" s="27"/>
      <c r="E17" s="27"/>
      <c r="F17" s="185"/>
      <c r="G17" s="239" t="s">
        <v>808</v>
      </c>
      <c r="H17" s="773"/>
      <c r="I17" s="774"/>
      <c r="J17" s="27"/>
      <c r="K17" s="27"/>
      <c r="L17" s="27"/>
      <c r="M17" s="27"/>
      <c r="N17" s="27"/>
      <c r="O17" s="27"/>
      <c r="P17" s="27"/>
      <c r="Q17" s="27"/>
    </row>
    <row r="18" spans="1:42">
      <c r="A18" s="83"/>
      <c r="B18" s="27"/>
      <c r="C18" s="27"/>
      <c r="D18" s="27"/>
      <c r="E18" s="27"/>
      <c r="F18" s="225"/>
      <c r="G18" s="27"/>
      <c r="H18" s="27"/>
      <c r="I18" s="27"/>
      <c r="J18" s="27"/>
      <c r="K18" s="27"/>
      <c r="L18" s="27"/>
      <c r="M18" s="27"/>
      <c r="N18" s="27"/>
      <c r="O18" s="27"/>
      <c r="P18" s="27"/>
      <c r="Q18" s="27"/>
    </row>
    <row r="19" spans="1:42" ht="14.45" hidden="1" customHeight="1">
      <c r="A19" s="83"/>
      <c r="B19" s="27"/>
      <c r="C19" s="27"/>
      <c r="D19" s="27"/>
      <c r="E19" s="27"/>
      <c r="F19" s="221"/>
      <c r="G19" s="27"/>
      <c r="H19" s="27"/>
      <c r="I19" s="27"/>
      <c r="J19" s="27"/>
      <c r="K19" s="27"/>
      <c r="L19" s="27"/>
      <c r="M19" s="27"/>
      <c r="N19" s="27"/>
      <c r="O19" s="27"/>
      <c r="P19" s="27"/>
      <c r="Q19" s="27"/>
    </row>
    <row r="20" spans="1:42">
      <c r="A20" s="83"/>
      <c r="B20" s="235" t="s">
        <v>873</v>
      </c>
      <c r="C20" s="27"/>
      <c r="D20" s="777"/>
      <c r="E20" s="778"/>
      <c r="F20" s="778"/>
      <c r="G20" s="779"/>
      <c r="H20" s="27"/>
      <c r="I20" s="27"/>
      <c r="J20" s="27"/>
      <c r="K20" s="27"/>
      <c r="L20" s="27"/>
      <c r="M20" s="27"/>
      <c r="N20" s="27"/>
      <c r="O20" s="27"/>
      <c r="P20" s="27"/>
      <c r="Q20" s="27"/>
    </row>
    <row r="21" spans="1:42">
      <c r="A21" s="83"/>
      <c r="B21" s="27"/>
      <c r="C21" s="27"/>
      <c r="D21" s="780"/>
      <c r="E21" s="781"/>
      <c r="F21" s="781"/>
      <c r="G21" s="782"/>
      <c r="H21" s="27"/>
      <c r="I21" s="27"/>
      <c r="J21" s="27"/>
      <c r="K21" s="27"/>
      <c r="L21" s="27"/>
      <c r="M21" s="27"/>
      <c r="N21" s="27"/>
      <c r="O21" s="27"/>
      <c r="P21" s="27"/>
      <c r="Q21" s="27"/>
    </row>
    <row r="22" spans="1:42" ht="15" thickBot="1">
      <c r="A22" s="83"/>
      <c r="B22" s="27"/>
      <c r="C22" s="27"/>
      <c r="D22" s="27"/>
      <c r="E22" s="27"/>
      <c r="F22" s="27"/>
      <c r="G22" s="27"/>
      <c r="H22" s="27"/>
      <c r="I22" s="27"/>
      <c r="J22" s="27"/>
      <c r="K22" s="27"/>
      <c r="L22" s="27"/>
      <c r="M22" s="27"/>
      <c r="N22" s="27"/>
      <c r="O22" s="27"/>
      <c r="P22" s="27"/>
      <c r="Q22" s="27"/>
    </row>
    <row r="23" spans="1:42" ht="15" thickBot="1">
      <c r="A23" s="83"/>
      <c r="B23" s="247" t="s">
        <v>874</v>
      </c>
      <c r="C23" s="27"/>
      <c r="D23" s="27"/>
      <c r="E23" s="27"/>
      <c r="F23" s="27"/>
      <c r="G23" s="27"/>
      <c r="H23" s="27"/>
      <c r="I23" s="27"/>
      <c r="J23" s="27"/>
      <c r="K23" s="27"/>
      <c r="L23" s="27"/>
      <c r="M23" s="27"/>
      <c r="N23" s="27"/>
      <c r="O23" s="27"/>
      <c r="P23" s="27"/>
      <c r="Q23" s="27"/>
    </row>
    <row r="24" spans="1:42">
      <c r="A24" s="83"/>
      <c r="B24" s="27"/>
      <c r="C24" s="27"/>
      <c r="D24" s="27"/>
      <c r="E24" s="27"/>
      <c r="F24" s="27"/>
      <c r="G24" s="27"/>
      <c r="H24" s="27"/>
      <c r="I24" s="27"/>
      <c r="J24" s="27"/>
      <c r="K24" s="27"/>
      <c r="L24" s="27"/>
      <c r="M24" s="27"/>
      <c r="N24" s="27"/>
      <c r="O24" s="27"/>
      <c r="P24" s="27"/>
      <c r="Q24" s="27"/>
    </row>
    <row r="25" spans="1:42">
      <c r="A25" s="83"/>
      <c r="B25" s="183" t="s">
        <v>875</v>
      </c>
      <c r="C25" s="27"/>
      <c r="D25" s="773"/>
      <c r="E25" s="774"/>
      <c r="F25" s="27"/>
      <c r="G25" s="27"/>
      <c r="H25" s="27"/>
      <c r="I25" s="27"/>
      <c r="J25" s="27"/>
      <c r="K25" s="27"/>
      <c r="L25" s="27"/>
      <c r="M25" s="27"/>
      <c r="N25" s="27"/>
      <c r="O25" s="27"/>
      <c r="P25" s="27"/>
      <c r="Q25" s="27"/>
    </row>
    <row r="26" spans="1:42" ht="15" thickBot="1">
      <c r="A26" s="83"/>
      <c r="B26" s="27"/>
      <c r="C26" s="27"/>
      <c r="D26" s="27"/>
      <c r="E26" s="27"/>
      <c r="F26" s="27"/>
      <c r="G26" s="27"/>
      <c r="H26" s="27"/>
      <c r="I26" s="27"/>
      <c r="J26" s="27"/>
      <c r="K26" s="27"/>
      <c r="L26" s="27"/>
      <c r="M26" s="27"/>
      <c r="N26" s="27"/>
      <c r="O26" s="27"/>
      <c r="P26" s="27"/>
      <c r="Q26" s="27"/>
    </row>
    <row r="27" spans="1:42" ht="15" thickBot="1">
      <c r="A27" s="83"/>
      <c r="B27" s="783" t="s">
        <v>876</v>
      </c>
      <c r="C27" s="784"/>
      <c r="D27" s="784"/>
      <c r="E27" s="784"/>
      <c r="F27" s="784"/>
      <c r="G27" s="785"/>
      <c r="H27" s="27"/>
      <c r="I27" s="27"/>
      <c r="J27" s="27"/>
      <c r="K27" s="27"/>
      <c r="L27" s="27"/>
      <c r="M27" s="27"/>
      <c r="N27" s="27"/>
      <c r="O27" s="27"/>
      <c r="P27" s="27"/>
      <c r="Q27" s="27"/>
    </row>
    <row r="28" spans="1:42" ht="15" thickBot="1">
      <c r="A28" s="83"/>
      <c r="B28" s="186"/>
      <c r="C28" s="186"/>
      <c r="D28" s="186"/>
      <c r="E28" s="186"/>
      <c r="F28" s="186"/>
      <c r="G28" s="27"/>
      <c r="H28" s="27"/>
      <c r="I28" s="27"/>
      <c r="J28" s="27"/>
      <c r="K28" s="27"/>
      <c r="L28" s="27"/>
      <c r="M28" s="27"/>
      <c r="N28" s="27"/>
      <c r="O28" s="27"/>
      <c r="P28" s="27"/>
      <c r="Q28" s="27"/>
    </row>
    <row r="29" spans="1:42">
      <c r="A29" s="83"/>
      <c r="B29" s="243" t="s">
        <v>877</v>
      </c>
      <c r="C29" s="244"/>
      <c r="D29" s="245"/>
      <c r="E29" s="245"/>
      <c r="F29" s="245"/>
      <c r="G29" s="246"/>
      <c r="H29" s="27"/>
      <c r="I29" s="27"/>
      <c r="J29" s="27"/>
      <c r="K29" s="27"/>
      <c r="L29" s="27"/>
      <c r="M29" s="27"/>
      <c r="N29" s="27"/>
      <c r="O29" s="27"/>
      <c r="P29" s="27"/>
      <c r="Q29" s="27"/>
    </row>
    <row r="30" spans="1:42" ht="21.95">
      <c r="A30" s="83"/>
      <c r="B30" s="189" t="s">
        <v>878</v>
      </c>
      <c r="C30" s="190" t="s">
        <v>879</v>
      </c>
      <c r="D30" s="191" t="s">
        <v>880</v>
      </c>
      <c r="E30" s="192" t="s">
        <v>881</v>
      </c>
      <c r="F30" s="762" t="s">
        <v>882</v>
      </c>
      <c r="G30" s="786"/>
      <c r="H30" s="27"/>
      <c r="I30" s="27"/>
      <c r="J30" s="27"/>
      <c r="K30" s="27"/>
      <c r="L30" s="27"/>
      <c r="M30" s="27"/>
      <c r="N30" s="27"/>
      <c r="O30" s="27"/>
      <c r="P30" s="27"/>
      <c r="Q30" s="27"/>
    </row>
    <row r="31" spans="1:42">
      <c r="A31" s="83"/>
      <c r="B31" s="195" t="s">
        <v>883</v>
      </c>
      <c r="C31" s="195"/>
      <c r="D31" s="195" t="s">
        <v>884</v>
      </c>
      <c r="E31" s="195" t="s">
        <v>885</v>
      </c>
      <c r="F31" s="768"/>
      <c r="G31" s="768"/>
      <c r="H31" s="84"/>
      <c r="I31" s="27"/>
      <c r="J31" s="27"/>
      <c r="K31" s="27"/>
      <c r="L31" s="27"/>
      <c r="M31" s="27"/>
      <c r="N31" s="27"/>
      <c r="O31" s="27"/>
      <c r="P31" s="27"/>
      <c r="Q31" s="27"/>
    </row>
    <row r="32" spans="1:42" ht="14.45" customHeight="1">
      <c r="A32" s="74"/>
      <c r="B32" s="195"/>
      <c r="C32" s="195"/>
      <c r="D32" s="195"/>
      <c r="E32" s="195"/>
      <c r="F32" s="768"/>
      <c r="G32" s="768"/>
      <c r="H32" s="84"/>
      <c r="I32" s="27"/>
      <c r="J32" s="27"/>
      <c r="K32" s="27"/>
      <c r="L32" s="27"/>
      <c r="M32" s="27"/>
      <c r="N32" s="27"/>
      <c r="O32" s="27"/>
      <c r="P32" s="27"/>
      <c r="Q32" s="27"/>
      <c r="R32" s="27"/>
      <c r="S32" s="27"/>
      <c r="T32" s="27"/>
      <c r="U32" s="27"/>
      <c r="V32" s="27"/>
      <c r="W32" s="27"/>
      <c r="X32" s="27"/>
      <c r="Y32" s="27"/>
      <c r="Z32" s="27"/>
      <c r="AA32" s="27"/>
      <c r="AB32" s="27"/>
      <c r="AC32" s="27"/>
      <c r="AD32" s="27"/>
      <c r="AE32" s="27"/>
      <c r="AF32" s="27"/>
      <c r="AG32" s="27"/>
      <c r="AH32" s="27"/>
      <c r="AI32" s="27"/>
      <c r="AJ32" s="27"/>
      <c r="AK32" s="27"/>
      <c r="AL32" s="27"/>
      <c r="AM32" s="27"/>
      <c r="AN32" s="27"/>
      <c r="AO32" s="27"/>
      <c r="AP32" s="27"/>
    </row>
    <row r="33" spans="1:42" ht="14.45" customHeight="1">
      <c r="A33" s="74"/>
      <c r="B33" s="195"/>
      <c r="C33" s="195"/>
      <c r="D33" s="195"/>
      <c r="E33" s="195"/>
      <c r="F33" s="768"/>
      <c r="G33" s="768"/>
      <c r="H33" s="84"/>
      <c r="I33" s="27"/>
      <c r="J33" s="27"/>
      <c r="K33" s="27"/>
      <c r="L33" s="27"/>
      <c r="M33" s="27"/>
      <c r="N33" s="27"/>
      <c r="O33" s="27"/>
      <c r="P33" s="27"/>
      <c r="Q33" s="27"/>
      <c r="R33" s="27"/>
      <c r="S33" s="27"/>
      <c r="T33" s="27"/>
      <c r="U33" s="27"/>
      <c r="V33" s="27"/>
      <c r="W33" s="27"/>
      <c r="X33" s="27"/>
      <c r="Y33" s="27"/>
      <c r="Z33" s="27"/>
      <c r="AA33" s="27"/>
      <c r="AB33" s="27"/>
      <c r="AC33" s="27"/>
      <c r="AD33" s="27"/>
      <c r="AE33" s="27"/>
      <c r="AF33" s="27"/>
      <c r="AG33" s="27"/>
      <c r="AH33" s="27"/>
      <c r="AI33" s="27"/>
      <c r="AJ33" s="27"/>
      <c r="AK33" s="27"/>
      <c r="AL33" s="27"/>
      <c r="AM33" s="27"/>
      <c r="AN33" s="27"/>
      <c r="AO33" s="27"/>
      <c r="AP33" s="27"/>
    </row>
    <row r="34" spans="1:42" ht="14.45" customHeight="1">
      <c r="A34" s="74"/>
      <c r="B34" s="195"/>
      <c r="C34" s="195"/>
      <c r="D34" s="195"/>
      <c r="E34" s="195"/>
      <c r="F34" s="769"/>
      <c r="G34" s="769"/>
      <c r="H34" s="84"/>
      <c r="I34" s="27"/>
      <c r="J34" s="27"/>
      <c r="K34" s="27"/>
      <c r="L34" s="27"/>
      <c r="M34" s="27"/>
      <c r="N34" s="27"/>
      <c r="O34" s="27"/>
      <c r="P34" s="27"/>
      <c r="Q34" s="27"/>
      <c r="R34" s="27"/>
      <c r="S34" s="27"/>
      <c r="T34" s="27"/>
      <c r="U34" s="27"/>
      <c r="V34" s="27"/>
      <c r="W34" s="27"/>
      <c r="X34" s="27"/>
      <c r="Y34" s="27"/>
      <c r="Z34" s="27"/>
      <c r="AA34" s="27"/>
      <c r="AB34" s="27"/>
      <c r="AC34" s="27"/>
      <c r="AD34" s="27"/>
      <c r="AE34" s="27"/>
      <c r="AF34" s="27"/>
      <c r="AG34" s="27"/>
      <c r="AH34" s="27"/>
      <c r="AI34" s="27"/>
      <c r="AJ34" s="27"/>
      <c r="AK34" s="27"/>
      <c r="AL34" s="27"/>
      <c r="AM34" s="27"/>
      <c r="AN34" s="27"/>
      <c r="AO34" s="27"/>
      <c r="AP34" s="27"/>
    </row>
    <row r="35" spans="1:42">
      <c r="A35" s="83"/>
      <c r="B35" s="240"/>
      <c r="C35" s="195"/>
      <c r="D35" s="240"/>
      <c r="E35" s="240"/>
      <c r="F35" s="766"/>
      <c r="G35" s="766"/>
      <c r="H35" s="84"/>
      <c r="I35" s="27"/>
      <c r="J35" s="27"/>
      <c r="K35" s="27"/>
      <c r="L35" s="27"/>
      <c r="M35" s="27"/>
      <c r="N35" s="27"/>
      <c r="O35" s="27"/>
      <c r="P35" s="27"/>
      <c r="Q35" s="27"/>
    </row>
    <row r="36" spans="1:42">
      <c r="A36" s="83"/>
      <c r="B36" s="241"/>
      <c r="C36" s="195"/>
      <c r="D36" s="242"/>
      <c r="E36" s="242"/>
      <c r="F36" s="767"/>
      <c r="G36" s="767"/>
      <c r="H36" s="84"/>
      <c r="I36" s="27"/>
      <c r="J36" s="27"/>
      <c r="K36" s="27"/>
      <c r="L36" s="27"/>
      <c r="M36" s="27"/>
      <c r="N36" s="27"/>
      <c r="O36" s="27"/>
      <c r="P36" s="27"/>
      <c r="Q36" s="27"/>
    </row>
    <row r="37" spans="1:42" ht="15" thickBot="1">
      <c r="A37" s="83"/>
      <c r="B37" s="27"/>
      <c r="C37" s="27"/>
      <c r="D37" s="27"/>
      <c r="E37" s="27"/>
      <c r="F37" s="27"/>
      <c r="G37" s="27"/>
      <c r="H37" s="27"/>
      <c r="I37" s="27"/>
      <c r="J37" s="27"/>
      <c r="K37" s="27"/>
      <c r="L37" s="27"/>
      <c r="M37" s="27"/>
      <c r="N37" s="27"/>
      <c r="O37" s="27"/>
      <c r="P37" s="27"/>
      <c r="Q37" s="27"/>
    </row>
    <row r="38" spans="1:42">
      <c r="A38" s="83"/>
      <c r="B38" s="243" t="s">
        <v>886</v>
      </c>
      <c r="C38" s="244"/>
      <c r="D38" s="245"/>
      <c r="E38" s="245"/>
      <c r="F38" s="245"/>
      <c r="G38" s="248"/>
      <c r="H38" s="27"/>
      <c r="I38" s="27"/>
      <c r="J38" s="27"/>
      <c r="K38" s="27"/>
      <c r="L38" s="27"/>
      <c r="M38" s="27"/>
      <c r="N38" s="27"/>
      <c r="O38" s="27"/>
      <c r="P38" s="27"/>
      <c r="Q38" s="27"/>
    </row>
    <row r="39" spans="1:42" ht="24">
      <c r="A39" s="83"/>
      <c r="B39" s="189" t="s">
        <v>887</v>
      </c>
      <c r="C39" s="190" t="s">
        <v>879</v>
      </c>
      <c r="D39" s="197" t="s">
        <v>888</v>
      </c>
      <c r="E39" s="192" t="s">
        <v>889</v>
      </c>
      <c r="F39" s="192" t="s">
        <v>890</v>
      </c>
      <c r="G39" s="198" t="s">
        <v>882</v>
      </c>
      <c r="H39" s="27"/>
      <c r="I39" s="27"/>
      <c r="J39" s="27"/>
      <c r="K39" s="27"/>
      <c r="L39" s="27"/>
      <c r="M39" s="27"/>
      <c r="N39" s="27"/>
      <c r="O39" s="27"/>
      <c r="P39" s="27"/>
      <c r="Q39" s="27"/>
    </row>
    <row r="40" spans="1:42">
      <c r="A40" s="83"/>
      <c r="B40" s="193" t="s">
        <v>891</v>
      </c>
      <c r="C40" s="194"/>
      <c r="D40" s="195" t="s">
        <v>892</v>
      </c>
      <c r="E40" s="199" t="s">
        <v>893</v>
      </c>
      <c r="F40" s="200" t="s">
        <v>894</v>
      </c>
      <c r="G40" s="201"/>
      <c r="H40" s="27"/>
      <c r="I40" s="27"/>
      <c r="J40" s="27"/>
      <c r="K40" s="27"/>
      <c r="L40" s="27"/>
      <c r="N40" s="27"/>
      <c r="O40" s="27"/>
      <c r="P40" s="27"/>
      <c r="Q40" s="27"/>
    </row>
    <row r="41" spans="1:42">
      <c r="A41" s="83"/>
      <c r="B41" s="193"/>
      <c r="C41" s="194"/>
      <c r="D41" s="195"/>
      <c r="E41" s="199"/>
      <c r="F41" s="200"/>
      <c r="G41" s="201"/>
      <c r="H41" s="27"/>
      <c r="I41" s="27"/>
      <c r="J41" s="27"/>
      <c r="K41" s="27"/>
      <c r="L41" s="27"/>
      <c r="M41" s="27"/>
      <c r="N41" s="27"/>
      <c r="O41" s="27"/>
      <c r="P41" s="27"/>
      <c r="Q41" s="27"/>
    </row>
    <row r="42" spans="1:42">
      <c r="A42" s="83"/>
      <c r="B42" s="193"/>
      <c r="C42" s="194"/>
      <c r="D42" s="195"/>
      <c r="E42" s="199"/>
      <c r="F42" s="200"/>
      <c r="G42" s="201"/>
      <c r="H42" s="27"/>
      <c r="I42" s="27"/>
      <c r="J42" s="27"/>
      <c r="K42" s="27"/>
      <c r="L42" s="27"/>
      <c r="M42" s="27"/>
      <c r="N42" s="27"/>
      <c r="O42" s="27"/>
      <c r="P42" s="27"/>
      <c r="Q42" s="27"/>
    </row>
    <row r="43" spans="1:42">
      <c r="A43" s="83"/>
      <c r="B43" s="202"/>
      <c r="C43" s="194"/>
      <c r="D43" s="203"/>
      <c r="E43" s="199"/>
      <c r="F43" s="204"/>
      <c r="G43" s="201"/>
      <c r="H43" s="27"/>
      <c r="I43" s="27"/>
      <c r="J43" s="27"/>
      <c r="K43" s="27"/>
      <c r="L43" s="27"/>
      <c r="M43" s="27"/>
      <c r="N43" s="27"/>
      <c r="O43" s="27"/>
      <c r="P43" s="27"/>
      <c r="Q43" s="27"/>
    </row>
    <row r="44" spans="1:42" ht="15" thickBot="1">
      <c r="A44" s="83"/>
      <c r="B44" s="27"/>
      <c r="C44" s="27"/>
      <c r="D44" s="27"/>
      <c r="E44" s="27"/>
      <c r="F44" s="27"/>
      <c r="G44" s="27"/>
      <c r="H44" s="27"/>
      <c r="I44" s="27"/>
      <c r="J44" s="27"/>
      <c r="K44" s="27"/>
      <c r="L44" s="27"/>
      <c r="M44" s="27"/>
      <c r="N44" s="27"/>
      <c r="O44" s="27"/>
      <c r="P44" s="27"/>
      <c r="Q44" s="27"/>
    </row>
    <row r="45" spans="1:42">
      <c r="A45" s="83"/>
      <c r="B45" s="243" t="s">
        <v>895</v>
      </c>
      <c r="C45" s="244"/>
      <c r="D45" s="245"/>
      <c r="E45" s="245"/>
      <c r="F45" s="245"/>
      <c r="G45" s="248"/>
      <c r="H45" s="27"/>
      <c r="I45" s="27"/>
      <c r="J45" s="27"/>
      <c r="K45" s="27"/>
      <c r="L45" s="27"/>
      <c r="M45" s="27"/>
      <c r="N45" s="27"/>
      <c r="O45" s="27"/>
      <c r="P45" s="27"/>
      <c r="Q45" s="27"/>
    </row>
    <row r="46" spans="1:42" ht="24">
      <c r="A46" s="83"/>
      <c r="B46" s="189" t="s">
        <v>887</v>
      </c>
      <c r="C46" s="190" t="s">
        <v>879</v>
      </c>
      <c r="D46" s="232" t="s">
        <v>888</v>
      </c>
      <c r="E46" s="192" t="s">
        <v>889</v>
      </c>
      <c r="F46" s="192" t="s">
        <v>890</v>
      </c>
      <c r="G46" s="198" t="s">
        <v>882</v>
      </c>
      <c r="H46" s="27"/>
      <c r="I46" s="27"/>
      <c r="J46" s="27"/>
      <c r="K46" s="27"/>
      <c r="L46" s="27"/>
      <c r="M46" s="27"/>
      <c r="N46" s="27"/>
      <c r="O46" s="27"/>
      <c r="P46" s="27"/>
      <c r="Q46" s="27"/>
    </row>
    <row r="47" spans="1:42">
      <c r="A47" s="83"/>
      <c r="B47" s="364"/>
      <c r="C47" s="365"/>
      <c r="D47" s="366"/>
      <c r="E47" s="367"/>
      <c r="F47" s="367"/>
      <c r="G47" s="368"/>
      <c r="H47" s="27"/>
      <c r="I47" s="27"/>
      <c r="J47" s="27"/>
      <c r="K47" s="27"/>
      <c r="L47" s="27"/>
      <c r="M47" s="27"/>
      <c r="N47" s="27"/>
      <c r="O47" s="27"/>
      <c r="P47" s="27"/>
      <c r="Q47" s="27"/>
    </row>
    <row r="48" spans="1:42">
      <c r="A48" s="83"/>
      <c r="B48" s="193"/>
      <c r="C48" s="365"/>
      <c r="D48" s="195"/>
      <c r="E48" s="200"/>
      <c r="F48" s="200"/>
      <c r="G48" s="201"/>
      <c r="H48" s="27"/>
      <c r="I48" s="27"/>
      <c r="J48" s="27"/>
      <c r="K48" s="27"/>
      <c r="L48" s="27"/>
      <c r="M48" s="27"/>
      <c r="N48" s="27"/>
      <c r="O48" s="27"/>
      <c r="P48" s="27"/>
      <c r="Q48" s="27"/>
    </row>
    <row r="49" spans="1:17">
      <c r="A49" s="83"/>
      <c r="B49" s="193"/>
      <c r="C49" s="365"/>
      <c r="D49" s="195"/>
      <c r="E49" s="200"/>
      <c r="F49" s="200"/>
      <c r="G49" s="201"/>
      <c r="H49" s="27"/>
      <c r="I49" s="27"/>
      <c r="J49" s="27"/>
      <c r="K49" s="27"/>
      <c r="L49" s="27"/>
      <c r="M49" s="27"/>
      <c r="N49" s="27"/>
      <c r="O49" s="27"/>
      <c r="P49" s="27"/>
      <c r="Q49" s="27"/>
    </row>
    <row r="50" spans="1:17">
      <c r="A50" s="83"/>
      <c r="B50" s="202"/>
      <c r="C50" s="365"/>
      <c r="D50" s="203"/>
      <c r="E50" s="200"/>
      <c r="F50" s="204"/>
      <c r="G50" s="201"/>
      <c r="H50" s="27"/>
      <c r="I50" s="27"/>
      <c r="J50" s="27"/>
      <c r="K50" s="27"/>
      <c r="L50" s="27"/>
      <c r="M50" s="27"/>
      <c r="N50" s="27"/>
      <c r="O50" s="27"/>
      <c r="P50" s="27"/>
      <c r="Q50" s="27"/>
    </row>
    <row r="51" spans="1:17" ht="15" thickBot="1">
      <c r="A51" s="83"/>
      <c r="B51" s="27"/>
      <c r="C51" s="27"/>
      <c r="D51" s="27"/>
      <c r="E51" s="27"/>
      <c r="F51" s="27"/>
      <c r="G51" s="27"/>
      <c r="H51" s="27"/>
      <c r="I51" s="27"/>
      <c r="J51" s="27"/>
      <c r="K51" s="27"/>
      <c r="L51" s="27"/>
      <c r="M51" s="27"/>
      <c r="N51" s="27"/>
      <c r="O51" s="27"/>
      <c r="P51" s="27"/>
      <c r="Q51" s="27"/>
    </row>
    <row r="52" spans="1:17">
      <c r="A52" s="83"/>
      <c r="B52" s="243" t="s">
        <v>896</v>
      </c>
      <c r="C52" s="244"/>
      <c r="D52" s="245"/>
      <c r="E52" s="245"/>
      <c r="F52" s="245"/>
      <c r="G52" s="248"/>
      <c r="H52" s="27"/>
      <c r="I52" s="27"/>
      <c r="J52" s="27"/>
      <c r="K52" s="27"/>
      <c r="L52" s="27"/>
      <c r="M52" s="27"/>
      <c r="N52" s="27"/>
      <c r="O52" s="27"/>
      <c r="P52" s="27"/>
      <c r="Q52" s="27"/>
    </row>
    <row r="53" spans="1:17" ht="24">
      <c r="A53" s="83"/>
      <c r="B53" s="189" t="s">
        <v>897</v>
      </c>
      <c r="C53" s="190" t="s">
        <v>879</v>
      </c>
      <c r="D53" s="191" t="s">
        <v>898</v>
      </c>
      <c r="E53" s="192" t="s">
        <v>899</v>
      </c>
      <c r="F53" s="192" t="s">
        <v>900</v>
      </c>
      <c r="G53" s="198" t="s">
        <v>882</v>
      </c>
      <c r="H53" s="27"/>
      <c r="I53" s="27"/>
      <c r="J53" s="27"/>
      <c r="K53" s="27"/>
      <c r="L53" s="27"/>
      <c r="M53" s="27"/>
      <c r="N53" s="27"/>
      <c r="O53" s="27"/>
      <c r="P53" s="27"/>
      <c r="Q53" s="27"/>
    </row>
    <row r="54" spans="1:17">
      <c r="A54" s="83"/>
      <c r="B54" s="193" t="s">
        <v>901</v>
      </c>
      <c r="C54" s="365"/>
      <c r="D54" s="195" t="s">
        <v>894</v>
      </c>
      <c r="E54" s="205" t="s">
        <v>902</v>
      </c>
      <c r="F54" s="195" t="s">
        <v>903</v>
      </c>
      <c r="G54" s="201"/>
      <c r="H54" s="27"/>
      <c r="I54" s="27"/>
      <c r="J54" s="27"/>
      <c r="K54" s="27"/>
      <c r="L54" s="27"/>
      <c r="M54" s="27"/>
      <c r="N54" s="27"/>
      <c r="O54" s="27"/>
      <c r="P54" s="27"/>
      <c r="Q54" s="27"/>
    </row>
    <row r="55" spans="1:17">
      <c r="A55" s="83"/>
      <c r="B55" s="193"/>
      <c r="C55" s="365"/>
      <c r="D55" s="195"/>
      <c r="E55" s="205"/>
      <c r="F55" s="205"/>
      <c r="G55" s="201"/>
      <c r="H55" s="27"/>
      <c r="I55" s="27"/>
      <c r="J55" s="27"/>
      <c r="K55" s="27"/>
      <c r="L55" s="27"/>
      <c r="M55" s="27"/>
      <c r="N55" s="27"/>
      <c r="O55" s="27"/>
      <c r="P55" s="27"/>
      <c r="Q55" s="27"/>
    </row>
    <row r="56" spans="1:17">
      <c r="A56" s="83"/>
      <c r="B56" s="193"/>
      <c r="C56" s="365"/>
      <c r="D56" s="195"/>
      <c r="E56" s="205"/>
      <c r="F56" s="205"/>
      <c r="G56" s="201"/>
      <c r="H56" s="27"/>
      <c r="I56" s="27"/>
      <c r="J56" s="27"/>
      <c r="K56" s="27"/>
      <c r="L56" s="27"/>
      <c r="M56" s="27"/>
      <c r="N56" s="27"/>
      <c r="O56" s="27"/>
      <c r="P56" s="27"/>
      <c r="Q56" s="27"/>
    </row>
    <row r="57" spans="1:17">
      <c r="A57" s="83"/>
      <c r="B57" s="193"/>
      <c r="C57" s="365"/>
      <c r="D57" s="195"/>
      <c r="E57" s="205"/>
      <c r="F57" s="205"/>
      <c r="G57" s="201"/>
      <c r="H57" s="27"/>
      <c r="I57" s="27"/>
      <c r="J57" s="27"/>
      <c r="K57" s="27"/>
      <c r="L57" s="27"/>
      <c r="M57" s="27"/>
      <c r="N57" s="27"/>
      <c r="O57" s="27"/>
      <c r="P57" s="27"/>
      <c r="Q57" s="27"/>
    </row>
    <row r="58" spans="1:17" ht="15" thickBot="1">
      <c r="A58" s="83"/>
      <c r="B58" s="27"/>
      <c r="C58" s="27"/>
      <c r="D58" s="27"/>
      <c r="E58" s="27"/>
      <c r="F58" s="27"/>
      <c r="G58" s="27"/>
      <c r="H58" s="27"/>
      <c r="I58" s="27"/>
      <c r="J58" s="27"/>
      <c r="K58" s="27"/>
      <c r="L58" s="27"/>
      <c r="M58" s="27"/>
      <c r="N58" s="27"/>
      <c r="O58" s="27"/>
      <c r="P58" s="27"/>
      <c r="Q58" s="27"/>
    </row>
    <row r="59" spans="1:17">
      <c r="A59" s="83"/>
      <c r="B59" s="243" t="s">
        <v>904</v>
      </c>
      <c r="C59" s="244"/>
      <c r="D59" s="249"/>
      <c r="E59" s="249"/>
      <c r="F59" s="249"/>
      <c r="G59" s="250"/>
      <c r="H59" s="27"/>
      <c r="I59" s="27"/>
      <c r="J59" s="27"/>
      <c r="K59" s="27"/>
      <c r="L59" s="27"/>
      <c r="M59" s="27"/>
      <c r="N59" s="27"/>
      <c r="O59" s="27"/>
      <c r="P59" s="27"/>
      <c r="Q59" s="27"/>
    </row>
    <row r="60" spans="1:17" ht="24">
      <c r="A60" s="83"/>
      <c r="B60" s="189" t="s">
        <v>887</v>
      </c>
      <c r="C60" s="190" t="s">
        <v>879</v>
      </c>
      <c r="D60" s="197" t="s">
        <v>888</v>
      </c>
      <c r="E60" s="192" t="s">
        <v>905</v>
      </c>
      <c r="F60" s="223" t="s">
        <v>882</v>
      </c>
      <c r="G60" s="224"/>
      <c r="H60" s="27"/>
      <c r="I60" s="27"/>
      <c r="J60" s="27"/>
      <c r="K60" s="27"/>
      <c r="L60" s="27"/>
      <c r="M60" s="27"/>
      <c r="N60" s="27"/>
      <c r="O60" s="27"/>
      <c r="P60" s="27"/>
      <c r="Q60" s="27"/>
    </row>
    <row r="61" spans="1:17">
      <c r="A61" s="83"/>
      <c r="B61" s="193"/>
      <c r="C61" s="365"/>
      <c r="D61" s="195"/>
      <c r="E61" s="200"/>
      <c r="F61" s="757"/>
      <c r="G61" s="761"/>
      <c r="H61" s="27"/>
      <c r="I61" s="27"/>
      <c r="J61" s="27"/>
      <c r="K61" s="27"/>
      <c r="L61" s="27"/>
      <c r="M61" s="27"/>
      <c r="N61" s="27"/>
      <c r="O61" s="27"/>
      <c r="P61" s="27"/>
      <c r="Q61" s="27"/>
    </row>
    <row r="62" spans="1:17">
      <c r="A62" s="83"/>
      <c r="B62" s="193"/>
      <c r="C62" s="365"/>
      <c r="D62" s="195"/>
      <c r="E62" s="200"/>
      <c r="F62" s="757"/>
      <c r="G62" s="761"/>
      <c r="H62" s="27"/>
      <c r="I62" s="27"/>
      <c r="J62" s="27"/>
      <c r="K62" s="27"/>
      <c r="L62" s="27"/>
      <c r="M62" s="27"/>
      <c r="N62" s="27"/>
      <c r="O62" s="27"/>
      <c r="P62" s="27"/>
      <c r="Q62" s="27"/>
    </row>
    <row r="63" spans="1:17">
      <c r="A63" s="83"/>
      <c r="B63" s="193"/>
      <c r="C63" s="365"/>
      <c r="D63" s="195"/>
      <c r="E63" s="205"/>
      <c r="F63" s="764"/>
      <c r="G63" s="765"/>
      <c r="H63" s="27"/>
      <c r="I63" s="27"/>
      <c r="J63" s="27"/>
      <c r="K63" s="27"/>
      <c r="L63" s="27"/>
      <c r="M63" s="27"/>
      <c r="N63" s="27"/>
      <c r="O63" s="27"/>
      <c r="P63" s="27"/>
      <c r="Q63" s="27"/>
    </row>
    <row r="64" spans="1:17">
      <c r="A64" s="83"/>
      <c r="B64" s="193"/>
      <c r="C64" s="365"/>
      <c r="D64" s="195"/>
      <c r="E64" s="205"/>
      <c r="F64" s="757"/>
      <c r="G64" s="761"/>
      <c r="H64" s="27"/>
      <c r="I64" s="27"/>
      <c r="J64" s="27"/>
      <c r="K64" s="27"/>
      <c r="L64" s="27"/>
      <c r="M64" s="27"/>
      <c r="N64" s="27"/>
      <c r="O64" s="27"/>
      <c r="P64" s="27"/>
      <c r="Q64" s="27"/>
    </row>
    <row r="65" spans="1:17" ht="15" thickBot="1">
      <c r="A65" s="83"/>
      <c r="B65" s="27"/>
      <c r="C65" s="27"/>
      <c r="D65" s="27"/>
      <c r="E65" s="27"/>
      <c r="F65" s="27"/>
      <c r="G65" s="27"/>
      <c r="H65" s="27"/>
      <c r="I65" s="27"/>
      <c r="J65" s="27"/>
      <c r="K65" s="27"/>
      <c r="L65" s="27"/>
      <c r="M65" s="27"/>
      <c r="N65" s="27"/>
      <c r="O65" s="27"/>
      <c r="P65" s="27"/>
      <c r="Q65" s="27"/>
    </row>
    <row r="66" spans="1:17">
      <c r="A66" s="83"/>
      <c r="B66" s="243" t="s">
        <v>906</v>
      </c>
      <c r="C66" s="244"/>
      <c r="D66" s="249"/>
      <c r="E66" s="249"/>
      <c r="F66" s="249"/>
      <c r="G66" s="250"/>
      <c r="H66" s="27"/>
      <c r="I66" s="27"/>
      <c r="J66" s="27"/>
      <c r="K66" s="27"/>
      <c r="L66" s="27"/>
      <c r="M66" s="27"/>
      <c r="N66" s="27"/>
      <c r="O66" s="27"/>
      <c r="P66" s="27"/>
      <c r="Q66" s="27"/>
    </row>
    <row r="67" spans="1:17">
      <c r="A67" s="83"/>
      <c r="B67" s="306" t="s">
        <v>907</v>
      </c>
      <c r="C67" s="310"/>
      <c r="D67" s="305"/>
      <c r="E67" s="251"/>
      <c r="F67" s="251"/>
      <c r="G67" s="252"/>
      <c r="H67" s="27"/>
      <c r="I67" s="27"/>
      <c r="J67" s="27"/>
      <c r="K67" s="27"/>
      <c r="L67" s="27"/>
      <c r="M67" s="27"/>
      <c r="N67" s="27"/>
      <c r="O67" s="27"/>
      <c r="P67" s="27"/>
      <c r="Q67" s="27"/>
    </row>
    <row r="68" spans="1:17" ht="21.95">
      <c r="A68" s="83"/>
      <c r="B68" s="189" t="s">
        <v>897</v>
      </c>
      <c r="C68" s="190" t="s">
        <v>879</v>
      </c>
      <c r="D68" s="191" t="s">
        <v>898</v>
      </c>
      <c r="E68" s="192" t="s">
        <v>899</v>
      </c>
      <c r="F68" s="230" t="s">
        <v>882</v>
      </c>
      <c r="G68" s="233"/>
      <c r="H68" s="27"/>
      <c r="I68" s="27"/>
      <c r="J68" s="27"/>
      <c r="K68" s="27"/>
      <c r="L68" s="27"/>
      <c r="M68" s="27"/>
      <c r="N68" s="27"/>
      <c r="O68" s="27"/>
      <c r="P68" s="27"/>
      <c r="Q68" s="27"/>
    </row>
    <row r="69" spans="1:17">
      <c r="A69" s="83"/>
      <c r="B69" s="193" t="s">
        <v>901</v>
      </c>
      <c r="C69" s="365"/>
      <c r="D69" s="195" t="s">
        <v>894</v>
      </c>
      <c r="E69" s="205" t="s">
        <v>885</v>
      </c>
      <c r="F69" s="757"/>
      <c r="G69" s="761"/>
      <c r="H69" s="27"/>
      <c r="I69" s="27"/>
      <c r="J69" s="27"/>
      <c r="K69" s="27"/>
      <c r="L69" s="27"/>
      <c r="M69" s="27"/>
      <c r="N69" s="27"/>
      <c r="O69" s="27"/>
      <c r="P69" s="27"/>
      <c r="Q69" s="27"/>
    </row>
    <row r="70" spans="1:17">
      <c r="A70" s="83"/>
      <c r="B70" s="193"/>
      <c r="C70" s="365"/>
      <c r="D70" s="195"/>
      <c r="E70" s="205"/>
      <c r="F70" s="757"/>
      <c r="G70" s="761"/>
      <c r="H70" s="212"/>
      <c r="I70" s="27"/>
      <c r="J70" s="27"/>
      <c r="K70" s="27"/>
      <c r="L70" s="27"/>
      <c r="M70" s="27"/>
      <c r="N70" s="27"/>
      <c r="O70" s="27"/>
      <c r="P70" s="27"/>
      <c r="Q70" s="27"/>
    </row>
    <row r="71" spans="1:17">
      <c r="A71" s="83"/>
      <c r="B71" s="193"/>
      <c r="C71" s="365"/>
      <c r="D71" s="195"/>
      <c r="E71" s="205"/>
      <c r="F71" s="764"/>
      <c r="G71" s="765"/>
      <c r="H71" s="27"/>
      <c r="I71" s="27"/>
      <c r="J71" s="27"/>
      <c r="K71" s="27"/>
      <c r="L71" s="27"/>
      <c r="M71" s="27"/>
      <c r="N71" s="27"/>
      <c r="O71" s="27"/>
      <c r="P71" s="27"/>
      <c r="Q71" s="27"/>
    </row>
    <row r="72" spans="1:17">
      <c r="A72" s="83"/>
      <c r="B72" s="193"/>
      <c r="C72" s="365"/>
      <c r="D72" s="195"/>
      <c r="E72" s="205"/>
      <c r="F72" s="757"/>
      <c r="G72" s="761"/>
      <c r="H72" s="213"/>
      <c r="I72" s="27"/>
      <c r="J72" s="27"/>
      <c r="K72" s="27"/>
      <c r="L72" s="27"/>
      <c r="M72" s="27"/>
      <c r="N72" s="27"/>
      <c r="O72" s="27"/>
      <c r="P72" s="27"/>
      <c r="Q72" s="27"/>
    </row>
    <row r="73" spans="1:17" ht="15" thickBot="1">
      <c r="A73" s="83"/>
      <c r="B73" s="27"/>
      <c r="C73" s="27"/>
      <c r="D73" s="27"/>
      <c r="E73" s="27"/>
      <c r="F73" s="27"/>
      <c r="G73" s="27"/>
      <c r="H73" s="27"/>
      <c r="I73" s="27"/>
      <c r="J73" s="27"/>
      <c r="K73" s="27"/>
      <c r="L73" s="27"/>
      <c r="M73" s="27"/>
      <c r="N73" s="27"/>
      <c r="O73" s="27"/>
      <c r="P73" s="27"/>
      <c r="Q73" s="27"/>
    </row>
    <row r="74" spans="1:17">
      <c r="A74" s="83"/>
      <c r="B74" s="243" t="s">
        <v>908</v>
      </c>
      <c r="C74" s="244"/>
      <c r="D74" s="245"/>
      <c r="E74" s="245"/>
      <c r="F74" s="245"/>
      <c r="G74" s="246"/>
      <c r="H74" s="27"/>
      <c r="I74" s="27"/>
      <c r="J74" s="27"/>
      <c r="K74" s="27"/>
      <c r="L74" s="27"/>
      <c r="M74" s="27"/>
      <c r="N74" s="27"/>
      <c r="O74" s="27"/>
      <c r="P74" s="27"/>
      <c r="Q74" s="27"/>
    </row>
    <row r="75" spans="1:17" ht="24">
      <c r="A75" s="83"/>
      <c r="B75" s="189" t="s">
        <v>897</v>
      </c>
      <c r="C75" s="190" t="s">
        <v>879</v>
      </c>
      <c r="D75" s="191" t="s">
        <v>898</v>
      </c>
      <c r="E75" s="762" t="s">
        <v>909</v>
      </c>
      <c r="F75" s="763"/>
      <c r="G75" s="198" t="s">
        <v>882</v>
      </c>
      <c r="H75" s="27"/>
      <c r="I75" s="27"/>
      <c r="J75" s="27"/>
      <c r="K75" s="27"/>
      <c r="L75" s="27"/>
      <c r="M75" s="27"/>
      <c r="N75" s="27"/>
      <c r="O75" s="27"/>
      <c r="P75" s="27"/>
      <c r="Q75" s="27"/>
    </row>
    <row r="76" spans="1:17">
      <c r="A76" s="83"/>
      <c r="B76" s="193"/>
      <c r="C76" s="365"/>
      <c r="D76" s="195"/>
      <c r="E76" s="757"/>
      <c r="F76" s="758"/>
      <c r="G76" s="201"/>
      <c r="H76" s="27"/>
      <c r="I76" s="27"/>
      <c r="J76" s="27"/>
      <c r="K76" s="27"/>
      <c r="L76" s="27"/>
      <c r="M76" s="27"/>
      <c r="N76" s="27"/>
      <c r="O76" s="27"/>
      <c r="P76" s="27"/>
      <c r="Q76" s="27"/>
    </row>
    <row r="77" spans="1:17">
      <c r="A77" s="83"/>
      <c r="B77" s="193"/>
      <c r="C77" s="365"/>
      <c r="D77" s="195"/>
      <c r="E77" s="757"/>
      <c r="F77" s="758"/>
      <c r="G77" s="201"/>
      <c r="H77" s="27"/>
      <c r="I77" s="27"/>
      <c r="J77" s="27"/>
      <c r="K77" s="27"/>
      <c r="L77" s="27"/>
      <c r="M77" s="27"/>
      <c r="N77" s="27"/>
      <c r="O77" s="27"/>
      <c r="P77" s="27"/>
      <c r="Q77" s="27"/>
    </row>
    <row r="78" spans="1:17">
      <c r="A78" s="83"/>
      <c r="B78" s="193"/>
      <c r="C78" s="365"/>
      <c r="D78" s="195"/>
      <c r="E78" s="757"/>
      <c r="F78" s="758"/>
      <c r="G78" s="201"/>
      <c r="H78" s="27"/>
      <c r="I78" s="27"/>
      <c r="J78" s="27"/>
      <c r="K78" s="27"/>
      <c r="L78" s="27"/>
      <c r="M78" s="27"/>
      <c r="N78" s="27"/>
      <c r="O78" s="27"/>
      <c r="P78" s="27"/>
      <c r="Q78" s="27"/>
    </row>
    <row r="79" spans="1:17" ht="15" thickBot="1">
      <c r="A79" s="83"/>
      <c r="B79" s="206"/>
      <c r="C79" s="365"/>
      <c r="D79" s="207"/>
      <c r="E79" s="759"/>
      <c r="F79" s="760"/>
      <c r="G79" s="208"/>
      <c r="H79" s="196"/>
      <c r="I79" s="27"/>
      <c r="J79" s="27"/>
      <c r="K79" s="27"/>
      <c r="L79" s="27"/>
      <c r="M79" s="27"/>
      <c r="N79" s="27"/>
      <c r="O79" s="27"/>
      <c r="P79" s="27"/>
      <c r="Q79" s="27"/>
    </row>
    <row r="80" spans="1:17">
      <c r="A80" s="83"/>
      <c r="B80" s="27"/>
      <c r="C80" s="27"/>
      <c r="D80" s="27"/>
      <c r="E80" s="27"/>
      <c r="F80" s="27"/>
      <c r="G80" s="27"/>
      <c r="H80" s="27"/>
      <c r="I80" s="27"/>
      <c r="J80" s="27"/>
      <c r="K80" s="27"/>
      <c r="L80" s="27"/>
      <c r="M80" s="27"/>
      <c r="N80" s="27"/>
      <c r="O80" s="27"/>
      <c r="P80" s="27"/>
      <c r="Q80" s="27"/>
    </row>
    <row r="81" spans="1:38" ht="15" thickBot="1">
      <c r="A81" s="83"/>
      <c r="B81" s="210"/>
      <c r="C81" s="211"/>
      <c r="D81" s="211"/>
      <c r="E81" s="211"/>
      <c r="F81" s="211"/>
      <c r="G81" s="210"/>
      <c r="H81" s="27"/>
      <c r="I81" s="27"/>
      <c r="J81" s="27"/>
      <c r="K81" s="27"/>
      <c r="L81" s="27"/>
      <c r="M81" s="27"/>
      <c r="N81" s="27"/>
      <c r="O81" s="27"/>
      <c r="P81" s="27"/>
      <c r="Q81" s="27"/>
    </row>
    <row r="82" spans="1:38">
      <c r="A82" s="83"/>
      <c r="B82" s="27"/>
      <c r="C82" s="27"/>
      <c r="D82" s="27"/>
      <c r="E82" s="27"/>
      <c r="F82" s="27"/>
      <c r="G82" s="27"/>
      <c r="H82" s="27"/>
      <c r="I82" s="27"/>
      <c r="J82" s="27"/>
      <c r="K82" s="27"/>
      <c r="L82" s="27"/>
      <c r="M82" s="27"/>
      <c r="N82" s="27"/>
      <c r="O82" s="27"/>
      <c r="P82" s="27"/>
      <c r="Q82" s="27"/>
    </row>
    <row r="83" spans="1:38">
      <c r="A83" s="83"/>
      <c r="B83" s="27"/>
      <c r="C83" s="27"/>
      <c r="D83" s="27"/>
      <c r="E83" s="27"/>
      <c r="F83" s="27"/>
      <c r="G83" s="27"/>
      <c r="H83" s="27"/>
      <c r="I83" s="27"/>
      <c r="J83" s="27"/>
      <c r="K83" s="27"/>
      <c r="L83" s="27"/>
      <c r="M83" s="27"/>
      <c r="N83" s="27"/>
      <c r="O83" s="27"/>
      <c r="P83" s="27"/>
      <c r="Q83" s="27"/>
    </row>
    <row r="84" spans="1:38">
      <c r="A84" s="83"/>
      <c r="B84" s="27"/>
      <c r="C84" s="27"/>
      <c r="D84" s="27"/>
      <c r="E84" s="27"/>
      <c r="F84" s="27"/>
      <c r="G84" s="27"/>
      <c r="H84" s="27"/>
      <c r="I84" s="27"/>
      <c r="J84" s="27"/>
      <c r="K84" s="27"/>
      <c r="L84" s="27"/>
      <c r="M84" s="27"/>
      <c r="N84" s="27"/>
      <c r="O84" s="27"/>
      <c r="P84" s="27"/>
      <c r="Q84" s="27"/>
    </row>
    <row r="85" spans="1:38">
      <c r="A85" s="84"/>
      <c r="B85" s="27"/>
      <c r="C85" s="27"/>
      <c r="D85" s="27"/>
      <c r="E85" s="27"/>
      <c r="F85" s="27"/>
      <c r="G85" s="27"/>
      <c r="H85" s="27"/>
      <c r="I85" s="27"/>
      <c r="J85" s="27"/>
      <c r="K85" s="27"/>
      <c r="L85" s="27"/>
      <c r="M85" s="27"/>
      <c r="N85" s="27"/>
      <c r="O85" s="27"/>
      <c r="P85" s="27"/>
      <c r="Q85" s="27"/>
    </row>
    <row r="86" spans="1:38">
      <c r="A86" s="83"/>
      <c r="B86" s="27"/>
      <c r="C86" s="27"/>
      <c r="D86" s="27"/>
      <c r="E86" s="27"/>
      <c r="F86" s="27"/>
      <c r="G86" s="27"/>
      <c r="H86" s="27"/>
      <c r="I86" s="27"/>
      <c r="J86" s="27"/>
      <c r="K86" s="27"/>
      <c r="L86" s="27"/>
      <c r="M86" s="27"/>
      <c r="N86" s="27"/>
      <c r="O86" s="27"/>
      <c r="P86" s="27"/>
      <c r="Q86" s="27"/>
    </row>
    <row r="87" spans="1:38" ht="22.35" customHeight="1">
      <c r="A87" s="83"/>
      <c r="B87" s="27"/>
      <c r="C87" s="27"/>
      <c r="D87" s="27"/>
      <c r="E87" s="27"/>
      <c r="F87" s="27"/>
      <c r="G87" s="27"/>
      <c r="H87" s="27"/>
      <c r="I87" s="27"/>
      <c r="J87" s="27"/>
      <c r="K87" s="27"/>
      <c r="L87" s="27"/>
      <c r="M87" s="27"/>
      <c r="N87" s="84"/>
      <c r="O87" s="84"/>
      <c r="P87" s="84"/>
      <c r="Q87" s="84"/>
      <c r="R87" s="84"/>
      <c r="S87" s="84"/>
      <c r="T87" s="84"/>
      <c r="U87" s="84"/>
      <c r="V87" s="84"/>
      <c r="W87" s="84"/>
      <c r="X87" s="84"/>
      <c r="Y87" s="84"/>
      <c r="Z87" s="84"/>
      <c r="AA87" s="84"/>
      <c r="AB87" s="84"/>
      <c r="AC87" s="84"/>
      <c r="AD87" s="84"/>
      <c r="AE87" s="84"/>
      <c r="AF87" s="84"/>
      <c r="AG87" s="84"/>
      <c r="AH87" s="84"/>
      <c r="AI87" s="84"/>
      <c r="AJ87" s="84"/>
      <c r="AK87" s="84"/>
      <c r="AL87" s="84"/>
    </row>
    <row r="88" spans="1:38">
      <c r="A88" s="83"/>
      <c r="B88" s="27"/>
      <c r="C88" s="84"/>
      <c r="D88" s="84"/>
      <c r="E88" s="84"/>
      <c r="F88" s="84"/>
      <c r="G88" s="84"/>
      <c r="H88" s="84"/>
      <c r="I88" s="84"/>
      <c r="J88" s="84"/>
      <c r="K88" s="84"/>
      <c r="L88" s="84"/>
      <c r="M88" s="84"/>
      <c r="N88" s="84"/>
      <c r="O88" s="84"/>
      <c r="P88" s="84"/>
      <c r="Q88" s="84"/>
      <c r="R88" s="84"/>
      <c r="S88" s="84"/>
      <c r="T88" s="84"/>
      <c r="U88" s="84"/>
      <c r="V88" s="84"/>
      <c r="W88" s="84"/>
      <c r="X88" s="84"/>
      <c r="Y88" s="84"/>
      <c r="Z88" s="84"/>
      <c r="AA88" s="84"/>
      <c r="AB88" s="84"/>
      <c r="AC88" s="84"/>
      <c r="AD88" s="84"/>
      <c r="AE88" s="84"/>
      <c r="AF88" s="84"/>
      <c r="AG88" s="84"/>
      <c r="AH88" s="84"/>
      <c r="AI88" s="84"/>
      <c r="AJ88" s="84"/>
      <c r="AK88" s="84"/>
      <c r="AL88" s="83"/>
    </row>
    <row r="89" spans="1:38">
      <c r="A89" s="83"/>
      <c r="B89" s="27"/>
      <c r="C89" s="84"/>
      <c r="D89" s="84"/>
      <c r="E89" s="84"/>
      <c r="F89" s="84"/>
      <c r="G89" s="84"/>
      <c r="H89" s="84"/>
      <c r="I89" s="84"/>
      <c r="J89" s="84"/>
      <c r="K89" s="84"/>
      <c r="L89" s="84"/>
      <c r="M89" s="84"/>
      <c r="N89" s="84"/>
      <c r="O89" s="84"/>
      <c r="P89" s="84"/>
      <c r="Q89" s="84"/>
      <c r="R89" s="84"/>
      <c r="S89" s="84"/>
      <c r="T89" s="84"/>
      <c r="U89" s="84"/>
      <c r="V89" s="84"/>
      <c r="W89" s="84"/>
      <c r="X89" s="84"/>
      <c r="Y89" s="84"/>
      <c r="Z89" s="84"/>
      <c r="AA89" s="84"/>
      <c r="AB89" s="84"/>
      <c r="AC89" s="84"/>
      <c r="AD89" s="84"/>
      <c r="AE89" s="84"/>
      <c r="AF89" s="84"/>
      <c r="AG89" s="84"/>
      <c r="AH89" s="84"/>
      <c r="AI89" s="84"/>
      <c r="AJ89" s="84"/>
      <c r="AK89" s="84"/>
      <c r="AL89" s="83"/>
    </row>
    <row r="90" spans="1:38">
      <c r="A90" s="83"/>
      <c r="B90" s="27"/>
      <c r="C90" s="84"/>
      <c r="D90" s="84"/>
      <c r="E90" s="84"/>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3"/>
    </row>
    <row r="91" spans="1:38">
      <c r="A91" s="84"/>
      <c r="B91" s="84"/>
      <c r="C91" s="84"/>
      <c r="D91" s="84"/>
      <c r="E91" s="84"/>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3"/>
    </row>
    <row r="92" spans="1:38">
      <c r="A92" s="84"/>
      <c r="B92" s="84"/>
      <c r="C92" s="84"/>
      <c r="D92" s="84"/>
      <c r="E92" s="84"/>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3"/>
    </row>
    <row r="93" spans="1:38">
      <c r="A93" s="84"/>
      <c r="B93" s="84"/>
      <c r="C93" s="84"/>
      <c r="D93" s="84"/>
      <c r="E93" s="84"/>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3"/>
    </row>
    <row r="94" spans="1:38">
      <c r="A94" s="84"/>
      <c r="B94" s="84"/>
      <c r="C94" s="84"/>
      <c r="D94" s="84"/>
      <c r="E94" s="84"/>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3"/>
    </row>
    <row r="95" spans="1:38">
      <c r="A95" s="84"/>
      <c r="B95" s="84"/>
      <c r="C95" s="84"/>
      <c r="D95" s="84"/>
      <c r="E95" s="84"/>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3"/>
    </row>
    <row r="96" spans="1:38">
      <c r="A96" s="84"/>
      <c r="B96" s="84"/>
      <c r="C96" s="84"/>
      <c r="D96" s="84"/>
      <c r="E96" s="84"/>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3"/>
    </row>
    <row r="97" spans="1:38">
      <c r="A97" s="84"/>
      <c r="B97" s="84"/>
      <c r="C97" s="84"/>
      <c r="D97" s="84"/>
      <c r="E97" s="84"/>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3"/>
    </row>
    <row r="98" spans="1:38">
      <c r="A98" s="84"/>
      <c r="B98" s="84"/>
      <c r="C98" s="84"/>
      <c r="D98" s="84"/>
      <c r="E98" s="84"/>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3"/>
    </row>
    <row r="99" spans="1:38">
      <c r="A99" s="84"/>
      <c r="B99" s="84"/>
      <c r="C99" s="84"/>
      <c r="D99" s="84"/>
      <c r="E99" s="84"/>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3"/>
    </row>
    <row r="100" spans="1:38">
      <c r="A100" s="84"/>
      <c r="B100" s="84"/>
      <c r="C100" s="84"/>
      <c r="D100" s="84"/>
      <c r="E100" s="84"/>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3"/>
    </row>
    <row r="101" spans="1:38">
      <c r="A101" s="84"/>
      <c r="B101" s="84"/>
      <c r="C101" s="84"/>
      <c r="D101" s="84"/>
      <c r="E101" s="84"/>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3"/>
    </row>
    <row r="102" spans="1:38">
      <c r="A102" s="84"/>
      <c r="B102" s="84"/>
      <c r="C102" s="84"/>
      <c r="D102" s="84"/>
      <c r="E102" s="84"/>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3"/>
    </row>
    <row r="103" spans="1:38">
      <c r="A103" s="84"/>
      <c r="B103" s="84"/>
      <c r="C103" s="84"/>
      <c r="D103" s="84"/>
      <c r="E103" s="84"/>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3"/>
    </row>
    <row r="104" spans="1:38">
      <c r="A104" s="84"/>
      <c r="B104" s="84"/>
      <c r="C104" s="84"/>
      <c r="D104" s="84"/>
      <c r="E104" s="84"/>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3"/>
    </row>
    <row r="105" spans="1:38">
      <c r="A105" s="84"/>
      <c r="B105" s="84"/>
      <c r="C105" s="84"/>
      <c r="D105" s="84"/>
      <c r="E105" s="84"/>
      <c r="F105" s="84"/>
      <c r="G105" s="84"/>
      <c r="H105" s="84"/>
      <c r="I105" s="84"/>
      <c r="J105" s="84"/>
      <c r="K105" s="84"/>
      <c r="L105" s="84"/>
      <c r="M105" s="84"/>
      <c r="N105" s="84"/>
      <c r="O105" s="84"/>
      <c r="P105" s="84"/>
      <c r="Q105" s="84"/>
      <c r="R105" s="84"/>
      <c r="S105" s="84"/>
      <c r="T105" s="84"/>
      <c r="U105" s="84"/>
      <c r="V105" s="84"/>
      <c r="W105" s="84"/>
      <c r="X105" s="84"/>
      <c r="Y105" s="84"/>
      <c r="Z105" s="84"/>
      <c r="AA105" s="84"/>
      <c r="AB105" s="84"/>
      <c r="AC105" s="84"/>
      <c r="AD105" s="84"/>
      <c r="AE105" s="84"/>
      <c r="AF105" s="84"/>
      <c r="AG105" s="84"/>
      <c r="AH105" s="84"/>
      <c r="AI105" s="84"/>
      <c r="AJ105" s="84"/>
      <c r="AK105" s="84"/>
      <c r="AL105" s="83"/>
    </row>
    <row r="106" spans="1:38">
      <c r="A106" s="84"/>
      <c r="B106" s="84"/>
      <c r="C106" s="84"/>
      <c r="D106" s="84"/>
      <c r="E106" s="84"/>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3"/>
    </row>
    <row r="107" spans="1:38">
      <c r="A107" s="84"/>
      <c r="B107" s="84"/>
      <c r="C107" s="84"/>
      <c r="D107" s="84"/>
      <c r="E107" s="84"/>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3"/>
    </row>
    <row r="108" spans="1:38">
      <c r="A108" s="84"/>
      <c r="B108" s="84"/>
      <c r="C108" s="84"/>
      <c r="D108" s="84"/>
      <c r="E108" s="84"/>
      <c r="F108" s="84"/>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84"/>
      <c r="AF108" s="84"/>
      <c r="AG108" s="84"/>
      <c r="AH108" s="84"/>
      <c r="AI108" s="84"/>
      <c r="AJ108" s="84"/>
      <c r="AK108" s="84"/>
      <c r="AL108" s="83"/>
    </row>
    <row r="109" spans="1:38">
      <c r="A109" s="84"/>
      <c r="B109" s="84"/>
      <c r="C109" s="84"/>
      <c r="D109" s="84"/>
      <c r="E109" s="84"/>
      <c r="F109" s="84"/>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84"/>
      <c r="AF109" s="84"/>
      <c r="AG109" s="84"/>
      <c r="AH109" s="84"/>
      <c r="AI109" s="84"/>
      <c r="AJ109" s="84"/>
      <c r="AK109" s="84"/>
      <c r="AL109" s="83"/>
    </row>
    <row r="110" spans="1:38">
      <c r="A110" s="84"/>
      <c r="B110" s="84"/>
      <c r="C110" s="84"/>
      <c r="D110" s="84"/>
      <c r="E110" s="84"/>
      <c r="F110" s="84"/>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84"/>
      <c r="AF110" s="84"/>
      <c r="AG110" s="84"/>
      <c r="AH110" s="84"/>
      <c r="AI110" s="84"/>
      <c r="AJ110" s="84"/>
      <c r="AK110" s="84"/>
      <c r="AL110" s="83"/>
    </row>
    <row r="111" spans="1:38">
      <c r="A111" s="84"/>
      <c r="B111" s="84"/>
      <c r="C111" s="84"/>
      <c r="D111" s="84"/>
      <c r="E111" s="84"/>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3"/>
    </row>
    <row r="112" spans="1:38">
      <c r="A112" s="84"/>
      <c r="B112" s="84"/>
      <c r="C112" s="84"/>
      <c r="D112" s="84"/>
      <c r="E112" s="84"/>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84"/>
      <c r="AG112" s="84"/>
      <c r="AH112" s="84"/>
      <c r="AI112" s="84"/>
      <c r="AJ112" s="84"/>
      <c r="AK112" s="84"/>
      <c r="AL112" s="83"/>
    </row>
    <row r="113" spans="1:38">
      <c r="A113" s="84"/>
      <c r="B113" s="84"/>
      <c r="C113" s="84"/>
      <c r="D113" s="84"/>
      <c r="E113" s="84"/>
      <c r="F113" s="84"/>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84"/>
      <c r="AF113" s="84"/>
      <c r="AG113" s="84"/>
      <c r="AH113" s="84"/>
      <c r="AI113" s="84"/>
      <c r="AJ113" s="84"/>
      <c r="AK113" s="84"/>
      <c r="AL113" s="83"/>
    </row>
    <row r="114" spans="1:38">
      <c r="A114" s="84"/>
      <c r="B114" s="84"/>
      <c r="C114" s="84"/>
      <c r="D114" s="84"/>
      <c r="E114" s="84"/>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3"/>
    </row>
    <row r="115" spans="1:38">
      <c r="A115" s="84"/>
      <c r="B115" s="84"/>
      <c r="C115" s="84"/>
      <c r="D115" s="84"/>
      <c r="E115" s="84"/>
      <c r="F115" s="84"/>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84"/>
      <c r="AF115" s="84"/>
      <c r="AG115" s="84"/>
      <c r="AH115" s="84"/>
      <c r="AI115" s="84"/>
      <c r="AJ115" s="84"/>
      <c r="AK115" s="84"/>
      <c r="AL115" s="83"/>
    </row>
    <row r="116" spans="1:38">
      <c r="A116" s="84"/>
      <c r="B116" s="84"/>
      <c r="C116" s="84"/>
      <c r="D116" s="84"/>
      <c r="E116" s="84"/>
      <c r="F116" s="84"/>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84"/>
      <c r="AF116" s="84"/>
      <c r="AG116" s="84"/>
      <c r="AH116" s="84"/>
      <c r="AI116" s="84"/>
      <c r="AJ116" s="84"/>
      <c r="AK116" s="84"/>
      <c r="AL116" s="83"/>
    </row>
    <row r="117" spans="1:38">
      <c r="A117" s="84"/>
      <c r="B117" s="84"/>
      <c r="C117" s="84"/>
      <c r="D117" s="84"/>
      <c r="E117" s="84"/>
      <c r="F117" s="84"/>
      <c r="G117" s="84"/>
      <c r="H117" s="84"/>
      <c r="I117" s="84"/>
      <c r="J117" s="84"/>
      <c r="K117" s="84"/>
      <c r="L117" s="84"/>
      <c r="M117" s="84"/>
      <c r="N117" s="84"/>
      <c r="O117" s="84"/>
      <c r="P117" s="84"/>
      <c r="Q117" s="84"/>
      <c r="R117" s="84"/>
      <c r="S117" s="84"/>
      <c r="T117" s="84"/>
      <c r="U117" s="84"/>
      <c r="V117" s="84"/>
      <c r="W117" s="84"/>
      <c r="X117" s="84"/>
      <c r="Y117" s="84"/>
      <c r="Z117" s="84"/>
      <c r="AA117" s="84"/>
      <c r="AB117" s="84"/>
      <c r="AC117" s="84"/>
      <c r="AD117" s="84"/>
      <c r="AE117" s="84"/>
      <c r="AF117" s="84"/>
      <c r="AG117" s="84"/>
      <c r="AH117" s="84"/>
      <c r="AI117" s="84"/>
      <c r="AJ117" s="84"/>
      <c r="AK117" s="84"/>
      <c r="AL117" s="83"/>
    </row>
    <row r="118" spans="1:38">
      <c r="A118" s="84"/>
      <c r="B118" s="84"/>
      <c r="C118" s="84"/>
      <c r="D118" s="84"/>
      <c r="E118" s="84"/>
      <c r="F118" s="84"/>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84"/>
      <c r="AF118" s="84"/>
      <c r="AG118" s="84"/>
      <c r="AH118" s="84"/>
      <c r="AI118" s="84"/>
      <c r="AJ118" s="84"/>
      <c r="AK118" s="84"/>
      <c r="AL118" s="83"/>
    </row>
    <row r="119" spans="1:38">
      <c r="A119" s="84"/>
      <c r="B119" s="84"/>
      <c r="C119" s="84"/>
      <c r="D119" s="84"/>
      <c r="E119" s="84"/>
      <c r="F119" s="84"/>
      <c r="G119" s="84"/>
      <c r="H119" s="84"/>
      <c r="I119" s="84"/>
      <c r="J119" s="84"/>
      <c r="K119" s="84"/>
      <c r="L119" s="84"/>
      <c r="M119" s="84"/>
      <c r="N119" s="84"/>
      <c r="O119" s="84"/>
      <c r="P119" s="84"/>
      <c r="Q119" s="84"/>
      <c r="R119" s="84"/>
      <c r="S119" s="84"/>
      <c r="T119" s="84"/>
      <c r="U119" s="84"/>
      <c r="V119" s="84"/>
      <c r="W119" s="84"/>
      <c r="X119" s="84"/>
      <c r="Y119" s="84"/>
      <c r="Z119" s="84"/>
      <c r="AA119" s="84"/>
      <c r="AB119" s="84"/>
      <c r="AC119" s="84"/>
      <c r="AD119" s="84"/>
      <c r="AE119" s="84"/>
      <c r="AF119" s="84"/>
      <c r="AG119" s="84"/>
      <c r="AH119" s="84"/>
      <c r="AI119" s="84"/>
      <c r="AJ119" s="84"/>
      <c r="AK119" s="84"/>
      <c r="AL119" s="83"/>
    </row>
    <row r="120" spans="1:38">
      <c r="A120" s="84"/>
      <c r="B120" s="84"/>
      <c r="C120" s="84"/>
      <c r="D120" s="84"/>
      <c r="E120" s="84"/>
      <c r="F120" s="84"/>
      <c r="G120" s="84"/>
      <c r="H120" s="84"/>
      <c r="I120" s="84"/>
      <c r="J120" s="84"/>
      <c r="K120" s="84"/>
      <c r="L120" s="84"/>
      <c r="M120" s="84"/>
      <c r="N120" s="84"/>
      <c r="O120" s="84"/>
      <c r="P120" s="84"/>
      <c r="Q120" s="84"/>
      <c r="R120" s="84"/>
      <c r="S120" s="84"/>
      <c r="T120" s="84"/>
      <c r="U120" s="84"/>
      <c r="V120" s="84"/>
      <c r="W120" s="84"/>
      <c r="X120" s="84"/>
      <c r="Y120" s="84"/>
      <c r="Z120" s="84"/>
      <c r="AA120" s="84"/>
      <c r="AB120" s="84"/>
      <c r="AC120" s="84"/>
      <c r="AD120" s="84"/>
      <c r="AE120" s="84"/>
      <c r="AF120" s="84"/>
      <c r="AG120" s="84"/>
      <c r="AH120" s="84"/>
      <c r="AI120" s="84"/>
      <c r="AJ120" s="84"/>
      <c r="AK120" s="84"/>
      <c r="AL120" s="83"/>
    </row>
    <row r="121" spans="1:38">
      <c r="A121" s="84"/>
      <c r="B121" s="84"/>
      <c r="C121" s="84"/>
      <c r="D121" s="84"/>
      <c r="E121" s="84"/>
      <c r="F121" s="84"/>
      <c r="G121" s="84"/>
      <c r="H121" s="84"/>
      <c r="I121" s="84"/>
      <c r="J121" s="84"/>
      <c r="K121" s="84"/>
      <c r="L121" s="84"/>
      <c r="M121" s="84"/>
      <c r="N121" s="84"/>
      <c r="O121" s="84"/>
      <c r="P121" s="84"/>
      <c r="Q121" s="84"/>
      <c r="R121" s="84"/>
      <c r="S121" s="84"/>
      <c r="T121" s="84"/>
      <c r="U121" s="84"/>
      <c r="V121" s="84"/>
      <c r="W121" s="84"/>
      <c r="X121" s="84"/>
      <c r="Y121" s="84"/>
      <c r="Z121" s="84"/>
      <c r="AA121" s="84"/>
      <c r="AB121" s="84"/>
      <c r="AC121" s="84"/>
      <c r="AD121" s="84"/>
      <c r="AE121" s="84"/>
      <c r="AF121" s="84"/>
      <c r="AG121" s="84"/>
      <c r="AH121" s="84"/>
      <c r="AI121" s="84"/>
      <c r="AJ121" s="84"/>
      <c r="AK121" s="84"/>
      <c r="AL121" s="83"/>
    </row>
    <row r="122" spans="1:38">
      <c r="A122" s="84"/>
      <c r="B122" s="84"/>
      <c r="C122" s="84"/>
      <c r="D122" s="84"/>
      <c r="E122" s="84"/>
      <c r="F122" s="84"/>
      <c r="G122" s="84"/>
      <c r="H122" s="84"/>
      <c r="I122" s="84"/>
      <c r="J122" s="84"/>
      <c r="K122" s="84"/>
      <c r="L122" s="84"/>
      <c r="M122" s="84"/>
      <c r="N122" s="84"/>
      <c r="O122" s="84"/>
      <c r="P122" s="84"/>
      <c r="Q122" s="84"/>
      <c r="R122" s="84"/>
      <c r="S122" s="84"/>
      <c r="T122" s="84"/>
      <c r="U122" s="84"/>
      <c r="V122" s="84"/>
      <c r="W122" s="84"/>
      <c r="X122" s="84"/>
      <c r="Y122" s="84"/>
      <c r="Z122" s="84"/>
      <c r="AA122" s="84"/>
      <c r="AB122" s="84"/>
      <c r="AC122" s="84"/>
      <c r="AD122" s="84"/>
      <c r="AE122" s="84"/>
      <c r="AF122" s="84"/>
      <c r="AG122" s="84"/>
      <c r="AH122" s="84"/>
      <c r="AI122" s="84"/>
      <c r="AJ122" s="84"/>
      <c r="AK122" s="84"/>
      <c r="AL122" s="83"/>
    </row>
    <row r="123" spans="1:38">
      <c r="A123" s="84"/>
      <c r="B123" s="84"/>
      <c r="C123" s="84"/>
      <c r="D123" s="84"/>
      <c r="E123" s="84"/>
      <c r="F123" s="84"/>
      <c r="G123" s="84"/>
      <c r="H123" s="84"/>
      <c r="I123" s="84"/>
      <c r="J123" s="84"/>
      <c r="K123" s="84"/>
      <c r="L123" s="84"/>
      <c r="M123" s="84"/>
      <c r="N123" s="84"/>
      <c r="O123" s="84"/>
      <c r="P123" s="84"/>
      <c r="Q123" s="84"/>
      <c r="R123" s="84"/>
      <c r="S123" s="84"/>
      <c r="T123" s="84"/>
      <c r="U123" s="84"/>
      <c r="V123" s="84"/>
      <c r="W123" s="84"/>
      <c r="X123" s="84"/>
      <c r="Y123" s="84"/>
      <c r="Z123" s="84"/>
      <c r="AA123" s="84"/>
      <c r="AB123" s="84"/>
      <c r="AC123" s="84"/>
      <c r="AD123" s="84"/>
      <c r="AE123" s="84"/>
      <c r="AF123" s="84"/>
      <c r="AG123" s="84"/>
      <c r="AH123" s="84"/>
      <c r="AI123" s="84"/>
      <c r="AJ123" s="84"/>
      <c r="AK123" s="84"/>
      <c r="AL123" s="83"/>
    </row>
    <row r="124" spans="1:38">
      <c r="A124" s="84"/>
      <c r="B124" s="84"/>
      <c r="C124" s="84"/>
      <c r="D124" s="84"/>
      <c r="E124" s="84"/>
      <c r="F124" s="84"/>
      <c r="G124" s="84"/>
      <c r="H124" s="84"/>
      <c r="I124" s="84"/>
      <c r="J124" s="84"/>
      <c r="K124" s="84"/>
      <c r="L124" s="84"/>
      <c r="M124" s="84"/>
      <c r="N124" s="84"/>
      <c r="O124" s="84"/>
      <c r="P124" s="84"/>
      <c r="Q124" s="84"/>
      <c r="R124" s="84"/>
      <c r="S124" s="84"/>
      <c r="T124" s="84"/>
      <c r="U124" s="84"/>
      <c r="V124" s="84"/>
      <c r="W124" s="84"/>
      <c r="X124" s="84"/>
      <c r="Y124" s="84"/>
      <c r="Z124" s="84"/>
      <c r="AA124" s="84"/>
      <c r="AB124" s="84"/>
      <c r="AC124" s="84"/>
      <c r="AD124" s="84"/>
      <c r="AE124" s="84"/>
      <c r="AF124" s="84"/>
      <c r="AG124" s="84"/>
      <c r="AH124" s="84"/>
      <c r="AI124" s="84"/>
      <c r="AJ124" s="84"/>
      <c r="AK124" s="84"/>
      <c r="AL124" s="83"/>
    </row>
    <row r="125" spans="1:38">
      <c r="A125" s="84"/>
      <c r="B125" s="84"/>
      <c r="C125" s="84"/>
      <c r="D125" s="84"/>
      <c r="E125" s="84"/>
      <c r="F125" s="84"/>
      <c r="G125" s="84"/>
      <c r="H125" s="84"/>
      <c r="I125" s="84"/>
      <c r="J125" s="84"/>
      <c r="K125" s="84"/>
      <c r="L125" s="84"/>
      <c r="M125" s="84"/>
      <c r="N125" s="84"/>
      <c r="O125" s="84"/>
      <c r="P125" s="84"/>
      <c r="Q125" s="84"/>
      <c r="R125" s="84"/>
      <c r="S125" s="84"/>
      <c r="T125" s="84"/>
      <c r="U125" s="84"/>
      <c r="V125" s="84"/>
      <c r="W125" s="84"/>
      <c r="X125" s="84"/>
      <c r="Y125" s="84"/>
      <c r="Z125" s="84"/>
      <c r="AA125" s="84"/>
      <c r="AB125" s="84"/>
      <c r="AC125" s="84"/>
      <c r="AD125" s="84"/>
      <c r="AE125" s="84"/>
      <c r="AF125" s="84"/>
      <c r="AG125" s="84"/>
      <c r="AH125" s="84"/>
      <c r="AI125" s="84"/>
      <c r="AJ125" s="84"/>
      <c r="AK125" s="84"/>
      <c r="AL125" s="83"/>
    </row>
    <row r="126" spans="1:38">
      <c r="A126" s="84"/>
      <c r="B126" s="84"/>
      <c r="C126" s="84"/>
      <c r="D126" s="84"/>
      <c r="E126" s="84"/>
      <c r="F126" s="84"/>
      <c r="G126" s="84"/>
      <c r="H126" s="84"/>
      <c r="I126" s="84"/>
      <c r="J126" s="84"/>
      <c r="K126" s="84"/>
      <c r="L126" s="84"/>
      <c r="M126" s="84"/>
      <c r="N126" s="84"/>
      <c r="O126" s="84"/>
      <c r="P126" s="84"/>
      <c r="Q126" s="84"/>
      <c r="R126" s="84"/>
      <c r="S126" s="84"/>
      <c r="T126" s="84"/>
      <c r="U126" s="84"/>
      <c r="V126" s="84"/>
      <c r="W126" s="84"/>
      <c r="X126" s="84"/>
      <c r="Y126" s="84"/>
      <c r="Z126" s="84"/>
      <c r="AA126" s="84"/>
      <c r="AB126" s="84"/>
      <c r="AC126" s="84"/>
      <c r="AD126" s="84"/>
      <c r="AE126" s="84"/>
      <c r="AF126" s="84"/>
      <c r="AG126" s="84"/>
      <c r="AH126" s="84"/>
      <c r="AI126" s="84"/>
      <c r="AJ126" s="84"/>
      <c r="AK126" s="84"/>
      <c r="AL126" s="83"/>
    </row>
    <row r="127" spans="1:38">
      <c r="A127" s="84"/>
      <c r="B127" s="84"/>
      <c r="C127" s="84"/>
      <c r="D127" s="84"/>
      <c r="E127" s="84"/>
      <c r="F127" s="84"/>
      <c r="G127" s="84"/>
      <c r="H127" s="84"/>
      <c r="I127" s="84"/>
      <c r="J127" s="84"/>
      <c r="K127" s="84"/>
      <c r="L127" s="84"/>
      <c r="M127" s="84"/>
      <c r="N127" s="84"/>
      <c r="O127" s="84"/>
      <c r="P127" s="84"/>
      <c r="Q127" s="84"/>
      <c r="R127" s="84"/>
      <c r="S127" s="84"/>
      <c r="T127" s="84"/>
      <c r="U127" s="84"/>
      <c r="V127" s="84"/>
      <c r="W127" s="84"/>
      <c r="X127" s="84"/>
      <c r="Y127" s="84"/>
      <c r="Z127" s="84"/>
      <c r="AA127" s="84"/>
      <c r="AB127" s="84"/>
      <c r="AC127" s="84"/>
      <c r="AD127" s="84"/>
      <c r="AE127" s="84"/>
      <c r="AF127" s="84"/>
      <c r="AG127" s="84"/>
      <c r="AH127" s="84"/>
      <c r="AI127" s="84"/>
      <c r="AJ127" s="84"/>
      <c r="AK127" s="84"/>
      <c r="AL127" s="83"/>
    </row>
    <row r="128" spans="1:38">
      <c r="A128" s="84"/>
      <c r="B128" s="84"/>
      <c r="C128" s="84"/>
      <c r="D128" s="84"/>
      <c r="E128" s="84"/>
      <c r="F128" s="84"/>
      <c r="G128" s="84"/>
      <c r="H128" s="84"/>
      <c r="I128" s="84"/>
      <c r="J128" s="84"/>
      <c r="K128" s="84"/>
      <c r="L128" s="84"/>
      <c r="M128" s="84"/>
      <c r="N128" s="84"/>
      <c r="O128" s="84"/>
      <c r="P128" s="84"/>
      <c r="Q128" s="84"/>
      <c r="R128" s="84"/>
      <c r="S128" s="84"/>
      <c r="T128" s="84"/>
      <c r="U128" s="84"/>
      <c r="V128" s="84"/>
      <c r="W128" s="84"/>
      <c r="X128" s="84"/>
      <c r="Y128" s="84"/>
      <c r="Z128" s="84"/>
      <c r="AA128" s="84"/>
      <c r="AB128" s="84"/>
      <c r="AC128" s="84"/>
      <c r="AD128" s="84"/>
      <c r="AE128" s="84"/>
      <c r="AF128" s="84"/>
      <c r="AG128" s="84"/>
      <c r="AH128" s="84"/>
      <c r="AI128" s="84"/>
      <c r="AJ128" s="84"/>
      <c r="AK128" s="84"/>
      <c r="AL128" s="83"/>
    </row>
    <row r="129" spans="1:38">
      <c r="A129" s="84"/>
      <c r="B129" s="84"/>
      <c r="C129" s="84"/>
      <c r="D129" s="84"/>
      <c r="E129" s="84"/>
      <c r="F129" s="84"/>
      <c r="G129" s="84"/>
      <c r="H129" s="84"/>
      <c r="I129" s="84"/>
      <c r="J129" s="84"/>
      <c r="K129" s="84"/>
      <c r="L129" s="84"/>
      <c r="M129" s="84"/>
      <c r="N129" s="84"/>
      <c r="O129" s="84"/>
      <c r="P129" s="84"/>
      <c r="Q129" s="84"/>
      <c r="R129" s="84"/>
      <c r="S129" s="84"/>
      <c r="T129" s="84"/>
      <c r="U129" s="84"/>
      <c r="V129" s="84"/>
      <c r="W129" s="84"/>
      <c r="X129" s="84"/>
      <c r="Y129" s="84"/>
      <c r="Z129" s="84"/>
      <c r="AA129" s="84"/>
      <c r="AB129" s="84"/>
      <c r="AC129" s="84"/>
      <c r="AD129" s="84"/>
      <c r="AE129" s="84"/>
      <c r="AF129" s="84"/>
      <c r="AG129" s="84"/>
      <c r="AH129" s="84"/>
      <c r="AI129" s="84"/>
      <c r="AJ129" s="84"/>
      <c r="AK129" s="84"/>
      <c r="AL129" s="83"/>
    </row>
    <row r="130" spans="1:38">
      <c r="A130" s="84"/>
      <c r="B130" s="84"/>
      <c r="C130" s="84"/>
      <c r="D130" s="84"/>
      <c r="E130" s="84"/>
      <c r="F130" s="84"/>
      <c r="G130" s="84"/>
      <c r="H130" s="84"/>
      <c r="I130" s="84"/>
      <c r="J130" s="84"/>
      <c r="K130" s="84"/>
      <c r="L130" s="84"/>
      <c r="M130" s="84"/>
      <c r="N130" s="84"/>
      <c r="O130" s="84"/>
      <c r="P130" s="84"/>
      <c r="Q130" s="84"/>
      <c r="R130" s="84"/>
      <c r="S130" s="84"/>
      <c r="T130" s="84"/>
      <c r="U130" s="84"/>
      <c r="V130" s="84"/>
      <c r="W130" s="84"/>
      <c r="X130" s="84"/>
      <c r="Y130" s="84"/>
      <c r="Z130" s="84"/>
      <c r="AA130" s="84"/>
      <c r="AB130" s="84"/>
      <c r="AC130" s="84"/>
      <c r="AD130" s="84"/>
      <c r="AE130" s="84"/>
      <c r="AF130" s="84"/>
      <c r="AG130" s="84"/>
      <c r="AH130" s="84"/>
      <c r="AI130" s="84"/>
      <c r="AJ130" s="84"/>
      <c r="AK130" s="84"/>
      <c r="AL130" s="83"/>
    </row>
    <row r="131" spans="1:38">
      <c r="A131" s="84"/>
      <c r="B131" s="84"/>
      <c r="C131" s="84"/>
      <c r="D131" s="84"/>
      <c r="E131" s="84"/>
      <c r="F131" s="84"/>
      <c r="G131" s="84"/>
      <c r="H131" s="84"/>
      <c r="I131" s="84"/>
      <c r="J131" s="84"/>
      <c r="K131" s="84"/>
      <c r="L131" s="84"/>
      <c r="M131" s="84"/>
      <c r="N131" s="84"/>
      <c r="O131" s="84"/>
      <c r="P131" s="84"/>
      <c r="Q131" s="84"/>
      <c r="R131" s="84"/>
      <c r="S131" s="84"/>
      <c r="T131" s="84"/>
      <c r="U131" s="84"/>
      <c r="V131" s="84"/>
      <c r="W131" s="84"/>
      <c r="X131" s="84"/>
      <c r="Y131" s="84"/>
      <c r="Z131" s="84"/>
      <c r="AA131" s="84"/>
      <c r="AB131" s="84"/>
      <c r="AC131" s="84"/>
      <c r="AD131" s="84"/>
      <c r="AE131" s="84"/>
      <c r="AF131" s="84"/>
      <c r="AG131" s="84"/>
      <c r="AH131" s="84"/>
      <c r="AI131" s="84"/>
      <c r="AJ131" s="84"/>
      <c r="AK131" s="84"/>
      <c r="AL131" s="83"/>
    </row>
    <row r="132" spans="1:38">
      <c r="A132" s="84"/>
      <c r="B132" s="84"/>
      <c r="C132" s="84"/>
      <c r="D132" s="84"/>
      <c r="E132" s="84"/>
      <c r="F132" s="84"/>
      <c r="G132" s="84"/>
      <c r="H132" s="84"/>
      <c r="I132" s="84"/>
      <c r="J132" s="84"/>
      <c r="K132" s="84"/>
      <c r="L132" s="84"/>
      <c r="M132" s="84"/>
      <c r="N132" s="84"/>
      <c r="O132" s="84"/>
      <c r="P132" s="84"/>
      <c r="Q132" s="84"/>
      <c r="R132" s="84"/>
      <c r="S132" s="84"/>
      <c r="T132" s="84"/>
      <c r="U132" s="84"/>
      <c r="V132" s="84"/>
      <c r="W132" s="84"/>
      <c r="X132" s="84"/>
      <c r="Y132" s="84"/>
      <c r="Z132" s="84"/>
      <c r="AA132" s="84"/>
      <c r="AB132" s="84"/>
      <c r="AC132" s="84"/>
      <c r="AD132" s="84"/>
      <c r="AE132" s="84"/>
      <c r="AF132" s="84"/>
      <c r="AG132" s="84"/>
      <c r="AH132" s="84"/>
      <c r="AI132" s="84"/>
      <c r="AJ132" s="84"/>
      <c r="AK132" s="84"/>
      <c r="AL132" s="83"/>
    </row>
    <row r="133" spans="1:38">
      <c r="A133" s="84"/>
      <c r="B133" s="84"/>
      <c r="C133" s="84"/>
      <c r="D133" s="84"/>
      <c r="E133" s="84"/>
      <c r="F133" s="84"/>
      <c r="G133" s="84"/>
      <c r="H133" s="84"/>
      <c r="I133" s="84"/>
      <c r="J133" s="84"/>
      <c r="K133" s="84"/>
      <c r="L133" s="84"/>
      <c r="M133" s="84"/>
      <c r="N133" s="84"/>
      <c r="O133" s="84"/>
      <c r="P133" s="84"/>
      <c r="Q133" s="84"/>
      <c r="R133" s="84"/>
      <c r="S133" s="84"/>
      <c r="T133" s="84"/>
      <c r="U133" s="84"/>
      <c r="V133" s="84"/>
      <c r="W133" s="84"/>
      <c r="X133" s="84"/>
      <c r="Y133" s="84"/>
      <c r="Z133" s="84"/>
      <c r="AA133" s="84"/>
      <c r="AB133" s="84"/>
      <c r="AC133" s="84"/>
      <c r="AD133" s="84"/>
      <c r="AE133" s="84"/>
      <c r="AF133" s="84"/>
      <c r="AG133" s="84"/>
      <c r="AH133" s="84"/>
      <c r="AI133" s="84"/>
      <c r="AJ133" s="84"/>
      <c r="AK133" s="84"/>
      <c r="AL133" s="83"/>
    </row>
    <row r="134" spans="1:38">
      <c r="A134" s="84"/>
      <c r="B134" s="84"/>
      <c r="C134" s="84"/>
      <c r="D134" s="84"/>
      <c r="E134" s="84"/>
      <c r="F134" s="84"/>
      <c r="G134" s="84"/>
      <c r="H134" s="84"/>
      <c r="I134" s="84"/>
      <c r="J134" s="84"/>
      <c r="K134" s="84"/>
      <c r="L134" s="84"/>
      <c r="M134" s="84"/>
      <c r="N134" s="84"/>
      <c r="O134" s="84"/>
      <c r="P134" s="84"/>
      <c r="Q134" s="84"/>
      <c r="R134" s="84"/>
      <c r="S134" s="84"/>
      <c r="T134" s="84"/>
      <c r="U134" s="84"/>
      <c r="V134" s="84"/>
      <c r="W134" s="84"/>
      <c r="X134" s="84"/>
      <c r="Y134" s="84"/>
      <c r="Z134" s="84"/>
      <c r="AA134" s="84"/>
      <c r="AB134" s="84"/>
      <c r="AC134" s="84"/>
      <c r="AD134" s="84"/>
      <c r="AE134" s="84"/>
      <c r="AF134" s="84"/>
      <c r="AG134" s="84"/>
      <c r="AH134" s="84"/>
      <c r="AI134" s="84"/>
      <c r="AJ134" s="84"/>
      <c r="AK134" s="84"/>
      <c r="AL134" s="83"/>
    </row>
    <row r="135" spans="1:38">
      <c r="A135" s="84"/>
      <c r="B135" s="84"/>
      <c r="C135" s="84"/>
      <c r="D135" s="84"/>
      <c r="E135" s="84"/>
      <c r="F135" s="84"/>
      <c r="G135" s="84"/>
      <c r="H135" s="84"/>
      <c r="I135" s="84"/>
      <c r="J135" s="84"/>
      <c r="K135" s="84"/>
      <c r="L135" s="84"/>
      <c r="M135" s="84"/>
      <c r="N135" s="84"/>
      <c r="O135" s="84"/>
      <c r="P135" s="84"/>
      <c r="Q135" s="84"/>
      <c r="R135" s="84"/>
      <c r="S135" s="84"/>
      <c r="T135" s="84"/>
      <c r="U135" s="84"/>
      <c r="V135" s="84"/>
      <c r="W135" s="84"/>
      <c r="X135" s="84"/>
      <c r="Y135" s="84"/>
      <c r="Z135" s="84"/>
      <c r="AA135" s="84"/>
      <c r="AB135" s="84"/>
      <c r="AC135" s="84"/>
      <c r="AD135" s="84"/>
      <c r="AE135" s="84"/>
      <c r="AF135" s="84"/>
      <c r="AG135" s="84"/>
      <c r="AH135" s="84"/>
      <c r="AI135" s="84"/>
      <c r="AJ135" s="84"/>
      <c r="AK135" s="84"/>
      <c r="AL135" s="83"/>
    </row>
    <row r="136" spans="1:38">
      <c r="A136" s="84"/>
      <c r="B136" s="84"/>
      <c r="C136" s="84"/>
      <c r="D136" s="84"/>
      <c r="E136" s="84"/>
      <c r="F136" s="84"/>
      <c r="G136" s="84"/>
      <c r="H136" s="84"/>
      <c r="I136" s="84"/>
      <c r="J136" s="84"/>
      <c r="K136" s="84"/>
      <c r="L136" s="84"/>
      <c r="M136" s="84"/>
      <c r="N136" s="84"/>
      <c r="O136" s="84"/>
      <c r="P136" s="84"/>
      <c r="Q136" s="84"/>
      <c r="R136" s="84"/>
      <c r="S136" s="84"/>
      <c r="T136" s="84"/>
      <c r="U136" s="84"/>
      <c r="V136" s="84"/>
      <c r="W136" s="84"/>
      <c r="X136" s="84"/>
      <c r="Y136" s="84"/>
      <c r="Z136" s="84"/>
      <c r="AA136" s="84"/>
      <c r="AB136" s="84"/>
      <c r="AC136" s="84"/>
      <c r="AD136" s="84"/>
      <c r="AE136" s="84"/>
      <c r="AF136" s="84"/>
      <c r="AG136" s="84"/>
      <c r="AH136" s="84"/>
      <c r="AI136" s="84"/>
      <c r="AJ136" s="84"/>
      <c r="AK136" s="84"/>
      <c r="AL136" s="83"/>
    </row>
    <row r="137" spans="1:38">
      <c r="A137" s="84"/>
      <c r="B137" s="84"/>
      <c r="C137" s="84"/>
      <c r="D137" s="84"/>
      <c r="E137" s="84"/>
      <c r="F137" s="84"/>
      <c r="G137" s="84"/>
      <c r="H137" s="84"/>
      <c r="I137" s="84"/>
      <c r="J137" s="84"/>
      <c r="K137" s="84"/>
      <c r="L137" s="84"/>
      <c r="M137" s="84"/>
      <c r="N137" s="84"/>
      <c r="O137" s="84"/>
      <c r="P137" s="84"/>
      <c r="Q137" s="84"/>
      <c r="R137" s="84"/>
      <c r="S137" s="84"/>
      <c r="T137" s="84"/>
      <c r="U137" s="84"/>
      <c r="V137" s="84"/>
      <c r="W137" s="84"/>
      <c r="X137" s="84"/>
      <c r="Y137" s="84"/>
      <c r="Z137" s="84"/>
      <c r="AA137" s="84"/>
      <c r="AB137" s="84"/>
      <c r="AC137" s="84"/>
      <c r="AD137" s="84"/>
      <c r="AE137" s="84"/>
      <c r="AF137" s="84"/>
      <c r="AG137" s="84"/>
      <c r="AH137" s="84"/>
      <c r="AI137" s="84"/>
      <c r="AJ137" s="84"/>
      <c r="AK137" s="84"/>
      <c r="AL137" s="83"/>
    </row>
    <row r="138" spans="1:38">
      <c r="A138" s="84"/>
      <c r="B138" s="84"/>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84"/>
      <c r="AA138" s="84"/>
      <c r="AB138" s="84"/>
      <c r="AC138" s="84"/>
      <c r="AD138" s="84"/>
      <c r="AE138" s="84"/>
      <c r="AF138" s="84"/>
      <c r="AG138" s="84"/>
      <c r="AH138" s="84"/>
      <c r="AI138" s="84"/>
      <c r="AJ138" s="84"/>
      <c r="AK138" s="84"/>
      <c r="AL138" s="83"/>
    </row>
    <row r="139" spans="1:38">
      <c r="A139" s="84"/>
      <c r="B139" s="84"/>
      <c r="C139" s="84"/>
      <c r="D139" s="84"/>
      <c r="E139" s="84"/>
      <c r="F139" s="84"/>
      <c r="G139" s="84"/>
      <c r="H139" s="84"/>
      <c r="I139" s="84"/>
      <c r="J139" s="84"/>
      <c r="K139" s="84"/>
      <c r="L139" s="84"/>
      <c r="M139" s="84"/>
      <c r="N139" s="84"/>
      <c r="O139" s="84"/>
      <c r="P139" s="84"/>
      <c r="Q139" s="84"/>
      <c r="R139" s="84"/>
      <c r="S139" s="84"/>
      <c r="T139" s="84"/>
      <c r="U139" s="84"/>
      <c r="V139" s="84"/>
      <c r="W139" s="84"/>
      <c r="X139" s="84"/>
      <c r="Y139" s="84"/>
      <c r="Z139" s="84"/>
      <c r="AA139" s="84"/>
      <c r="AB139" s="84"/>
      <c r="AC139" s="84"/>
      <c r="AD139" s="84"/>
      <c r="AE139" s="84"/>
      <c r="AF139" s="84"/>
      <c r="AG139" s="84"/>
      <c r="AH139" s="84"/>
      <c r="AI139" s="84"/>
      <c r="AJ139" s="84"/>
      <c r="AK139" s="84"/>
      <c r="AL139" s="83"/>
    </row>
    <row r="140" spans="1:38">
      <c r="A140" s="84"/>
      <c r="B140" s="84"/>
      <c r="C140" s="84"/>
      <c r="D140" s="84"/>
      <c r="E140" s="84"/>
      <c r="F140" s="84"/>
      <c r="G140" s="84"/>
      <c r="H140" s="84"/>
      <c r="I140" s="84"/>
      <c r="J140" s="84"/>
      <c r="K140" s="84"/>
      <c r="L140" s="84"/>
      <c r="M140" s="84"/>
      <c r="N140" s="84"/>
      <c r="O140" s="84"/>
      <c r="P140" s="84"/>
      <c r="Q140" s="84"/>
      <c r="R140" s="84"/>
      <c r="S140" s="84"/>
      <c r="T140" s="84"/>
      <c r="U140" s="84"/>
      <c r="V140" s="84"/>
      <c r="W140" s="84"/>
      <c r="X140" s="84"/>
      <c r="Y140" s="84"/>
      <c r="Z140" s="84"/>
      <c r="AA140" s="84"/>
      <c r="AB140" s="84"/>
      <c r="AC140" s="84"/>
      <c r="AD140" s="84"/>
      <c r="AE140" s="84"/>
      <c r="AF140" s="84"/>
      <c r="AG140" s="84"/>
      <c r="AH140" s="84"/>
      <c r="AI140" s="84"/>
      <c r="AJ140" s="84"/>
      <c r="AK140" s="84"/>
      <c r="AL140" s="83"/>
    </row>
    <row r="141" spans="1:38">
      <c r="A141" s="84"/>
      <c r="B141" s="84"/>
      <c r="C141" s="84"/>
      <c r="D141" s="84"/>
      <c r="E141" s="84"/>
      <c r="F141" s="84"/>
      <c r="G141" s="84"/>
      <c r="H141" s="84"/>
      <c r="I141" s="84"/>
      <c r="J141" s="84"/>
      <c r="K141" s="84"/>
      <c r="L141" s="84"/>
      <c r="M141" s="84"/>
      <c r="N141" s="84"/>
      <c r="O141" s="84"/>
      <c r="P141" s="84"/>
      <c r="Q141" s="84"/>
      <c r="R141" s="84"/>
      <c r="S141" s="84"/>
      <c r="T141" s="84"/>
      <c r="U141" s="84"/>
      <c r="V141" s="84"/>
      <c r="W141" s="84"/>
      <c r="X141" s="84"/>
      <c r="Y141" s="84"/>
      <c r="Z141" s="84"/>
      <c r="AA141" s="84"/>
      <c r="AB141" s="84"/>
      <c r="AC141" s="84"/>
      <c r="AD141" s="84"/>
      <c r="AE141" s="84"/>
      <c r="AF141" s="84"/>
      <c r="AG141" s="84"/>
      <c r="AH141" s="84"/>
      <c r="AI141" s="84"/>
      <c r="AJ141" s="84"/>
      <c r="AK141" s="84"/>
      <c r="AL141" s="83"/>
    </row>
    <row r="142" spans="1:38">
      <c r="A142" s="84"/>
      <c r="B142" s="84"/>
      <c r="C142" s="84"/>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84"/>
      <c r="AB142" s="84"/>
      <c r="AC142" s="84"/>
      <c r="AD142" s="84"/>
      <c r="AE142" s="84"/>
      <c r="AF142" s="84"/>
      <c r="AG142" s="84"/>
      <c r="AH142" s="84"/>
      <c r="AI142" s="84"/>
      <c r="AJ142" s="84"/>
      <c r="AK142" s="84"/>
      <c r="AL142" s="83"/>
    </row>
    <row r="143" spans="1:38">
      <c r="A143" s="84"/>
      <c r="B143" s="84"/>
      <c r="C143" s="84"/>
      <c r="D143" s="84"/>
      <c r="E143" s="84"/>
      <c r="F143" s="84"/>
      <c r="G143" s="84"/>
      <c r="H143" s="84"/>
      <c r="I143" s="84"/>
      <c r="J143" s="84"/>
      <c r="K143" s="84"/>
      <c r="L143" s="84"/>
      <c r="M143" s="84"/>
      <c r="N143" s="84"/>
      <c r="O143" s="84"/>
      <c r="P143" s="84"/>
      <c r="Q143" s="84"/>
      <c r="R143" s="84"/>
      <c r="S143" s="84"/>
      <c r="T143" s="84"/>
      <c r="U143" s="84"/>
      <c r="V143" s="84"/>
      <c r="W143" s="84"/>
      <c r="X143" s="84"/>
      <c r="Y143" s="84"/>
      <c r="Z143" s="84"/>
      <c r="AA143" s="84"/>
      <c r="AB143" s="84"/>
      <c r="AC143" s="84"/>
      <c r="AD143" s="84"/>
      <c r="AE143" s="84"/>
      <c r="AF143" s="84"/>
      <c r="AG143" s="84"/>
      <c r="AH143" s="84"/>
      <c r="AI143" s="84"/>
      <c r="AJ143" s="84"/>
      <c r="AK143" s="84"/>
      <c r="AL143" s="83"/>
    </row>
    <row r="144" spans="1:38">
      <c r="A144" s="84"/>
      <c r="B144" s="84"/>
      <c r="C144" s="84"/>
      <c r="D144" s="84"/>
      <c r="E144" s="84"/>
      <c r="F144" s="84"/>
      <c r="G144" s="84"/>
      <c r="H144" s="84"/>
      <c r="I144" s="84"/>
      <c r="J144" s="84"/>
      <c r="K144" s="84"/>
      <c r="L144" s="84"/>
      <c r="M144" s="84"/>
      <c r="N144" s="84"/>
      <c r="O144" s="84"/>
      <c r="P144" s="84"/>
      <c r="Q144" s="84"/>
      <c r="R144" s="84"/>
      <c r="S144" s="84"/>
      <c r="T144" s="84"/>
      <c r="U144" s="84"/>
      <c r="V144" s="84"/>
      <c r="W144" s="84"/>
      <c r="X144" s="84"/>
      <c r="Y144" s="84"/>
      <c r="Z144" s="84"/>
      <c r="AA144" s="84"/>
      <c r="AB144" s="84"/>
      <c r="AC144" s="84"/>
      <c r="AD144" s="84"/>
      <c r="AE144" s="84"/>
      <c r="AF144" s="84"/>
      <c r="AG144" s="84"/>
      <c r="AH144" s="84"/>
      <c r="AI144" s="84"/>
      <c r="AJ144" s="84"/>
      <c r="AK144" s="84"/>
      <c r="AL144" s="83"/>
    </row>
    <row r="145" spans="1:38">
      <c r="A145" s="84"/>
      <c r="B145" s="84"/>
      <c r="C145" s="84"/>
      <c r="D145" s="84"/>
      <c r="E145" s="84"/>
      <c r="F145" s="84"/>
      <c r="G145" s="84"/>
      <c r="H145" s="84"/>
      <c r="I145" s="84"/>
      <c r="J145" s="84"/>
      <c r="K145" s="84"/>
      <c r="L145" s="84"/>
      <c r="M145" s="84"/>
      <c r="N145" s="84"/>
      <c r="O145" s="84"/>
      <c r="P145" s="84"/>
      <c r="Q145" s="84"/>
      <c r="R145" s="84"/>
      <c r="S145" s="84"/>
      <c r="T145" s="84"/>
      <c r="U145" s="84"/>
      <c r="V145" s="84"/>
      <c r="W145" s="84"/>
      <c r="X145" s="84"/>
      <c r="Y145" s="84"/>
      <c r="Z145" s="84"/>
      <c r="AA145" s="84"/>
      <c r="AB145" s="84"/>
      <c r="AC145" s="84"/>
      <c r="AD145" s="84"/>
      <c r="AE145" s="84"/>
      <c r="AF145" s="84"/>
      <c r="AG145" s="84"/>
      <c r="AH145" s="84"/>
      <c r="AI145" s="84"/>
      <c r="AJ145" s="84"/>
      <c r="AK145" s="84"/>
      <c r="AL145" s="83"/>
    </row>
    <row r="146" spans="1:38">
      <c r="A146" s="84"/>
      <c r="B146" s="84"/>
      <c r="C146" s="84"/>
      <c r="D146" s="84"/>
      <c r="E146" s="84"/>
      <c r="F146" s="84"/>
      <c r="G146" s="84"/>
      <c r="H146" s="84"/>
      <c r="I146" s="84"/>
      <c r="J146" s="84"/>
      <c r="K146" s="84"/>
      <c r="L146" s="84"/>
      <c r="M146" s="84"/>
      <c r="N146" s="84"/>
      <c r="O146" s="84"/>
      <c r="P146" s="84"/>
      <c r="Q146" s="84"/>
      <c r="R146" s="84"/>
      <c r="S146" s="84"/>
      <c r="T146" s="84"/>
      <c r="U146" s="84"/>
      <c r="V146" s="84"/>
      <c r="W146" s="84"/>
      <c r="X146" s="84"/>
      <c r="Y146" s="84"/>
      <c r="Z146" s="84"/>
      <c r="AA146" s="84"/>
      <c r="AB146" s="84"/>
      <c r="AC146" s="84"/>
      <c r="AD146" s="84"/>
      <c r="AE146" s="84"/>
      <c r="AF146" s="84"/>
      <c r="AG146" s="84"/>
      <c r="AH146" s="84"/>
      <c r="AI146" s="84"/>
      <c r="AJ146" s="84"/>
      <c r="AK146" s="84"/>
      <c r="AL146" s="83"/>
    </row>
    <row r="147" spans="1:38">
      <c r="A147" s="84"/>
      <c r="B147" s="84"/>
      <c r="C147" s="84"/>
      <c r="D147" s="84"/>
      <c r="E147" s="84"/>
      <c r="F147" s="84"/>
      <c r="G147" s="84"/>
      <c r="H147" s="84"/>
      <c r="I147" s="84"/>
      <c r="J147" s="84"/>
      <c r="K147" s="84"/>
      <c r="L147" s="84"/>
      <c r="M147" s="84"/>
      <c r="N147" s="84"/>
      <c r="O147" s="84"/>
      <c r="P147" s="84"/>
      <c r="Q147" s="84"/>
      <c r="R147" s="84"/>
      <c r="S147" s="84"/>
      <c r="T147" s="84"/>
      <c r="U147" s="84"/>
      <c r="V147" s="84"/>
      <c r="W147" s="84"/>
      <c r="X147" s="84"/>
      <c r="Y147" s="84"/>
      <c r="Z147" s="84"/>
      <c r="AA147" s="84"/>
      <c r="AB147" s="84"/>
      <c r="AC147" s="84"/>
      <c r="AD147" s="84"/>
      <c r="AE147" s="84"/>
      <c r="AF147" s="84"/>
      <c r="AG147" s="84"/>
      <c r="AH147" s="84"/>
      <c r="AI147" s="84"/>
      <c r="AJ147" s="84"/>
      <c r="AK147" s="84"/>
      <c r="AL147" s="83"/>
    </row>
    <row r="148" spans="1:38">
      <c r="A148" s="84"/>
      <c r="B148" s="84"/>
      <c r="C148" s="84"/>
      <c r="D148" s="84"/>
      <c r="E148" s="84"/>
      <c r="F148" s="84"/>
      <c r="G148" s="84"/>
      <c r="H148" s="84"/>
      <c r="I148" s="84"/>
      <c r="J148" s="84"/>
      <c r="K148" s="84"/>
      <c r="L148" s="84"/>
      <c r="M148" s="84"/>
      <c r="N148" s="84"/>
      <c r="O148" s="84"/>
      <c r="P148" s="84"/>
      <c r="Q148" s="84"/>
      <c r="R148" s="84"/>
      <c r="S148" s="84"/>
      <c r="T148" s="84"/>
      <c r="U148" s="84"/>
      <c r="V148" s="84"/>
      <c r="W148" s="84"/>
      <c r="X148" s="84"/>
      <c r="Y148" s="84"/>
      <c r="Z148" s="84"/>
      <c r="AA148" s="84"/>
      <c r="AB148" s="84"/>
      <c r="AC148" s="84"/>
      <c r="AD148" s="84"/>
      <c r="AE148" s="84"/>
      <c r="AF148" s="84"/>
      <c r="AG148" s="84"/>
      <c r="AH148" s="84"/>
      <c r="AI148" s="84"/>
      <c r="AJ148" s="84"/>
      <c r="AK148" s="84"/>
      <c r="AL148" s="83"/>
    </row>
    <row r="149" spans="1:38">
      <c r="A149" s="84"/>
      <c r="B149" s="84"/>
      <c r="C149" s="84"/>
      <c r="D149" s="84"/>
      <c r="E149" s="84"/>
      <c r="F149" s="84"/>
      <c r="G149" s="84"/>
      <c r="H149" s="84"/>
      <c r="I149" s="84"/>
      <c r="J149" s="84"/>
      <c r="K149" s="84"/>
      <c r="L149" s="84"/>
      <c r="M149" s="84"/>
      <c r="N149" s="84"/>
      <c r="O149" s="84"/>
      <c r="P149" s="84"/>
      <c r="Q149" s="84"/>
      <c r="R149" s="84"/>
      <c r="S149" s="84"/>
      <c r="T149" s="84"/>
      <c r="U149" s="84"/>
      <c r="V149" s="84"/>
      <c r="W149" s="84"/>
      <c r="X149" s="84"/>
      <c r="Y149" s="84"/>
      <c r="Z149" s="84"/>
      <c r="AA149" s="84"/>
      <c r="AB149" s="84"/>
      <c r="AC149" s="84"/>
      <c r="AD149" s="84"/>
      <c r="AE149" s="84"/>
      <c r="AF149" s="84"/>
      <c r="AG149" s="84"/>
      <c r="AH149" s="84"/>
      <c r="AI149" s="84"/>
      <c r="AJ149" s="84"/>
      <c r="AK149" s="84"/>
      <c r="AL149" s="83"/>
    </row>
    <row r="150" spans="1:38">
      <c r="A150" s="84"/>
      <c r="B150" s="84"/>
      <c r="C150" s="84"/>
      <c r="D150" s="84"/>
      <c r="E150" s="84"/>
      <c r="F150" s="84"/>
      <c r="G150" s="84"/>
      <c r="H150" s="84"/>
      <c r="I150" s="84"/>
      <c r="J150" s="84"/>
      <c r="K150" s="84"/>
      <c r="L150" s="84"/>
      <c r="M150" s="84"/>
      <c r="N150" s="84"/>
      <c r="O150" s="84"/>
      <c r="P150" s="84"/>
      <c r="Q150" s="84"/>
      <c r="R150" s="84"/>
      <c r="S150" s="84"/>
      <c r="T150" s="84"/>
      <c r="U150" s="84"/>
      <c r="V150" s="84"/>
      <c r="W150" s="84"/>
      <c r="X150" s="84"/>
      <c r="Y150" s="84"/>
      <c r="Z150" s="84"/>
      <c r="AA150" s="84"/>
      <c r="AB150" s="84"/>
      <c r="AC150" s="84"/>
      <c r="AD150" s="84"/>
      <c r="AE150" s="84"/>
      <c r="AF150" s="84"/>
      <c r="AG150" s="84"/>
      <c r="AH150" s="84"/>
      <c r="AI150" s="84"/>
      <c r="AJ150" s="84"/>
      <c r="AK150" s="84"/>
      <c r="AL150" s="83"/>
    </row>
    <row r="151" spans="1:38">
      <c r="A151" s="84"/>
      <c r="B151" s="84"/>
      <c r="C151" s="84"/>
      <c r="D151" s="84"/>
      <c r="E151" s="84"/>
      <c r="F151" s="84"/>
      <c r="G151" s="84"/>
      <c r="H151" s="84"/>
      <c r="I151" s="84"/>
      <c r="J151" s="84"/>
      <c r="K151" s="84"/>
      <c r="L151" s="84"/>
      <c r="M151" s="84"/>
      <c r="N151" s="84"/>
      <c r="O151" s="84"/>
      <c r="P151" s="84"/>
      <c r="Q151" s="84"/>
      <c r="R151" s="84"/>
      <c r="S151" s="84"/>
      <c r="T151" s="84"/>
      <c r="U151" s="84"/>
      <c r="V151" s="84"/>
      <c r="W151" s="84"/>
      <c r="X151" s="84"/>
      <c r="Y151" s="84"/>
      <c r="Z151" s="84"/>
      <c r="AA151" s="84"/>
      <c r="AB151" s="84"/>
      <c r="AC151" s="84"/>
      <c r="AD151" s="84"/>
      <c r="AE151" s="84"/>
      <c r="AF151" s="84"/>
      <c r="AG151" s="84"/>
      <c r="AH151" s="84"/>
      <c r="AI151" s="84"/>
      <c r="AJ151" s="84"/>
      <c r="AK151" s="84"/>
      <c r="AL151" s="83"/>
    </row>
    <row r="152" spans="1:38">
      <c r="A152" s="84"/>
      <c r="B152" s="84"/>
      <c r="C152" s="84"/>
      <c r="D152" s="84"/>
      <c r="E152" s="84"/>
      <c r="F152" s="84"/>
      <c r="G152" s="84"/>
      <c r="H152" s="84"/>
      <c r="I152" s="84"/>
      <c r="J152" s="84"/>
      <c r="K152" s="84"/>
      <c r="L152" s="84"/>
      <c r="M152" s="84"/>
      <c r="N152" s="84"/>
      <c r="O152" s="84"/>
      <c r="P152" s="84"/>
      <c r="Q152" s="84"/>
      <c r="R152" s="84"/>
      <c r="S152" s="84"/>
      <c r="T152" s="84"/>
      <c r="U152" s="84"/>
      <c r="V152" s="84"/>
      <c r="W152" s="84"/>
      <c r="X152" s="84"/>
      <c r="Y152" s="84"/>
      <c r="Z152" s="84"/>
      <c r="AA152" s="84"/>
      <c r="AB152" s="84"/>
      <c r="AC152" s="84"/>
      <c r="AD152" s="84"/>
      <c r="AE152" s="84"/>
      <c r="AF152" s="84"/>
      <c r="AG152" s="84"/>
      <c r="AH152" s="84"/>
      <c r="AI152" s="84"/>
      <c r="AJ152" s="84"/>
      <c r="AK152" s="84"/>
      <c r="AL152" s="83"/>
    </row>
    <row r="153" spans="1:38">
      <c r="A153" s="84"/>
      <c r="B153" s="84"/>
      <c r="C153" s="84"/>
      <c r="D153" s="84"/>
      <c r="E153" s="84"/>
      <c r="F153" s="84"/>
      <c r="G153" s="84"/>
      <c r="H153" s="84"/>
      <c r="I153" s="84"/>
      <c r="J153" s="84"/>
      <c r="K153" s="84"/>
      <c r="L153" s="84"/>
      <c r="M153" s="84"/>
      <c r="N153" s="84"/>
      <c r="O153" s="84"/>
      <c r="P153" s="84"/>
      <c r="Q153" s="84"/>
      <c r="R153" s="84"/>
      <c r="S153" s="84"/>
      <c r="T153" s="84"/>
      <c r="U153" s="84"/>
      <c r="V153" s="84"/>
      <c r="W153" s="84"/>
      <c r="X153" s="84"/>
      <c r="Y153" s="84"/>
      <c r="Z153" s="84"/>
      <c r="AA153" s="84"/>
      <c r="AB153" s="84"/>
      <c r="AC153" s="84"/>
      <c r="AD153" s="84"/>
      <c r="AE153" s="84"/>
      <c r="AF153" s="84"/>
      <c r="AG153" s="84"/>
      <c r="AH153" s="84"/>
      <c r="AI153" s="84"/>
      <c r="AJ153" s="84"/>
      <c r="AK153" s="84"/>
      <c r="AL153" s="83"/>
    </row>
    <row r="154" spans="1:38">
      <c r="A154" s="84"/>
      <c r="B154" s="84"/>
      <c r="C154" s="84"/>
      <c r="D154" s="84"/>
      <c r="E154" s="84"/>
      <c r="F154" s="84"/>
      <c r="G154" s="84"/>
      <c r="H154" s="84"/>
      <c r="I154" s="84"/>
      <c r="J154" s="84"/>
      <c r="K154" s="84"/>
      <c r="L154" s="84"/>
      <c r="M154" s="84"/>
      <c r="N154" s="84"/>
      <c r="O154" s="84"/>
      <c r="P154" s="84"/>
      <c r="Q154" s="84"/>
      <c r="R154" s="84"/>
      <c r="S154" s="84"/>
      <c r="T154" s="84"/>
      <c r="U154" s="84"/>
      <c r="V154" s="84"/>
      <c r="W154" s="84"/>
      <c r="X154" s="84"/>
      <c r="Y154" s="84"/>
      <c r="Z154" s="84"/>
      <c r="AA154" s="84"/>
      <c r="AB154" s="84"/>
      <c r="AC154" s="84"/>
      <c r="AD154" s="84"/>
      <c r="AE154" s="84"/>
      <c r="AF154" s="84"/>
      <c r="AG154" s="84"/>
      <c r="AH154" s="84"/>
      <c r="AI154" s="84"/>
      <c r="AJ154" s="84"/>
      <c r="AK154" s="84"/>
      <c r="AL154" s="83"/>
    </row>
    <row r="155" spans="1:38">
      <c r="A155" s="84"/>
      <c r="B155" s="84"/>
      <c r="C155" s="84"/>
      <c r="D155" s="84"/>
      <c r="E155" s="84"/>
      <c r="F155" s="84"/>
      <c r="G155" s="84"/>
      <c r="H155" s="84"/>
      <c r="I155" s="84"/>
      <c r="J155" s="84"/>
      <c r="K155" s="84"/>
      <c r="L155" s="84"/>
      <c r="M155" s="84"/>
      <c r="N155" s="84"/>
      <c r="O155" s="84"/>
      <c r="P155" s="84"/>
      <c r="Q155" s="84"/>
      <c r="R155" s="84"/>
      <c r="S155" s="84"/>
      <c r="T155" s="84"/>
      <c r="U155" s="84"/>
      <c r="V155" s="84"/>
      <c r="W155" s="84"/>
      <c r="X155" s="84"/>
      <c r="Y155" s="84"/>
      <c r="Z155" s="84"/>
      <c r="AA155" s="84"/>
      <c r="AB155" s="84"/>
      <c r="AC155" s="84"/>
      <c r="AD155" s="84"/>
      <c r="AE155" s="84"/>
      <c r="AF155" s="84"/>
      <c r="AG155" s="84"/>
      <c r="AH155" s="84"/>
      <c r="AI155" s="84"/>
      <c r="AJ155" s="84"/>
      <c r="AK155" s="84"/>
      <c r="AL155" s="83"/>
    </row>
    <row r="156" spans="1:38">
      <c r="A156" s="84"/>
      <c r="B156" s="84"/>
      <c r="C156" s="84"/>
      <c r="D156" s="84"/>
      <c r="E156" s="84"/>
      <c r="F156" s="84"/>
      <c r="G156" s="84"/>
      <c r="H156" s="84"/>
      <c r="I156" s="84"/>
      <c r="J156" s="84"/>
      <c r="K156" s="84"/>
      <c r="L156" s="84"/>
      <c r="M156" s="84"/>
      <c r="N156" s="84"/>
      <c r="O156" s="84"/>
      <c r="P156" s="84"/>
      <c r="Q156" s="84"/>
      <c r="R156" s="84"/>
      <c r="S156" s="84"/>
      <c r="T156" s="84"/>
      <c r="U156" s="84"/>
      <c r="V156" s="84"/>
      <c r="W156" s="84"/>
      <c r="X156" s="84"/>
      <c r="Y156" s="84"/>
      <c r="Z156" s="84"/>
      <c r="AA156" s="84"/>
      <c r="AB156" s="84"/>
      <c r="AC156" s="84"/>
      <c r="AD156" s="84"/>
      <c r="AE156" s="84"/>
      <c r="AF156" s="84"/>
      <c r="AG156" s="84"/>
      <c r="AH156" s="84"/>
      <c r="AI156" s="84"/>
      <c r="AJ156" s="84"/>
      <c r="AK156" s="84"/>
      <c r="AL156" s="83"/>
    </row>
    <row r="157" spans="1:38">
      <c r="A157" s="84"/>
      <c r="B157" s="84"/>
      <c r="C157" s="84"/>
      <c r="D157" s="84"/>
      <c r="E157" s="84"/>
      <c r="F157" s="84"/>
      <c r="G157" s="84"/>
      <c r="H157" s="84"/>
      <c r="I157" s="84"/>
      <c r="J157" s="84"/>
      <c r="K157" s="84"/>
      <c r="L157" s="84"/>
      <c r="M157" s="84"/>
      <c r="N157" s="84"/>
      <c r="O157" s="84"/>
      <c r="P157" s="84"/>
      <c r="Q157" s="84"/>
      <c r="R157" s="84"/>
      <c r="S157" s="84"/>
      <c r="T157" s="84"/>
      <c r="U157" s="84"/>
      <c r="V157" s="84"/>
      <c r="W157" s="84"/>
      <c r="X157" s="84"/>
      <c r="Y157" s="84"/>
      <c r="Z157" s="84"/>
      <c r="AA157" s="84"/>
      <c r="AB157" s="84"/>
      <c r="AC157" s="84"/>
      <c r="AD157" s="84"/>
      <c r="AE157" s="84"/>
      <c r="AF157" s="84"/>
      <c r="AG157" s="84"/>
      <c r="AH157" s="84"/>
      <c r="AI157" s="84"/>
      <c r="AJ157" s="84"/>
      <c r="AK157" s="84"/>
      <c r="AL157" s="83"/>
    </row>
    <row r="158" spans="1:38">
      <c r="A158" s="84"/>
      <c r="B158" s="84"/>
      <c r="C158" s="84"/>
      <c r="D158" s="84"/>
      <c r="E158" s="84"/>
      <c r="F158" s="84"/>
      <c r="G158" s="84"/>
      <c r="H158" s="84"/>
      <c r="I158" s="84"/>
      <c r="J158" s="84"/>
      <c r="K158" s="84"/>
      <c r="L158" s="84"/>
      <c r="M158" s="84"/>
      <c r="N158" s="84"/>
      <c r="O158" s="84"/>
      <c r="P158" s="84"/>
      <c r="Q158" s="84"/>
      <c r="R158" s="84"/>
      <c r="S158" s="84"/>
      <c r="T158" s="84"/>
      <c r="U158" s="84"/>
      <c r="V158" s="84"/>
      <c r="W158" s="84"/>
      <c r="X158" s="84"/>
      <c r="Y158" s="84"/>
      <c r="Z158" s="84"/>
      <c r="AA158" s="84"/>
      <c r="AB158" s="84"/>
      <c r="AC158" s="84"/>
      <c r="AD158" s="84"/>
      <c r="AE158" s="84"/>
      <c r="AF158" s="84"/>
      <c r="AG158" s="84"/>
      <c r="AH158" s="84"/>
      <c r="AI158" s="84"/>
      <c r="AJ158" s="84"/>
      <c r="AK158" s="84"/>
      <c r="AL158" s="83"/>
    </row>
    <row r="159" spans="1:38">
      <c r="A159" s="84"/>
      <c r="B159" s="84"/>
      <c r="C159" s="84"/>
      <c r="D159" s="84"/>
      <c r="E159" s="84"/>
      <c r="F159" s="84"/>
      <c r="G159" s="84"/>
      <c r="H159" s="84"/>
      <c r="I159" s="84"/>
      <c r="J159" s="84"/>
      <c r="K159" s="84"/>
      <c r="L159" s="84"/>
      <c r="M159" s="84"/>
      <c r="N159" s="84"/>
      <c r="O159" s="84"/>
      <c r="P159" s="84"/>
      <c r="Q159" s="84"/>
      <c r="R159" s="84"/>
      <c r="S159" s="84"/>
      <c r="T159" s="84"/>
      <c r="U159" s="84"/>
      <c r="V159" s="84"/>
      <c r="W159" s="84"/>
      <c r="X159" s="84"/>
      <c r="Y159" s="84"/>
      <c r="Z159" s="84"/>
      <c r="AA159" s="84"/>
      <c r="AB159" s="84"/>
      <c r="AC159" s="84"/>
      <c r="AD159" s="84"/>
      <c r="AE159" s="84"/>
      <c r="AF159" s="84"/>
      <c r="AG159" s="84"/>
      <c r="AH159" s="84"/>
      <c r="AI159" s="84"/>
      <c r="AJ159" s="84"/>
      <c r="AK159" s="84"/>
      <c r="AL159" s="83"/>
    </row>
    <row r="160" spans="1:38">
      <c r="A160" s="84"/>
      <c r="B160" s="84"/>
      <c r="C160" s="84"/>
      <c r="D160" s="84"/>
      <c r="E160" s="84"/>
      <c r="F160" s="84"/>
      <c r="G160" s="84"/>
      <c r="H160" s="84"/>
      <c r="I160" s="84"/>
      <c r="J160" s="84"/>
      <c r="K160" s="84"/>
      <c r="L160" s="84"/>
      <c r="M160" s="84"/>
      <c r="N160" s="84"/>
      <c r="O160" s="84"/>
      <c r="P160" s="84"/>
      <c r="Q160" s="84"/>
      <c r="R160" s="84"/>
      <c r="S160" s="84"/>
      <c r="T160" s="84"/>
      <c r="U160" s="84"/>
      <c r="V160" s="84"/>
      <c r="W160" s="84"/>
      <c r="X160" s="84"/>
      <c r="Y160" s="84"/>
      <c r="Z160" s="84"/>
      <c r="AA160" s="84"/>
      <c r="AB160" s="84"/>
      <c r="AC160" s="84"/>
      <c r="AD160" s="84"/>
      <c r="AE160" s="84"/>
      <c r="AF160" s="84"/>
      <c r="AG160" s="84"/>
      <c r="AH160" s="84"/>
      <c r="AI160" s="84"/>
      <c r="AJ160" s="84"/>
      <c r="AK160" s="84"/>
      <c r="AL160" s="83"/>
    </row>
    <row r="161" spans="1:38">
      <c r="A161" s="84"/>
      <c r="B161" s="84"/>
      <c r="C161" s="84"/>
      <c r="D161" s="84"/>
      <c r="E161" s="84"/>
      <c r="F161" s="84"/>
      <c r="G161" s="84"/>
      <c r="H161" s="84"/>
      <c r="I161" s="84"/>
      <c r="J161" s="84"/>
      <c r="K161" s="84"/>
      <c r="L161" s="84"/>
      <c r="M161" s="84"/>
      <c r="N161" s="84"/>
      <c r="O161" s="84"/>
      <c r="P161" s="84"/>
      <c r="Q161" s="84"/>
      <c r="R161" s="84"/>
      <c r="S161" s="84"/>
      <c r="T161" s="84"/>
      <c r="U161" s="84"/>
      <c r="V161" s="84"/>
      <c r="W161" s="84"/>
      <c r="X161" s="84"/>
      <c r="Y161" s="84"/>
      <c r="Z161" s="84"/>
      <c r="AA161" s="84"/>
      <c r="AB161" s="84"/>
      <c r="AC161" s="84"/>
      <c r="AD161" s="84"/>
      <c r="AE161" s="84"/>
      <c r="AF161" s="84"/>
      <c r="AG161" s="84"/>
      <c r="AH161" s="84"/>
      <c r="AI161" s="84"/>
      <c r="AJ161" s="84"/>
      <c r="AK161" s="84"/>
      <c r="AL161" s="83"/>
    </row>
    <row r="162" spans="1:38">
      <c r="A162" s="84"/>
      <c r="B162" s="84"/>
      <c r="C162" s="84"/>
      <c r="D162" s="84"/>
      <c r="E162" s="84"/>
      <c r="F162" s="84"/>
      <c r="G162" s="84"/>
      <c r="H162" s="84"/>
      <c r="I162" s="84"/>
      <c r="J162" s="84"/>
      <c r="K162" s="84"/>
      <c r="L162" s="84"/>
      <c r="M162" s="84"/>
      <c r="N162" s="84"/>
      <c r="O162" s="84"/>
      <c r="P162" s="84"/>
      <c r="Q162" s="84"/>
      <c r="R162" s="84"/>
      <c r="S162" s="84"/>
      <c r="T162" s="84"/>
      <c r="U162" s="84"/>
      <c r="V162" s="84"/>
      <c r="W162" s="84"/>
      <c r="X162" s="84"/>
      <c r="Y162" s="84"/>
      <c r="Z162" s="84"/>
      <c r="AA162" s="84"/>
      <c r="AB162" s="84"/>
      <c r="AC162" s="84"/>
      <c r="AD162" s="84"/>
      <c r="AE162" s="84"/>
      <c r="AF162" s="84"/>
      <c r="AG162" s="84"/>
      <c r="AH162" s="84"/>
      <c r="AI162" s="84"/>
      <c r="AJ162" s="84"/>
      <c r="AK162" s="84"/>
      <c r="AL162" s="83"/>
    </row>
    <row r="163" spans="1:38">
      <c r="A163" s="84"/>
      <c r="B163" s="84"/>
      <c r="C163" s="84"/>
      <c r="D163" s="84"/>
      <c r="E163" s="84"/>
      <c r="F163" s="84"/>
      <c r="G163" s="84"/>
      <c r="H163" s="84"/>
      <c r="I163" s="84"/>
      <c r="J163" s="84"/>
      <c r="K163" s="84"/>
      <c r="L163" s="84"/>
      <c r="M163" s="84"/>
      <c r="N163" s="84"/>
      <c r="O163" s="84"/>
      <c r="P163" s="84"/>
      <c r="Q163" s="84"/>
      <c r="R163" s="84"/>
      <c r="S163" s="84"/>
      <c r="T163" s="84"/>
      <c r="U163" s="84"/>
      <c r="V163" s="84"/>
      <c r="W163" s="84"/>
      <c r="X163" s="84"/>
      <c r="Y163" s="84"/>
      <c r="Z163" s="84"/>
      <c r="AA163" s="84"/>
      <c r="AB163" s="84"/>
      <c r="AC163" s="84"/>
      <c r="AD163" s="84"/>
      <c r="AE163" s="84"/>
      <c r="AF163" s="84"/>
      <c r="AG163" s="84"/>
      <c r="AH163" s="84"/>
      <c r="AI163" s="84"/>
      <c r="AJ163" s="84"/>
      <c r="AK163" s="84"/>
      <c r="AL163" s="83"/>
    </row>
    <row r="164" spans="1:38">
      <c r="A164" s="84"/>
      <c r="B164" s="84"/>
      <c r="C164" s="84"/>
      <c r="D164" s="84"/>
      <c r="E164" s="84"/>
      <c r="F164" s="84"/>
      <c r="G164" s="84"/>
      <c r="H164" s="84"/>
      <c r="I164" s="84"/>
      <c r="J164" s="84"/>
      <c r="K164" s="84"/>
      <c r="L164" s="84"/>
      <c r="M164" s="84"/>
      <c r="N164" s="84"/>
      <c r="O164" s="84"/>
      <c r="P164" s="84"/>
      <c r="Q164" s="84"/>
      <c r="R164" s="84"/>
      <c r="S164" s="84"/>
      <c r="T164" s="84"/>
      <c r="U164" s="84"/>
      <c r="V164" s="84"/>
      <c r="W164" s="84"/>
      <c r="X164" s="84"/>
      <c r="Y164" s="84"/>
      <c r="Z164" s="84"/>
      <c r="AA164" s="84"/>
      <c r="AB164" s="84"/>
      <c r="AC164" s="84"/>
      <c r="AD164" s="84"/>
      <c r="AE164" s="84"/>
      <c r="AF164" s="84"/>
      <c r="AG164" s="84"/>
      <c r="AH164" s="84"/>
      <c r="AI164" s="84"/>
      <c r="AJ164" s="84"/>
      <c r="AK164" s="84"/>
      <c r="AL164" s="83"/>
    </row>
    <row r="165" spans="1:38">
      <c r="A165" s="84"/>
      <c r="B165" s="84"/>
      <c r="C165" s="84"/>
      <c r="D165" s="84"/>
      <c r="E165" s="84"/>
      <c r="F165" s="84"/>
      <c r="G165" s="84"/>
      <c r="H165" s="84"/>
      <c r="I165" s="84"/>
      <c r="J165" s="84"/>
      <c r="K165" s="84"/>
      <c r="L165" s="84"/>
      <c r="M165" s="84"/>
      <c r="N165" s="84"/>
      <c r="O165" s="84"/>
      <c r="P165" s="84"/>
      <c r="Q165" s="84"/>
      <c r="R165" s="84"/>
      <c r="S165" s="84"/>
      <c r="T165" s="84"/>
      <c r="U165" s="84"/>
      <c r="V165" s="84"/>
      <c r="W165" s="84"/>
      <c r="X165" s="84"/>
      <c r="Y165" s="84"/>
      <c r="Z165" s="84"/>
      <c r="AA165" s="84"/>
      <c r="AB165" s="84"/>
      <c r="AC165" s="84"/>
      <c r="AD165" s="84"/>
      <c r="AE165" s="84"/>
      <c r="AF165" s="84"/>
      <c r="AG165" s="84"/>
      <c r="AH165" s="84"/>
      <c r="AI165" s="84"/>
      <c r="AJ165" s="84"/>
      <c r="AK165" s="84"/>
      <c r="AL165" s="83"/>
    </row>
    <row r="166" spans="1:38">
      <c r="A166" s="84"/>
      <c r="B166" s="84"/>
      <c r="C166" s="84"/>
      <c r="D166" s="84"/>
      <c r="E166" s="84"/>
      <c r="F166" s="84"/>
      <c r="G166" s="84"/>
      <c r="H166" s="84"/>
      <c r="I166" s="84"/>
      <c r="J166" s="84"/>
      <c r="K166" s="84"/>
      <c r="L166" s="84"/>
      <c r="M166" s="84"/>
      <c r="N166" s="84"/>
      <c r="O166" s="84"/>
      <c r="P166" s="84"/>
      <c r="Q166" s="84"/>
      <c r="R166" s="84"/>
      <c r="S166" s="84"/>
      <c r="T166" s="84"/>
      <c r="U166" s="84"/>
      <c r="V166" s="84"/>
      <c r="W166" s="84"/>
      <c r="X166" s="84"/>
      <c r="Y166" s="84"/>
      <c r="Z166" s="84"/>
      <c r="AA166" s="84"/>
      <c r="AB166" s="84"/>
      <c r="AC166" s="84"/>
      <c r="AD166" s="84"/>
      <c r="AE166" s="84"/>
      <c r="AF166" s="84"/>
      <c r="AG166" s="84"/>
      <c r="AH166" s="84"/>
      <c r="AI166" s="84"/>
      <c r="AJ166" s="84"/>
      <c r="AK166" s="84"/>
      <c r="AL166" s="83"/>
    </row>
    <row r="167" spans="1:38">
      <c r="A167" s="84"/>
      <c r="B167" s="84"/>
      <c r="C167" s="84"/>
      <c r="D167" s="84"/>
      <c r="E167" s="84"/>
      <c r="F167" s="84"/>
      <c r="G167" s="84"/>
      <c r="H167" s="84"/>
      <c r="I167" s="84"/>
      <c r="J167" s="84"/>
      <c r="K167" s="84"/>
      <c r="L167" s="84"/>
      <c r="M167" s="84"/>
      <c r="N167" s="84"/>
      <c r="O167" s="84"/>
      <c r="P167" s="84"/>
      <c r="Q167" s="84"/>
      <c r="R167" s="84"/>
      <c r="S167" s="84"/>
      <c r="T167" s="84"/>
      <c r="U167" s="84"/>
      <c r="V167" s="84"/>
      <c r="W167" s="84"/>
      <c r="X167" s="84"/>
      <c r="Y167" s="84"/>
      <c r="Z167" s="84"/>
      <c r="AA167" s="84"/>
      <c r="AB167" s="84"/>
      <c r="AC167" s="84"/>
      <c r="AD167" s="84"/>
      <c r="AE167" s="84"/>
      <c r="AF167" s="84"/>
      <c r="AG167" s="84"/>
      <c r="AH167" s="84"/>
      <c r="AI167" s="84"/>
      <c r="AJ167" s="84"/>
      <c r="AK167" s="84"/>
      <c r="AL167" s="83"/>
    </row>
    <row r="168" spans="1:38">
      <c r="A168" s="84"/>
      <c r="B168" s="84"/>
      <c r="C168" s="84"/>
      <c r="D168" s="84"/>
      <c r="E168" s="84"/>
      <c r="F168" s="84"/>
      <c r="G168" s="84"/>
      <c r="H168" s="84"/>
      <c r="I168" s="84"/>
      <c r="J168" s="84"/>
      <c r="K168" s="84"/>
      <c r="L168" s="84"/>
      <c r="M168" s="84"/>
      <c r="N168" s="84"/>
      <c r="O168" s="84"/>
      <c r="P168" s="84"/>
      <c r="Q168" s="84"/>
      <c r="R168" s="84"/>
      <c r="S168" s="84"/>
      <c r="T168" s="84"/>
      <c r="U168" s="84"/>
      <c r="V168" s="84"/>
      <c r="W168" s="84"/>
      <c r="X168" s="84"/>
      <c r="Y168" s="84"/>
      <c r="Z168" s="84"/>
      <c r="AA168" s="84"/>
      <c r="AB168" s="84"/>
      <c r="AC168" s="84"/>
      <c r="AD168" s="84"/>
      <c r="AE168" s="84"/>
      <c r="AF168" s="84"/>
      <c r="AG168" s="84"/>
      <c r="AH168" s="84"/>
      <c r="AI168" s="84"/>
      <c r="AJ168" s="84"/>
      <c r="AK168" s="84"/>
      <c r="AL168" s="83"/>
    </row>
    <row r="169" spans="1:38">
      <c r="A169" s="84"/>
      <c r="B169" s="84"/>
      <c r="C169" s="84"/>
      <c r="D169" s="84"/>
      <c r="E169" s="84"/>
      <c r="F169" s="84"/>
      <c r="G169" s="84"/>
      <c r="H169" s="84"/>
      <c r="I169" s="84"/>
      <c r="J169" s="84"/>
      <c r="K169" s="84"/>
      <c r="L169" s="84"/>
      <c r="M169" s="84"/>
      <c r="N169" s="84"/>
      <c r="O169" s="84"/>
      <c r="P169" s="84"/>
      <c r="Q169" s="84"/>
      <c r="R169" s="84"/>
      <c r="S169" s="84"/>
      <c r="T169" s="84"/>
      <c r="U169" s="84"/>
      <c r="V169" s="84"/>
      <c r="W169" s="84"/>
      <c r="X169" s="84"/>
      <c r="Y169" s="84"/>
      <c r="Z169" s="84"/>
      <c r="AA169" s="84"/>
      <c r="AB169" s="84"/>
      <c r="AC169" s="84"/>
      <c r="AD169" s="84"/>
      <c r="AE169" s="84"/>
      <c r="AF169" s="84"/>
      <c r="AG169" s="84"/>
      <c r="AH169" s="84"/>
      <c r="AI169" s="84"/>
      <c r="AJ169" s="84"/>
      <c r="AK169" s="84"/>
      <c r="AL169" s="83"/>
    </row>
    <row r="170" spans="1:38">
      <c r="A170" s="84"/>
      <c r="B170" s="84"/>
      <c r="C170" s="84"/>
      <c r="D170" s="84"/>
      <c r="E170" s="84"/>
      <c r="F170" s="84"/>
      <c r="G170" s="84"/>
      <c r="H170" s="84"/>
      <c r="I170" s="84"/>
      <c r="J170" s="84"/>
      <c r="K170" s="84"/>
      <c r="L170" s="84"/>
      <c r="M170" s="84"/>
      <c r="N170" s="84"/>
      <c r="O170" s="84"/>
      <c r="P170" s="84"/>
      <c r="Q170" s="84"/>
      <c r="R170" s="84"/>
      <c r="S170" s="84"/>
      <c r="T170" s="84"/>
      <c r="U170" s="84"/>
      <c r="V170" s="84"/>
      <c r="W170" s="84"/>
      <c r="X170" s="84"/>
      <c r="Y170" s="84"/>
      <c r="Z170" s="84"/>
      <c r="AA170" s="84"/>
      <c r="AB170" s="84"/>
      <c r="AC170" s="84"/>
      <c r="AD170" s="84"/>
      <c r="AE170" s="84"/>
      <c r="AF170" s="84"/>
      <c r="AG170" s="84"/>
      <c r="AH170" s="84"/>
      <c r="AI170" s="84"/>
      <c r="AJ170" s="84"/>
      <c r="AK170" s="84"/>
      <c r="AL170" s="83"/>
    </row>
    <row r="171" spans="1:38">
      <c r="A171" s="84"/>
      <c r="B171" s="84"/>
      <c r="C171" s="84"/>
      <c r="D171" s="84"/>
      <c r="E171" s="84"/>
      <c r="F171" s="84"/>
      <c r="G171" s="84"/>
      <c r="H171" s="84"/>
      <c r="I171" s="84"/>
      <c r="J171" s="84"/>
      <c r="K171" s="84"/>
      <c r="L171" s="84"/>
      <c r="M171" s="84"/>
      <c r="N171" s="84"/>
      <c r="O171" s="84"/>
      <c r="P171" s="84"/>
      <c r="Q171" s="84"/>
      <c r="R171" s="84"/>
      <c r="S171" s="84"/>
      <c r="T171" s="84"/>
      <c r="U171" s="84"/>
      <c r="V171" s="84"/>
      <c r="W171" s="84"/>
      <c r="X171" s="84"/>
      <c r="Y171" s="84"/>
      <c r="Z171" s="84"/>
      <c r="AA171" s="84"/>
      <c r="AB171" s="84"/>
      <c r="AC171" s="84"/>
      <c r="AD171" s="84"/>
      <c r="AE171" s="84"/>
      <c r="AF171" s="84"/>
      <c r="AG171" s="84"/>
      <c r="AH171" s="84"/>
      <c r="AI171" s="84"/>
      <c r="AJ171" s="84"/>
      <c r="AK171" s="84"/>
      <c r="AL171" s="83"/>
    </row>
    <row r="172" spans="1:38">
      <c r="A172" s="84"/>
      <c r="B172" s="84"/>
      <c r="C172" s="84"/>
      <c r="D172" s="84"/>
      <c r="E172" s="84"/>
      <c r="F172" s="84"/>
      <c r="G172" s="84"/>
      <c r="H172" s="84"/>
      <c r="I172" s="84"/>
      <c r="J172" s="84"/>
      <c r="K172" s="84"/>
      <c r="L172" s="84"/>
      <c r="M172" s="84"/>
      <c r="N172" s="84"/>
      <c r="O172" s="84"/>
      <c r="P172" s="84"/>
      <c r="Q172" s="84"/>
      <c r="R172" s="84"/>
      <c r="S172" s="84"/>
      <c r="T172" s="84"/>
      <c r="U172" s="84"/>
      <c r="V172" s="84"/>
      <c r="W172" s="84"/>
      <c r="X172" s="84"/>
      <c r="Y172" s="84"/>
      <c r="Z172" s="84"/>
      <c r="AA172" s="84"/>
      <c r="AB172" s="84"/>
      <c r="AC172" s="84"/>
      <c r="AD172" s="84"/>
      <c r="AE172" s="84"/>
      <c r="AF172" s="84"/>
      <c r="AG172" s="84"/>
      <c r="AH172" s="84"/>
      <c r="AI172" s="84"/>
      <c r="AJ172" s="84"/>
      <c r="AK172" s="84"/>
      <c r="AL172" s="83"/>
    </row>
    <row r="173" spans="1:38">
      <c r="A173" s="84"/>
      <c r="B173" s="84"/>
      <c r="C173" s="84"/>
      <c r="D173" s="84"/>
      <c r="E173" s="84"/>
      <c r="F173" s="84"/>
      <c r="G173" s="84"/>
      <c r="H173" s="84"/>
      <c r="I173" s="84"/>
      <c r="J173" s="84"/>
      <c r="K173" s="84"/>
      <c r="L173" s="84"/>
      <c r="M173" s="84"/>
      <c r="N173" s="84"/>
      <c r="O173" s="84"/>
      <c r="P173" s="84"/>
      <c r="Q173" s="84"/>
      <c r="R173" s="84"/>
      <c r="S173" s="84"/>
      <c r="T173" s="84"/>
      <c r="U173" s="84"/>
      <c r="V173" s="84"/>
      <c r="W173" s="84"/>
      <c r="X173" s="84"/>
      <c r="Y173" s="84"/>
      <c r="Z173" s="84"/>
      <c r="AA173" s="84"/>
      <c r="AB173" s="84"/>
      <c r="AC173" s="84"/>
      <c r="AD173" s="84"/>
      <c r="AE173" s="84"/>
      <c r="AF173" s="84"/>
      <c r="AG173" s="84"/>
      <c r="AH173" s="84"/>
      <c r="AI173" s="84"/>
      <c r="AJ173" s="84"/>
      <c r="AK173" s="84"/>
      <c r="AL173" s="83"/>
    </row>
    <row r="174" spans="1:38">
      <c r="A174" s="84"/>
      <c r="B174" s="84"/>
      <c r="C174" s="84"/>
      <c r="D174" s="84"/>
      <c r="E174" s="84"/>
      <c r="F174" s="84"/>
      <c r="G174" s="84"/>
      <c r="H174" s="84"/>
      <c r="I174" s="84"/>
      <c r="J174" s="84"/>
      <c r="K174" s="84"/>
      <c r="L174" s="84"/>
      <c r="M174" s="84"/>
      <c r="N174" s="84"/>
      <c r="O174" s="84"/>
      <c r="P174" s="84"/>
      <c r="Q174" s="84"/>
      <c r="R174" s="84"/>
      <c r="S174" s="84"/>
      <c r="T174" s="84"/>
      <c r="U174" s="84"/>
      <c r="V174" s="84"/>
      <c r="W174" s="84"/>
      <c r="X174" s="84"/>
      <c r="Y174" s="84"/>
      <c r="Z174" s="84"/>
      <c r="AA174" s="84"/>
      <c r="AB174" s="84"/>
      <c r="AC174" s="84"/>
      <c r="AD174" s="84"/>
      <c r="AE174" s="84"/>
      <c r="AF174" s="84"/>
      <c r="AG174" s="84"/>
      <c r="AH174" s="84"/>
      <c r="AI174" s="84"/>
      <c r="AJ174" s="84"/>
      <c r="AK174" s="84"/>
      <c r="AL174" s="83"/>
    </row>
    <row r="175" spans="1:38">
      <c r="A175" s="84"/>
      <c r="B175" s="84"/>
      <c r="C175" s="84"/>
      <c r="D175" s="84"/>
      <c r="E175" s="84"/>
      <c r="F175" s="84"/>
      <c r="G175" s="84"/>
      <c r="H175" s="84"/>
      <c r="I175" s="84"/>
      <c r="J175" s="84"/>
      <c r="K175" s="84"/>
      <c r="L175" s="84"/>
      <c r="M175" s="84"/>
      <c r="N175" s="84"/>
      <c r="O175" s="84"/>
      <c r="P175" s="84"/>
      <c r="Q175" s="84"/>
      <c r="R175" s="84"/>
      <c r="S175" s="84"/>
      <c r="T175" s="84"/>
      <c r="U175" s="84"/>
      <c r="V175" s="84"/>
      <c r="W175" s="84"/>
      <c r="X175" s="84"/>
      <c r="Y175" s="84"/>
      <c r="Z175" s="84"/>
      <c r="AA175" s="84"/>
      <c r="AB175" s="84"/>
      <c r="AC175" s="84"/>
      <c r="AD175" s="84"/>
      <c r="AE175" s="84"/>
      <c r="AF175" s="84"/>
      <c r="AG175" s="84"/>
      <c r="AH175" s="84"/>
      <c r="AI175" s="84"/>
      <c r="AJ175" s="84"/>
      <c r="AK175" s="84"/>
      <c r="AL175" s="83"/>
    </row>
    <row r="176" spans="1:38">
      <c r="A176" s="84"/>
      <c r="B176" s="84"/>
      <c r="C176" s="84"/>
      <c r="D176" s="84"/>
      <c r="E176" s="84"/>
      <c r="F176" s="84"/>
      <c r="G176" s="84"/>
      <c r="H176" s="84"/>
      <c r="I176" s="84"/>
      <c r="J176" s="84"/>
      <c r="K176" s="84"/>
      <c r="L176" s="84"/>
      <c r="M176" s="84"/>
      <c r="N176" s="84"/>
      <c r="O176" s="84"/>
      <c r="P176" s="84"/>
      <c r="Q176" s="84"/>
      <c r="R176" s="84"/>
      <c r="S176" s="84"/>
      <c r="T176" s="84"/>
      <c r="U176" s="84"/>
      <c r="V176" s="84"/>
      <c r="W176" s="84"/>
      <c r="X176" s="84"/>
      <c r="Y176" s="84"/>
      <c r="Z176" s="84"/>
      <c r="AA176" s="84"/>
      <c r="AB176" s="84"/>
      <c r="AC176" s="84"/>
      <c r="AD176" s="84"/>
      <c r="AE176" s="84"/>
      <c r="AF176" s="84"/>
      <c r="AG176" s="84"/>
      <c r="AH176" s="84"/>
      <c r="AI176" s="84"/>
      <c r="AJ176" s="84"/>
      <c r="AK176" s="84"/>
      <c r="AL176" s="83"/>
    </row>
    <row r="177" spans="1:38">
      <c r="A177" s="84"/>
      <c r="B177" s="84"/>
      <c r="C177" s="84"/>
      <c r="D177" s="84"/>
      <c r="E177" s="84"/>
      <c r="F177" s="84"/>
      <c r="G177" s="84"/>
      <c r="H177" s="84"/>
      <c r="I177" s="84"/>
      <c r="J177" s="84"/>
      <c r="K177" s="84"/>
      <c r="L177" s="84"/>
      <c r="M177" s="84"/>
      <c r="N177" s="84"/>
      <c r="O177" s="84"/>
      <c r="P177" s="84"/>
      <c r="Q177" s="84"/>
      <c r="R177" s="84"/>
      <c r="S177" s="84"/>
      <c r="T177" s="84"/>
      <c r="U177" s="84"/>
      <c r="V177" s="84"/>
      <c r="W177" s="84"/>
      <c r="X177" s="84"/>
      <c r="Y177" s="84"/>
      <c r="Z177" s="84"/>
      <c r="AA177" s="84"/>
      <c r="AB177" s="84"/>
      <c r="AC177" s="84"/>
      <c r="AD177" s="84"/>
      <c r="AE177" s="84"/>
      <c r="AF177" s="84"/>
      <c r="AG177" s="84"/>
      <c r="AH177" s="84"/>
      <c r="AI177" s="84"/>
      <c r="AJ177" s="84"/>
      <c r="AK177" s="84"/>
      <c r="AL177" s="83"/>
    </row>
    <row r="178" spans="1:38">
      <c r="A178" s="84"/>
      <c r="B178" s="84"/>
      <c r="C178" s="84"/>
      <c r="D178" s="84"/>
      <c r="E178" s="84"/>
      <c r="F178" s="84"/>
      <c r="G178" s="84"/>
      <c r="H178" s="84"/>
      <c r="I178" s="84"/>
      <c r="J178" s="84"/>
      <c r="K178" s="84"/>
      <c r="L178" s="84"/>
      <c r="M178" s="84"/>
      <c r="N178" s="84"/>
      <c r="O178" s="84"/>
      <c r="P178" s="84"/>
      <c r="Q178" s="84"/>
      <c r="R178" s="84"/>
      <c r="S178" s="84"/>
      <c r="T178" s="84"/>
      <c r="U178" s="84"/>
      <c r="V178" s="84"/>
      <c r="W178" s="84"/>
      <c r="X178" s="84"/>
      <c r="Y178" s="84"/>
      <c r="Z178" s="84"/>
      <c r="AA178" s="84"/>
      <c r="AB178" s="84"/>
      <c r="AC178" s="84"/>
      <c r="AD178" s="84"/>
      <c r="AE178" s="84"/>
      <c r="AF178" s="84"/>
      <c r="AG178" s="84"/>
      <c r="AH178" s="84"/>
      <c r="AI178" s="84"/>
      <c r="AJ178" s="84"/>
      <c r="AK178" s="84"/>
      <c r="AL178" s="83"/>
    </row>
    <row r="179" spans="1:38">
      <c r="A179" s="84"/>
      <c r="B179" s="84"/>
      <c r="C179" s="84"/>
      <c r="D179" s="84"/>
      <c r="E179" s="84"/>
      <c r="F179" s="84"/>
      <c r="G179" s="84"/>
      <c r="H179" s="84"/>
      <c r="I179" s="84"/>
      <c r="J179" s="84"/>
      <c r="K179" s="84"/>
      <c r="L179" s="84"/>
      <c r="M179" s="84"/>
      <c r="N179" s="84"/>
      <c r="O179" s="84"/>
      <c r="P179" s="84"/>
      <c r="Q179" s="84"/>
      <c r="R179" s="84"/>
      <c r="S179" s="84"/>
      <c r="T179" s="84"/>
      <c r="U179" s="84"/>
      <c r="V179" s="84"/>
      <c r="W179" s="84"/>
      <c r="X179" s="84"/>
      <c r="Y179" s="84"/>
      <c r="Z179" s="84"/>
      <c r="AA179" s="84"/>
      <c r="AB179" s="84"/>
      <c r="AC179" s="84"/>
      <c r="AD179" s="84"/>
      <c r="AE179" s="84"/>
      <c r="AF179" s="84"/>
      <c r="AG179" s="84"/>
      <c r="AH179" s="84"/>
      <c r="AI179" s="84"/>
      <c r="AJ179" s="84"/>
      <c r="AK179" s="84"/>
      <c r="AL179" s="83"/>
    </row>
    <row r="180" spans="1:38">
      <c r="A180" s="84"/>
      <c r="B180" s="84"/>
      <c r="C180" s="84"/>
      <c r="D180" s="84"/>
      <c r="E180" s="84"/>
      <c r="F180" s="84"/>
      <c r="G180" s="84"/>
      <c r="H180" s="84"/>
      <c r="I180" s="84"/>
      <c r="J180" s="84"/>
      <c r="K180" s="84"/>
      <c r="L180" s="84"/>
      <c r="M180" s="84"/>
      <c r="N180" s="84"/>
      <c r="O180" s="84"/>
      <c r="P180" s="84"/>
      <c r="Q180" s="84"/>
      <c r="R180" s="84"/>
      <c r="S180" s="84"/>
      <c r="T180" s="84"/>
      <c r="U180" s="84"/>
      <c r="V180" s="84"/>
      <c r="W180" s="84"/>
      <c r="X180" s="84"/>
      <c r="Y180" s="84"/>
      <c r="Z180" s="84"/>
      <c r="AA180" s="84"/>
      <c r="AB180" s="84"/>
      <c r="AC180" s="84"/>
      <c r="AD180" s="84"/>
      <c r="AE180" s="84"/>
      <c r="AF180" s="84"/>
      <c r="AG180" s="84"/>
      <c r="AH180" s="84"/>
      <c r="AI180" s="84"/>
      <c r="AJ180" s="84"/>
      <c r="AK180" s="84"/>
      <c r="AL180" s="83"/>
    </row>
    <row r="181" spans="1:38">
      <c r="A181" s="84"/>
      <c r="B181" s="84"/>
      <c r="C181" s="84"/>
      <c r="D181" s="84"/>
      <c r="E181" s="84"/>
      <c r="F181" s="84"/>
      <c r="G181" s="84"/>
      <c r="H181" s="84"/>
      <c r="I181" s="84"/>
      <c r="J181" s="84"/>
      <c r="K181" s="84"/>
      <c r="L181" s="84"/>
      <c r="M181" s="84"/>
      <c r="N181" s="84"/>
      <c r="O181" s="84"/>
      <c r="P181" s="84"/>
      <c r="Q181" s="84"/>
      <c r="R181" s="84"/>
      <c r="S181" s="84"/>
      <c r="T181" s="84"/>
      <c r="U181" s="84"/>
      <c r="V181" s="84"/>
      <c r="W181" s="84"/>
      <c r="X181" s="84"/>
      <c r="Y181" s="84"/>
      <c r="Z181" s="84"/>
      <c r="AA181" s="84"/>
      <c r="AB181" s="84"/>
      <c r="AC181" s="84"/>
      <c r="AD181" s="84"/>
      <c r="AE181" s="84"/>
      <c r="AF181" s="84"/>
      <c r="AG181" s="84"/>
      <c r="AH181" s="84"/>
      <c r="AI181" s="84"/>
      <c r="AJ181" s="84"/>
      <c r="AK181" s="84"/>
      <c r="AL181" s="83"/>
    </row>
    <row r="182" spans="1:38">
      <c r="A182" s="84"/>
      <c r="B182" s="84"/>
      <c r="C182" s="84"/>
      <c r="D182" s="84"/>
      <c r="E182" s="84"/>
      <c r="F182" s="84"/>
      <c r="G182" s="84"/>
      <c r="H182" s="84"/>
      <c r="I182" s="84"/>
      <c r="J182" s="84"/>
      <c r="K182" s="84"/>
      <c r="L182" s="84"/>
      <c r="M182" s="84"/>
      <c r="N182" s="84"/>
      <c r="O182" s="84"/>
      <c r="P182" s="84"/>
      <c r="Q182" s="84"/>
      <c r="R182" s="84"/>
      <c r="S182" s="84"/>
      <c r="T182" s="84"/>
      <c r="U182" s="84"/>
      <c r="V182" s="84"/>
      <c r="W182" s="84"/>
      <c r="X182" s="84"/>
      <c r="Y182" s="84"/>
      <c r="Z182" s="84"/>
      <c r="AA182" s="84"/>
      <c r="AB182" s="84"/>
      <c r="AC182" s="84"/>
      <c r="AD182" s="84"/>
      <c r="AE182" s="84"/>
      <c r="AF182" s="84"/>
      <c r="AG182" s="84"/>
      <c r="AH182" s="84"/>
      <c r="AI182" s="84"/>
      <c r="AJ182" s="84"/>
      <c r="AK182" s="84"/>
      <c r="AL182" s="83"/>
    </row>
    <row r="183" spans="1:38">
      <c r="A183" s="84"/>
      <c r="B183" s="84"/>
      <c r="C183" s="84"/>
      <c r="D183" s="84"/>
      <c r="E183" s="84"/>
      <c r="F183" s="84"/>
      <c r="G183" s="84"/>
      <c r="H183" s="84"/>
      <c r="I183" s="84"/>
      <c r="J183" s="84"/>
      <c r="K183" s="84"/>
      <c r="L183" s="84"/>
      <c r="M183" s="84"/>
      <c r="N183" s="84"/>
      <c r="O183" s="84"/>
      <c r="P183" s="84"/>
      <c r="Q183" s="84"/>
      <c r="R183" s="84"/>
      <c r="S183" s="84"/>
      <c r="T183" s="84"/>
      <c r="U183" s="84"/>
      <c r="V183" s="84"/>
      <c r="W183" s="84"/>
      <c r="X183" s="84"/>
      <c r="Y183" s="84"/>
      <c r="Z183" s="84"/>
      <c r="AA183" s="84"/>
      <c r="AB183" s="84"/>
      <c r="AC183" s="84"/>
      <c r="AD183" s="84"/>
      <c r="AE183" s="84"/>
      <c r="AF183" s="84"/>
      <c r="AG183" s="84"/>
      <c r="AH183" s="84"/>
      <c r="AI183" s="84"/>
      <c r="AJ183" s="84"/>
      <c r="AK183" s="84"/>
      <c r="AL183" s="83"/>
    </row>
    <row r="184" spans="1:38">
      <c r="A184" s="84"/>
      <c r="B184" s="84"/>
      <c r="C184" s="84"/>
      <c r="D184" s="84"/>
      <c r="E184" s="84"/>
      <c r="F184" s="84"/>
      <c r="G184" s="84"/>
      <c r="H184" s="84"/>
      <c r="I184" s="84"/>
      <c r="J184" s="84"/>
      <c r="K184" s="84"/>
      <c r="L184" s="84"/>
      <c r="M184" s="84"/>
      <c r="N184" s="84"/>
      <c r="O184" s="84"/>
      <c r="P184" s="84"/>
      <c r="Q184" s="84"/>
      <c r="R184" s="84"/>
      <c r="S184" s="84"/>
      <c r="T184" s="84"/>
      <c r="U184" s="84"/>
      <c r="V184" s="84"/>
      <c r="W184" s="84"/>
      <c r="X184" s="84"/>
      <c r="Y184" s="84"/>
      <c r="Z184" s="84"/>
      <c r="AA184" s="84"/>
      <c r="AB184" s="84"/>
      <c r="AC184" s="84"/>
      <c r="AD184" s="84"/>
      <c r="AE184" s="84"/>
      <c r="AF184" s="84"/>
      <c r="AG184" s="84"/>
      <c r="AH184" s="84"/>
      <c r="AI184" s="84"/>
      <c r="AJ184" s="84"/>
      <c r="AK184" s="84"/>
      <c r="AL184" s="83"/>
    </row>
    <row r="185" spans="1:38">
      <c r="A185" s="84"/>
      <c r="B185" s="84"/>
      <c r="C185" s="84"/>
      <c r="D185" s="84"/>
      <c r="E185" s="84"/>
      <c r="F185" s="84"/>
      <c r="G185" s="84"/>
      <c r="H185" s="84"/>
      <c r="I185" s="84"/>
      <c r="J185" s="84"/>
      <c r="K185" s="84"/>
      <c r="L185" s="84"/>
      <c r="M185" s="84"/>
      <c r="N185" s="84"/>
      <c r="O185" s="84"/>
      <c r="P185" s="84"/>
      <c r="Q185" s="84"/>
      <c r="R185" s="84"/>
      <c r="S185" s="84"/>
      <c r="T185" s="84"/>
      <c r="U185" s="84"/>
      <c r="V185" s="84"/>
      <c r="W185" s="84"/>
      <c r="X185" s="84"/>
      <c r="Y185" s="84"/>
      <c r="Z185" s="84"/>
      <c r="AA185" s="84"/>
      <c r="AB185" s="84"/>
      <c r="AC185" s="84"/>
      <c r="AD185" s="84"/>
      <c r="AE185" s="84"/>
      <c r="AF185" s="84"/>
      <c r="AG185" s="84"/>
      <c r="AH185" s="84"/>
      <c r="AI185" s="84"/>
      <c r="AJ185" s="84"/>
      <c r="AK185" s="84"/>
      <c r="AL185" s="83"/>
    </row>
    <row r="186" spans="1:38">
      <c r="A186" s="84"/>
      <c r="B186" s="84"/>
      <c r="C186" s="84"/>
      <c r="D186" s="84"/>
      <c r="E186" s="84"/>
      <c r="F186" s="84"/>
      <c r="G186" s="84"/>
      <c r="H186" s="84"/>
      <c r="I186" s="84"/>
      <c r="J186" s="84"/>
      <c r="K186" s="84"/>
      <c r="L186" s="84"/>
      <c r="M186" s="84"/>
      <c r="N186" s="84"/>
      <c r="O186" s="84"/>
      <c r="P186" s="84"/>
      <c r="Q186" s="84"/>
      <c r="R186" s="84"/>
      <c r="S186" s="84"/>
      <c r="T186" s="84"/>
      <c r="U186" s="84"/>
      <c r="V186" s="84"/>
      <c r="W186" s="84"/>
      <c r="X186" s="84"/>
      <c r="Y186" s="84"/>
      <c r="Z186" s="84"/>
      <c r="AA186" s="84"/>
      <c r="AB186" s="84"/>
      <c r="AC186" s="84"/>
      <c r="AD186" s="84"/>
      <c r="AE186" s="84"/>
      <c r="AF186" s="84"/>
      <c r="AG186" s="84"/>
      <c r="AH186" s="84"/>
      <c r="AI186" s="84"/>
      <c r="AJ186" s="84"/>
      <c r="AK186" s="84"/>
      <c r="AL186" s="83"/>
    </row>
    <row r="187" spans="1:38">
      <c r="A187" s="84"/>
      <c r="B187" s="84"/>
      <c r="C187" s="84"/>
      <c r="D187" s="84"/>
      <c r="E187" s="84"/>
      <c r="F187" s="84"/>
      <c r="G187" s="84"/>
      <c r="H187" s="84"/>
      <c r="I187" s="84"/>
      <c r="J187" s="84"/>
      <c r="K187" s="84"/>
      <c r="L187" s="84"/>
      <c r="M187" s="84"/>
      <c r="N187" s="84"/>
      <c r="O187" s="84"/>
      <c r="P187" s="84"/>
      <c r="Q187" s="84"/>
      <c r="R187" s="84"/>
      <c r="S187" s="84"/>
      <c r="T187" s="84"/>
      <c r="U187" s="84"/>
      <c r="V187" s="84"/>
      <c r="W187" s="84"/>
      <c r="X187" s="84"/>
      <c r="Y187" s="84"/>
      <c r="Z187" s="84"/>
      <c r="AA187" s="84"/>
      <c r="AB187" s="84"/>
      <c r="AC187" s="84"/>
      <c r="AD187" s="84"/>
      <c r="AE187" s="84"/>
      <c r="AF187" s="84"/>
      <c r="AG187" s="84"/>
      <c r="AH187" s="84"/>
      <c r="AI187" s="84"/>
      <c r="AJ187" s="84"/>
      <c r="AK187" s="84"/>
      <c r="AL187" s="83"/>
    </row>
    <row r="188" spans="1:38">
      <c r="A188" s="84"/>
      <c r="B188" s="84"/>
      <c r="C188" s="84"/>
      <c r="D188" s="84"/>
      <c r="E188" s="84"/>
      <c r="F188" s="84"/>
      <c r="G188" s="84"/>
      <c r="H188" s="84"/>
      <c r="I188" s="84"/>
      <c r="J188" s="84"/>
      <c r="K188" s="84"/>
      <c r="L188" s="84"/>
      <c r="M188" s="84"/>
      <c r="N188" s="84"/>
      <c r="O188" s="84"/>
      <c r="P188" s="84"/>
      <c r="Q188" s="84"/>
      <c r="R188" s="84"/>
      <c r="S188" s="84"/>
      <c r="T188" s="84"/>
      <c r="U188" s="84"/>
      <c r="V188" s="84"/>
      <c r="W188" s="84"/>
      <c r="X188" s="84"/>
      <c r="Y188" s="84"/>
      <c r="Z188" s="84"/>
      <c r="AA188" s="84"/>
      <c r="AB188" s="84"/>
      <c r="AC188" s="84"/>
      <c r="AD188" s="84"/>
      <c r="AE188" s="84"/>
      <c r="AF188" s="84"/>
      <c r="AG188" s="84"/>
      <c r="AH188" s="84"/>
      <c r="AI188" s="84"/>
      <c r="AJ188" s="84"/>
      <c r="AK188" s="84"/>
      <c r="AL188" s="83"/>
    </row>
    <row r="189" spans="1:38">
      <c r="A189" s="84"/>
      <c r="B189" s="84"/>
      <c r="C189" s="84"/>
      <c r="D189" s="84"/>
      <c r="E189" s="84"/>
      <c r="F189" s="84"/>
      <c r="G189" s="84"/>
      <c r="H189" s="84"/>
      <c r="I189" s="84"/>
      <c r="J189" s="84"/>
      <c r="K189" s="84"/>
      <c r="L189" s="84"/>
      <c r="M189" s="84"/>
      <c r="N189" s="84"/>
      <c r="O189" s="84"/>
      <c r="P189" s="84"/>
      <c r="Q189" s="84"/>
      <c r="R189" s="84"/>
      <c r="S189" s="84"/>
      <c r="T189" s="84"/>
      <c r="U189" s="84"/>
      <c r="V189" s="84"/>
      <c r="W189" s="84"/>
      <c r="X189" s="84"/>
      <c r="Y189" s="84"/>
      <c r="Z189" s="84"/>
      <c r="AA189" s="84"/>
      <c r="AB189" s="84"/>
      <c r="AC189" s="84"/>
      <c r="AD189" s="84"/>
      <c r="AE189" s="84"/>
      <c r="AF189" s="84"/>
      <c r="AG189" s="84"/>
      <c r="AH189" s="84"/>
      <c r="AI189" s="84"/>
      <c r="AJ189" s="84"/>
      <c r="AK189" s="84"/>
      <c r="AL189" s="83"/>
    </row>
    <row r="190" spans="1:38">
      <c r="A190" s="84"/>
      <c r="B190" s="84"/>
      <c r="C190" s="84"/>
      <c r="D190" s="84"/>
      <c r="E190" s="84"/>
      <c r="F190" s="84"/>
      <c r="G190" s="84"/>
      <c r="H190" s="84"/>
      <c r="I190" s="84"/>
      <c r="J190" s="84"/>
      <c r="K190" s="84"/>
      <c r="L190" s="84"/>
      <c r="M190" s="84"/>
      <c r="N190" s="84"/>
      <c r="O190" s="84"/>
      <c r="P190" s="84"/>
      <c r="Q190" s="84"/>
      <c r="R190" s="84"/>
      <c r="S190" s="84"/>
      <c r="T190" s="84"/>
      <c r="U190" s="84"/>
      <c r="V190" s="84"/>
      <c r="W190" s="84"/>
      <c r="X190" s="84"/>
      <c r="Y190" s="84"/>
      <c r="Z190" s="84"/>
      <c r="AA190" s="84"/>
      <c r="AB190" s="84"/>
      <c r="AC190" s="84"/>
      <c r="AD190" s="84"/>
      <c r="AE190" s="84"/>
      <c r="AF190" s="84"/>
      <c r="AG190" s="84"/>
      <c r="AH190" s="84"/>
      <c r="AI190" s="84"/>
      <c r="AJ190" s="84"/>
      <c r="AK190" s="84"/>
      <c r="AL190" s="83"/>
    </row>
    <row r="191" spans="1:38">
      <c r="A191" s="84"/>
      <c r="B191" s="84"/>
      <c r="C191" s="84"/>
      <c r="D191" s="84"/>
      <c r="E191" s="84"/>
      <c r="F191" s="84"/>
      <c r="G191" s="84"/>
      <c r="H191" s="84"/>
      <c r="I191" s="84"/>
      <c r="J191" s="84"/>
      <c r="K191" s="84"/>
      <c r="L191" s="84"/>
      <c r="M191" s="84"/>
      <c r="N191" s="84"/>
      <c r="O191" s="84"/>
      <c r="P191" s="84"/>
      <c r="Q191" s="84"/>
      <c r="R191" s="84"/>
      <c r="S191" s="84"/>
      <c r="T191" s="84"/>
      <c r="U191" s="84"/>
      <c r="V191" s="84"/>
      <c r="W191" s="84"/>
      <c r="X191" s="84"/>
      <c r="Y191" s="84"/>
      <c r="Z191" s="84"/>
      <c r="AA191" s="84"/>
      <c r="AB191" s="84"/>
      <c r="AC191" s="84"/>
      <c r="AD191" s="84"/>
      <c r="AE191" s="84"/>
      <c r="AF191" s="84"/>
      <c r="AG191" s="84"/>
      <c r="AH191" s="84"/>
      <c r="AI191" s="84"/>
      <c r="AJ191" s="84"/>
      <c r="AK191" s="84"/>
      <c r="AL191" s="83"/>
    </row>
    <row r="192" spans="1:38">
      <c r="A192" s="84"/>
      <c r="B192" s="84"/>
      <c r="C192" s="84"/>
      <c r="D192" s="84"/>
      <c r="E192" s="84"/>
      <c r="F192" s="84"/>
      <c r="G192" s="84"/>
      <c r="H192" s="84"/>
      <c r="I192" s="84"/>
      <c r="J192" s="84"/>
      <c r="K192" s="84"/>
      <c r="L192" s="84"/>
      <c r="M192" s="84"/>
      <c r="N192" s="84"/>
      <c r="O192" s="84"/>
      <c r="P192" s="84"/>
      <c r="Q192" s="84"/>
      <c r="R192" s="84"/>
      <c r="S192" s="84"/>
      <c r="T192" s="84"/>
      <c r="U192" s="84"/>
      <c r="V192" s="84"/>
      <c r="W192" s="84"/>
      <c r="X192" s="84"/>
      <c r="Y192" s="84"/>
      <c r="Z192" s="84"/>
      <c r="AA192" s="84"/>
      <c r="AB192" s="84"/>
      <c r="AC192" s="84"/>
      <c r="AD192" s="84"/>
      <c r="AE192" s="84"/>
      <c r="AF192" s="84"/>
      <c r="AG192" s="84"/>
      <c r="AH192" s="84"/>
      <c r="AI192" s="84"/>
      <c r="AJ192" s="84"/>
      <c r="AK192" s="84"/>
      <c r="AL192" s="83"/>
    </row>
    <row r="193" spans="1:38">
      <c r="A193" s="84"/>
      <c r="B193" s="84"/>
      <c r="C193" s="84"/>
      <c r="D193" s="84"/>
      <c r="E193" s="84"/>
      <c r="F193" s="84"/>
      <c r="G193" s="84"/>
      <c r="H193" s="84"/>
      <c r="I193" s="84"/>
      <c r="J193" s="84"/>
      <c r="K193" s="84"/>
      <c r="L193" s="84"/>
      <c r="M193" s="84"/>
      <c r="N193" s="84"/>
      <c r="O193" s="84"/>
      <c r="P193" s="84"/>
      <c r="Q193" s="84"/>
      <c r="R193" s="84"/>
      <c r="S193" s="84"/>
      <c r="T193" s="84"/>
      <c r="U193" s="84"/>
      <c r="V193" s="84"/>
      <c r="W193" s="84"/>
      <c r="X193" s="84"/>
      <c r="Y193" s="84"/>
      <c r="Z193" s="84"/>
      <c r="AA193" s="84"/>
      <c r="AB193" s="84"/>
      <c r="AC193" s="84"/>
      <c r="AD193" s="84"/>
      <c r="AE193" s="84"/>
      <c r="AF193" s="84"/>
      <c r="AG193" s="84"/>
      <c r="AH193" s="84"/>
      <c r="AI193" s="84"/>
      <c r="AJ193" s="84"/>
      <c r="AK193" s="84"/>
      <c r="AL193" s="83"/>
    </row>
    <row r="194" spans="1:38">
      <c r="A194" s="84"/>
      <c r="B194" s="84"/>
      <c r="C194" s="84"/>
      <c r="D194" s="84"/>
      <c r="E194" s="84"/>
      <c r="F194" s="84"/>
      <c r="G194" s="84"/>
      <c r="H194" s="84"/>
      <c r="I194" s="84"/>
      <c r="J194" s="84"/>
      <c r="K194" s="84"/>
      <c r="L194" s="84"/>
      <c r="M194" s="84"/>
      <c r="N194" s="84"/>
      <c r="O194" s="84"/>
      <c r="P194" s="84"/>
      <c r="Q194" s="84"/>
      <c r="R194" s="84"/>
      <c r="S194" s="84"/>
      <c r="T194" s="84"/>
      <c r="U194" s="84"/>
      <c r="V194" s="84"/>
      <c r="W194" s="84"/>
      <c r="X194" s="84"/>
      <c r="Y194" s="84"/>
      <c r="Z194" s="84"/>
      <c r="AA194" s="84"/>
      <c r="AB194" s="84"/>
      <c r="AC194" s="84"/>
      <c r="AD194" s="84"/>
      <c r="AE194" s="84"/>
      <c r="AF194" s="84"/>
      <c r="AG194" s="84"/>
      <c r="AH194" s="84"/>
      <c r="AI194" s="84"/>
      <c r="AJ194" s="84"/>
      <c r="AK194" s="84"/>
      <c r="AL194" s="83"/>
    </row>
    <row r="195" spans="1:38">
      <c r="A195" s="84"/>
      <c r="B195" s="84"/>
      <c r="C195" s="84"/>
      <c r="D195" s="84"/>
      <c r="E195" s="84"/>
      <c r="F195" s="84"/>
      <c r="G195" s="84"/>
      <c r="H195" s="84"/>
      <c r="I195" s="84"/>
      <c r="J195" s="84"/>
      <c r="K195" s="84"/>
      <c r="L195" s="84"/>
      <c r="M195" s="84"/>
      <c r="N195" s="84"/>
      <c r="O195" s="84"/>
      <c r="P195" s="84"/>
      <c r="Q195" s="84"/>
      <c r="R195" s="84"/>
      <c r="S195" s="84"/>
      <c r="T195" s="84"/>
      <c r="U195" s="84"/>
      <c r="V195" s="84"/>
      <c r="W195" s="84"/>
      <c r="X195" s="84"/>
      <c r="Y195" s="84"/>
      <c r="Z195" s="84"/>
      <c r="AA195" s="84"/>
      <c r="AB195" s="84"/>
      <c r="AC195" s="84"/>
      <c r="AD195" s="84"/>
      <c r="AE195" s="84"/>
      <c r="AF195" s="84"/>
      <c r="AG195" s="84"/>
      <c r="AH195" s="84"/>
      <c r="AI195" s="84"/>
      <c r="AJ195" s="84"/>
      <c r="AK195" s="84"/>
      <c r="AL195" s="83"/>
    </row>
    <row r="196" spans="1:38">
      <c r="A196" s="84"/>
      <c r="B196" s="84"/>
      <c r="C196" s="84"/>
      <c r="D196" s="84"/>
      <c r="E196" s="84"/>
      <c r="F196" s="84"/>
      <c r="G196" s="84"/>
      <c r="H196" s="84"/>
      <c r="I196" s="84"/>
      <c r="J196" s="84"/>
      <c r="K196" s="84"/>
      <c r="L196" s="84"/>
      <c r="M196" s="84"/>
      <c r="N196" s="84"/>
      <c r="O196" s="84"/>
      <c r="P196" s="84"/>
      <c r="Q196" s="84"/>
      <c r="R196" s="84"/>
      <c r="S196" s="84"/>
      <c r="T196" s="84"/>
      <c r="U196" s="84"/>
      <c r="V196" s="84"/>
      <c r="W196" s="84"/>
      <c r="X196" s="84"/>
      <c r="Y196" s="84"/>
      <c r="Z196" s="84"/>
      <c r="AA196" s="84"/>
      <c r="AB196" s="84"/>
      <c r="AC196" s="84"/>
      <c r="AD196" s="84"/>
      <c r="AE196" s="84"/>
      <c r="AF196" s="84"/>
      <c r="AG196" s="84"/>
      <c r="AH196" s="84"/>
      <c r="AI196" s="84"/>
      <c r="AJ196" s="84"/>
      <c r="AK196" s="84"/>
      <c r="AL196" s="83"/>
    </row>
    <row r="197" spans="1:38">
      <c r="A197" s="84"/>
      <c r="B197" s="84"/>
      <c r="C197" s="84"/>
      <c r="D197" s="84"/>
      <c r="E197" s="84"/>
      <c r="F197" s="84"/>
      <c r="G197" s="84"/>
      <c r="H197" s="84"/>
      <c r="I197" s="84"/>
      <c r="J197" s="84"/>
      <c r="K197" s="84"/>
      <c r="L197" s="84"/>
      <c r="M197" s="84"/>
      <c r="N197" s="84"/>
      <c r="O197" s="84"/>
      <c r="P197" s="84"/>
      <c r="Q197" s="84"/>
      <c r="R197" s="84"/>
      <c r="S197" s="84"/>
      <c r="T197" s="84"/>
      <c r="U197" s="84"/>
      <c r="V197" s="84"/>
      <c r="W197" s="84"/>
      <c r="X197" s="84"/>
      <c r="Y197" s="84"/>
      <c r="Z197" s="84"/>
      <c r="AA197" s="84"/>
      <c r="AB197" s="84"/>
      <c r="AC197" s="84"/>
      <c r="AD197" s="84"/>
      <c r="AE197" s="84"/>
      <c r="AF197" s="84"/>
      <c r="AG197" s="84"/>
      <c r="AH197" s="84"/>
      <c r="AI197" s="84"/>
      <c r="AJ197" s="84"/>
      <c r="AK197" s="84"/>
      <c r="AL197" s="83"/>
    </row>
    <row r="198" spans="1:38">
      <c r="A198" s="84"/>
      <c r="B198" s="84"/>
      <c r="C198" s="84"/>
      <c r="D198" s="84"/>
      <c r="E198" s="84"/>
      <c r="F198" s="84"/>
      <c r="G198" s="84"/>
      <c r="H198" s="84"/>
      <c r="I198" s="84"/>
      <c r="J198" s="84"/>
      <c r="K198" s="84"/>
      <c r="L198" s="84"/>
      <c r="M198" s="84"/>
      <c r="N198" s="84"/>
      <c r="O198" s="84"/>
      <c r="P198" s="84"/>
      <c r="Q198" s="84"/>
      <c r="R198" s="84"/>
      <c r="S198" s="84"/>
      <c r="T198" s="84"/>
      <c r="U198" s="84"/>
      <c r="V198" s="84"/>
      <c r="W198" s="84"/>
      <c r="X198" s="84"/>
      <c r="Y198" s="84"/>
      <c r="Z198" s="84"/>
      <c r="AA198" s="84"/>
      <c r="AB198" s="84"/>
      <c r="AC198" s="84"/>
      <c r="AD198" s="84"/>
      <c r="AE198" s="84"/>
      <c r="AF198" s="84"/>
      <c r="AG198" s="84"/>
      <c r="AH198" s="84"/>
      <c r="AI198" s="84"/>
      <c r="AJ198" s="84"/>
      <c r="AK198" s="84"/>
      <c r="AL198" s="83"/>
    </row>
    <row r="199" spans="1:38">
      <c r="A199" s="84"/>
      <c r="B199" s="84"/>
      <c r="C199" s="84"/>
      <c r="D199" s="84"/>
      <c r="E199" s="84"/>
      <c r="F199" s="84"/>
      <c r="G199" s="84"/>
      <c r="H199" s="84"/>
      <c r="I199" s="84"/>
      <c r="J199" s="84"/>
      <c r="K199" s="84"/>
      <c r="L199" s="84"/>
      <c r="M199" s="84"/>
      <c r="N199" s="84"/>
      <c r="O199" s="84"/>
      <c r="P199" s="84"/>
      <c r="Q199" s="84"/>
      <c r="R199" s="84"/>
      <c r="S199" s="84"/>
      <c r="T199" s="84"/>
      <c r="U199" s="84"/>
      <c r="V199" s="84"/>
      <c r="W199" s="84"/>
      <c r="X199" s="84"/>
      <c r="Y199" s="84"/>
      <c r="Z199" s="84"/>
      <c r="AA199" s="84"/>
      <c r="AB199" s="84"/>
      <c r="AC199" s="84"/>
      <c r="AD199" s="84"/>
      <c r="AE199" s="84"/>
      <c r="AF199" s="84"/>
      <c r="AG199" s="84"/>
      <c r="AH199" s="84"/>
      <c r="AI199" s="84"/>
      <c r="AJ199" s="84"/>
      <c r="AK199" s="84"/>
      <c r="AL199" s="83"/>
    </row>
    <row r="200" spans="1:38">
      <c r="A200" s="84"/>
      <c r="B200" s="84"/>
      <c r="C200" s="84"/>
      <c r="D200" s="84"/>
      <c r="E200" s="84"/>
      <c r="F200" s="84"/>
      <c r="G200" s="84"/>
      <c r="H200" s="84"/>
      <c r="I200" s="84"/>
      <c r="J200" s="84"/>
      <c r="K200" s="84"/>
      <c r="L200" s="84"/>
      <c r="M200" s="84"/>
      <c r="N200" s="84"/>
      <c r="O200" s="84"/>
      <c r="P200" s="84"/>
      <c r="Q200" s="84"/>
      <c r="R200" s="84"/>
      <c r="S200" s="84"/>
      <c r="T200" s="84"/>
      <c r="U200" s="84"/>
      <c r="V200" s="84"/>
      <c r="W200" s="84"/>
      <c r="X200" s="84"/>
      <c r="Y200" s="84"/>
      <c r="Z200" s="84"/>
      <c r="AA200" s="84"/>
      <c r="AB200" s="84"/>
      <c r="AC200" s="84"/>
      <c r="AD200" s="84"/>
      <c r="AE200" s="84"/>
      <c r="AF200" s="84"/>
      <c r="AG200" s="84"/>
      <c r="AH200" s="84"/>
      <c r="AI200" s="84"/>
      <c r="AJ200" s="84"/>
      <c r="AK200" s="84"/>
      <c r="AL200" s="83"/>
    </row>
    <row r="201" spans="1:38">
      <c r="A201" s="84"/>
      <c r="B201" s="84"/>
      <c r="C201" s="84"/>
      <c r="D201" s="84"/>
      <c r="E201" s="84"/>
      <c r="F201" s="84"/>
      <c r="G201" s="84"/>
      <c r="H201" s="84"/>
      <c r="I201" s="84"/>
      <c r="J201" s="84"/>
      <c r="K201" s="84"/>
      <c r="L201" s="84"/>
      <c r="M201" s="84"/>
      <c r="N201" s="84"/>
      <c r="O201" s="84"/>
      <c r="P201" s="84"/>
      <c r="Q201" s="84"/>
      <c r="R201" s="84"/>
      <c r="S201" s="84"/>
      <c r="T201" s="84"/>
      <c r="U201" s="84"/>
      <c r="V201" s="84"/>
      <c r="W201" s="84"/>
      <c r="X201" s="84"/>
      <c r="Y201" s="84"/>
      <c r="Z201" s="84"/>
      <c r="AA201" s="84"/>
      <c r="AB201" s="84"/>
      <c r="AC201" s="84"/>
      <c r="AD201" s="84"/>
      <c r="AE201" s="84"/>
      <c r="AF201" s="84"/>
      <c r="AG201" s="84"/>
      <c r="AH201" s="84"/>
      <c r="AI201" s="84"/>
      <c r="AJ201" s="84"/>
      <c r="AK201" s="84"/>
      <c r="AL201" s="83"/>
    </row>
    <row r="202" spans="1:38">
      <c r="A202" s="84"/>
      <c r="B202" s="84"/>
      <c r="C202" s="84"/>
      <c r="D202" s="84"/>
      <c r="E202" s="84"/>
      <c r="F202" s="84"/>
      <c r="G202" s="84"/>
      <c r="H202" s="84"/>
      <c r="I202" s="84"/>
      <c r="J202" s="84"/>
      <c r="K202" s="84"/>
      <c r="L202" s="84"/>
      <c r="M202" s="84"/>
      <c r="N202" s="84"/>
      <c r="O202" s="84"/>
      <c r="P202" s="84"/>
      <c r="Q202" s="84"/>
      <c r="R202" s="84"/>
      <c r="S202" s="84"/>
      <c r="T202" s="84"/>
      <c r="U202" s="84"/>
      <c r="V202" s="84"/>
      <c r="W202" s="84"/>
      <c r="X202" s="84"/>
      <c r="Y202" s="84"/>
      <c r="Z202" s="84"/>
      <c r="AA202" s="84"/>
      <c r="AB202" s="84"/>
      <c r="AC202" s="84"/>
      <c r="AD202" s="84"/>
      <c r="AE202" s="84"/>
      <c r="AF202" s="84"/>
      <c r="AG202" s="84"/>
      <c r="AH202" s="84"/>
      <c r="AI202" s="84"/>
      <c r="AJ202" s="84"/>
      <c r="AK202" s="84"/>
      <c r="AL202" s="83"/>
    </row>
    <row r="203" spans="1:38">
      <c r="A203" s="84"/>
      <c r="B203" s="84"/>
      <c r="C203" s="84"/>
      <c r="D203" s="84"/>
      <c r="E203" s="84"/>
      <c r="F203" s="84"/>
      <c r="G203" s="84"/>
      <c r="H203" s="84"/>
      <c r="I203" s="84"/>
      <c r="J203" s="84"/>
      <c r="K203" s="84"/>
      <c r="L203" s="84"/>
      <c r="M203" s="84"/>
      <c r="N203" s="84"/>
      <c r="O203" s="84"/>
      <c r="P203" s="84"/>
      <c r="Q203" s="84"/>
      <c r="R203" s="84"/>
      <c r="S203" s="84"/>
      <c r="T203" s="84"/>
      <c r="U203" s="84"/>
      <c r="V203" s="84"/>
      <c r="W203" s="84"/>
      <c r="X203" s="84"/>
      <c r="Y203" s="84"/>
      <c r="Z203" s="84"/>
      <c r="AA203" s="84"/>
      <c r="AB203" s="84"/>
      <c r="AC203" s="84"/>
      <c r="AD203" s="84"/>
      <c r="AE203" s="84"/>
      <c r="AF203" s="84"/>
      <c r="AG203" s="84"/>
      <c r="AH203" s="84"/>
      <c r="AI203" s="84"/>
      <c r="AJ203" s="84"/>
      <c r="AK203" s="84"/>
      <c r="AL203" s="83"/>
    </row>
    <row r="204" spans="1:38">
      <c r="A204" s="84"/>
      <c r="B204" s="84"/>
      <c r="C204" s="84"/>
      <c r="D204" s="84"/>
      <c r="E204" s="84"/>
      <c r="F204" s="84"/>
      <c r="G204" s="84"/>
      <c r="H204" s="84"/>
      <c r="I204" s="84"/>
      <c r="J204" s="84"/>
      <c r="K204" s="84"/>
      <c r="L204" s="84"/>
      <c r="M204" s="84"/>
      <c r="N204" s="84"/>
      <c r="O204" s="84"/>
      <c r="P204" s="84"/>
      <c r="Q204" s="84"/>
      <c r="R204" s="84"/>
      <c r="S204" s="84"/>
      <c r="T204" s="84"/>
      <c r="U204" s="84"/>
      <c r="V204" s="84"/>
      <c r="W204" s="84"/>
      <c r="X204" s="84"/>
      <c r="Y204" s="84"/>
      <c r="Z204" s="84"/>
      <c r="AA204" s="84"/>
      <c r="AB204" s="84"/>
      <c r="AC204" s="84"/>
      <c r="AD204" s="84"/>
      <c r="AE204" s="84"/>
      <c r="AF204" s="84"/>
      <c r="AG204" s="84"/>
      <c r="AH204" s="84"/>
      <c r="AI204" s="84"/>
      <c r="AJ204" s="84"/>
      <c r="AK204" s="84"/>
      <c r="AL204" s="83"/>
    </row>
    <row r="205" spans="1:38">
      <c r="A205" s="84"/>
      <c r="B205" s="84"/>
      <c r="C205" s="84"/>
      <c r="D205" s="84"/>
      <c r="E205" s="84"/>
      <c r="F205" s="84"/>
      <c r="G205" s="84"/>
      <c r="H205" s="84"/>
      <c r="I205" s="84"/>
      <c r="J205" s="84"/>
      <c r="K205" s="84"/>
      <c r="L205" s="84"/>
      <c r="M205" s="84"/>
      <c r="N205" s="84"/>
      <c r="O205" s="84"/>
      <c r="P205" s="84"/>
      <c r="Q205" s="84"/>
      <c r="R205" s="84"/>
      <c r="S205" s="84"/>
      <c r="T205" s="84"/>
      <c r="U205" s="84"/>
      <c r="V205" s="84"/>
      <c r="W205" s="84"/>
      <c r="X205" s="84"/>
      <c r="Y205" s="84"/>
      <c r="Z205" s="84"/>
      <c r="AA205" s="84"/>
      <c r="AB205" s="84"/>
      <c r="AC205" s="84"/>
      <c r="AD205" s="84"/>
      <c r="AE205" s="84"/>
      <c r="AF205" s="84"/>
      <c r="AG205" s="84"/>
      <c r="AH205" s="84"/>
      <c r="AI205" s="84"/>
      <c r="AJ205" s="84"/>
      <c r="AK205" s="84"/>
      <c r="AL205" s="83"/>
    </row>
    <row r="206" spans="1:38">
      <c r="A206" s="84"/>
      <c r="B206" s="84"/>
      <c r="C206" s="84"/>
      <c r="D206" s="84"/>
      <c r="E206" s="84"/>
      <c r="F206" s="84"/>
      <c r="G206" s="84"/>
      <c r="H206" s="84"/>
      <c r="I206" s="84"/>
      <c r="J206" s="84"/>
      <c r="K206" s="84"/>
      <c r="L206" s="84"/>
      <c r="M206" s="84"/>
      <c r="N206" s="84"/>
      <c r="O206" s="84"/>
      <c r="P206" s="84"/>
      <c r="Q206" s="84"/>
      <c r="R206" s="84"/>
      <c r="S206" s="84"/>
      <c r="T206" s="84"/>
      <c r="U206" s="84"/>
      <c r="V206" s="84"/>
      <c r="W206" s="84"/>
      <c r="X206" s="84"/>
      <c r="Y206" s="84"/>
      <c r="Z206" s="84"/>
      <c r="AA206" s="84"/>
      <c r="AB206" s="84"/>
      <c r="AC206" s="84"/>
      <c r="AD206" s="84"/>
      <c r="AE206" s="84"/>
      <c r="AF206" s="84"/>
      <c r="AG206" s="84"/>
      <c r="AH206" s="84"/>
      <c r="AI206" s="84"/>
      <c r="AJ206" s="84"/>
      <c r="AK206" s="84"/>
      <c r="AL206" s="83"/>
    </row>
    <row r="207" spans="1:38">
      <c r="A207" s="84"/>
      <c r="B207" s="84"/>
      <c r="C207" s="84"/>
      <c r="D207" s="84"/>
      <c r="E207" s="84"/>
      <c r="F207" s="84"/>
      <c r="G207" s="84"/>
      <c r="H207" s="84"/>
      <c r="I207" s="84"/>
      <c r="J207" s="84"/>
      <c r="K207" s="84"/>
      <c r="L207" s="84"/>
      <c r="M207" s="84"/>
      <c r="N207" s="84"/>
      <c r="O207" s="84"/>
      <c r="P207" s="84"/>
      <c r="Q207" s="84"/>
      <c r="R207" s="84"/>
      <c r="S207" s="84"/>
      <c r="T207" s="84"/>
      <c r="U207" s="84"/>
      <c r="V207" s="84"/>
      <c r="W207" s="84"/>
      <c r="X207" s="84"/>
      <c r="Y207" s="84"/>
      <c r="Z207" s="84"/>
      <c r="AA207" s="84"/>
      <c r="AB207" s="84"/>
      <c r="AC207" s="84"/>
      <c r="AD207" s="84"/>
      <c r="AE207" s="84"/>
      <c r="AF207" s="84"/>
      <c r="AG207" s="84"/>
      <c r="AH207" s="84"/>
      <c r="AI207" s="84"/>
      <c r="AJ207" s="84"/>
      <c r="AK207" s="84"/>
      <c r="AL207" s="83"/>
    </row>
    <row r="208" spans="1:38">
      <c r="A208" s="84"/>
      <c r="B208" s="84"/>
      <c r="C208" s="84"/>
      <c r="D208" s="84"/>
      <c r="E208" s="84"/>
      <c r="F208" s="84"/>
      <c r="G208" s="84"/>
      <c r="H208" s="84"/>
      <c r="I208" s="84"/>
      <c r="J208" s="84"/>
      <c r="K208" s="84"/>
      <c r="L208" s="84"/>
      <c r="M208" s="84"/>
      <c r="N208" s="84"/>
      <c r="O208" s="84"/>
      <c r="P208" s="84"/>
      <c r="Q208" s="84"/>
      <c r="R208" s="84"/>
      <c r="S208" s="84"/>
      <c r="T208" s="84"/>
      <c r="U208" s="84"/>
      <c r="V208" s="84"/>
      <c r="W208" s="84"/>
      <c r="X208" s="84"/>
      <c r="Y208" s="84"/>
      <c r="Z208" s="84"/>
      <c r="AA208" s="84"/>
      <c r="AB208" s="84"/>
      <c r="AC208" s="84"/>
      <c r="AD208" s="84"/>
      <c r="AE208" s="84"/>
      <c r="AF208" s="84"/>
      <c r="AG208" s="84"/>
      <c r="AH208" s="84"/>
      <c r="AI208" s="84"/>
      <c r="AJ208" s="84"/>
      <c r="AK208" s="84"/>
      <c r="AL208" s="83"/>
    </row>
    <row r="209" spans="1:38">
      <c r="A209" s="84"/>
      <c r="B209" s="84"/>
      <c r="C209" s="84"/>
      <c r="D209" s="84"/>
      <c r="E209" s="84"/>
      <c r="F209" s="84"/>
      <c r="G209" s="84"/>
      <c r="H209" s="84"/>
      <c r="I209" s="84"/>
      <c r="J209" s="84"/>
      <c r="K209" s="84"/>
      <c r="L209" s="84"/>
      <c r="M209" s="84"/>
      <c r="N209" s="84"/>
      <c r="O209" s="84"/>
      <c r="P209" s="84"/>
      <c r="Q209" s="84"/>
      <c r="R209" s="84"/>
      <c r="S209" s="84"/>
      <c r="T209" s="84"/>
      <c r="U209" s="84"/>
      <c r="V209" s="84"/>
      <c r="W209" s="84"/>
      <c r="X209" s="84"/>
      <c r="Y209" s="84"/>
      <c r="Z209" s="84"/>
      <c r="AA209" s="84"/>
      <c r="AB209" s="84"/>
      <c r="AC209" s="84"/>
      <c r="AD209" s="84"/>
      <c r="AE209" s="84"/>
      <c r="AF209" s="84"/>
      <c r="AG209" s="84"/>
      <c r="AH209" s="84"/>
      <c r="AI209" s="84"/>
      <c r="AJ209" s="84"/>
      <c r="AK209" s="84"/>
      <c r="AL209" s="83"/>
    </row>
    <row r="210" spans="1:38">
      <c r="A210" s="84"/>
      <c r="B210" s="84"/>
      <c r="C210" s="84"/>
      <c r="D210" s="84"/>
      <c r="E210" s="84"/>
      <c r="F210" s="84"/>
      <c r="G210" s="84"/>
      <c r="H210" s="84"/>
      <c r="I210" s="84"/>
      <c r="J210" s="84"/>
      <c r="K210" s="84"/>
      <c r="L210" s="84"/>
      <c r="M210" s="84"/>
      <c r="N210" s="84"/>
      <c r="O210" s="84"/>
      <c r="P210" s="84"/>
      <c r="Q210" s="84"/>
      <c r="R210" s="84"/>
      <c r="S210" s="84"/>
      <c r="T210" s="84"/>
      <c r="U210" s="84"/>
      <c r="V210" s="84"/>
      <c r="W210" s="84"/>
      <c r="X210" s="84"/>
      <c r="Y210" s="84"/>
      <c r="Z210" s="84"/>
      <c r="AA210" s="84"/>
      <c r="AB210" s="84"/>
      <c r="AC210" s="84"/>
      <c r="AD210" s="84"/>
      <c r="AE210" s="84"/>
      <c r="AF210" s="84"/>
      <c r="AG210" s="84"/>
      <c r="AH210" s="84"/>
      <c r="AI210" s="84"/>
      <c r="AJ210" s="84"/>
      <c r="AK210" s="84"/>
      <c r="AL210" s="83"/>
    </row>
    <row r="211" spans="1:38">
      <c r="A211" s="84"/>
      <c r="B211" s="84"/>
      <c r="C211" s="84"/>
      <c r="D211" s="84"/>
      <c r="E211" s="84"/>
      <c r="F211" s="84"/>
      <c r="G211" s="84"/>
      <c r="H211" s="84"/>
      <c r="I211" s="84"/>
      <c r="J211" s="84"/>
      <c r="K211" s="84"/>
      <c r="L211" s="84"/>
      <c r="M211" s="84"/>
      <c r="N211" s="84"/>
      <c r="O211" s="84"/>
      <c r="P211" s="84"/>
      <c r="Q211" s="84"/>
      <c r="R211" s="84"/>
      <c r="S211" s="84"/>
      <c r="T211" s="84"/>
      <c r="U211" s="84"/>
      <c r="V211" s="84"/>
      <c r="W211" s="84"/>
      <c r="X211" s="84"/>
      <c r="Y211" s="84"/>
      <c r="Z211" s="84"/>
      <c r="AA211" s="84"/>
      <c r="AB211" s="84"/>
      <c r="AC211" s="84"/>
      <c r="AD211" s="84"/>
      <c r="AE211" s="84"/>
      <c r="AF211" s="84"/>
      <c r="AG211" s="84"/>
      <c r="AH211" s="84"/>
      <c r="AI211" s="84"/>
      <c r="AJ211" s="84"/>
      <c r="AK211" s="84"/>
      <c r="AL211" s="83"/>
    </row>
    <row r="212" spans="1:38">
      <c r="A212" s="84"/>
      <c r="B212" s="84"/>
      <c r="C212" s="84"/>
      <c r="D212" s="84"/>
      <c r="E212" s="84"/>
      <c r="F212" s="84"/>
      <c r="G212" s="84"/>
      <c r="H212" s="84"/>
      <c r="I212" s="84"/>
      <c r="J212" s="84"/>
      <c r="K212" s="84"/>
      <c r="L212" s="84"/>
      <c r="M212" s="84"/>
      <c r="N212" s="84"/>
      <c r="O212" s="84"/>
      <c r="P212" s="84"/>
      <c r="Q212" s="84"/>
      <c r="R212" s="84"/>
      <c r="S212" s="84"/>
      <c r="T212" s="84"/>
      <c r="U212" s="84"/>
      <c r="V212" s="84"/>
      <c r="W212" s="84"/>
      <c r="X212" s="84"/>
      <c r="Y212" s="84"/>
      <c r="Z212" s="84"/>
      <c r="AA212" s="84"/>
      <c r="AB212" s="84"/>
      <c r="AC212" s="84"/>
      <c r="AD212" s="84"/>
      <c r="AE212" s="84"/>
      <c r="AF212" s="84"/>
      <c r="AG212" s="84"/>
      <c r="AH212" s="84"/>
      <c r="AI212" s="84"/>
      <c r="AJ212" s="84"/>
      <c r="AK212" s="84"/>
      <c r="AL212" s="83"/>
    </row>
    <row r="213" spans="1:38">
      <c r="A213" s="84"/>
      <c r="B213" s="84"/>
      <c r="C213" s="84"/>
      <c r="D213" s="84"/>
      <c r="E213" s="84"/>
      <c r="F213" s="84"/>
      <c r="G213" s="84"/>
      <c r="H213" s="84"/>
      <c r="I213" s="84"/>
      <c r="J213" s="84"/>
      <c r="K213" s="84"/>
      <c r="L213" s="84"/>
      <c r="M213" s="84"/>
      <c r="N213" s="84"/>
      <c r="O213" s="84"/>
      <c r="P213" s="84"/>
      <c r="Q213" s="84"/>
      <c r="R213" s="84"/>
      <c r="S213" s="84"/>
      <c r="T213" s="84"/>
      <c r="U213" s="84"/>
      <c r="V213" s="84"/>
      <c r="W213" s="84"/>
      <c r="X213" s="84"/>
      <c r="Y213" s="84"/>
      <c r="Z213" s="84"/>
      <c r="AA213" s="84"/>
      <c r="AB213" s="84"/>
      <c r="AC213" s="84"/>
      <c r="AD213" s="84"/>
      <c r="AE213" s="84"/>
      <c r="AF213" s="84"/>
      <c r="AG213" s="84"/>
      <c r="AH213" s="84"/>
      <c r="AI213" s="84"/>
      <c r="AJ213" s="84"/>
      <c r="AK213" s="84"/>
      <c r="AL213" s="83"/>
    </row>
    <row r="214" spans="1:38">
      <c r="A214" s="84"/>
      <c r="B214" s="84"/>
      <c r="C214" s="84"/>
      <c r="D214" s="84"/>
      <c r="E214" s="84"/>
      <c r="F214" s="84"/>
      <c r="G214" s="84"/>
      <c r="H214" s="84"/>
      <c r="I214" s="84"/>
      <c r="J214" s="84"/>
      <c r="K214" s="84"/>
      <c r="L214" s="84"/>
      <c r="M214" s="84"/>
      <c r="N214" s="84"/>
      <c r="O214" s="84"/>
      <c r="P214" s="84"/>
      <c r="Q214" s="84"/>
      <c r="R214" s="84"/>
      <c r="S214" s="84"/>
      <c r="T214" s="84"/>
      <c r="U214" s="84"/>
      <c r="V214" s="84"/>
      <c r="W214" s="84"/>
      <c r="X214" s="84"/>
      <c r="Y214" s="84"/>
      <c r="Z214" s="84"/>
      <c r="AA214" s="84"/>
      <c r="AB214" s="84"/>
      <c r="AC214" s="84"/>
      <c r="AD214" s="84"/>
      <c r="AE214" s="84"/>
      <c r="AF214" s="84"/>
      <c r="AG214" s="84"/>
      <c r="AH214" s="84"/>
      <c r="AI214" s="84"/>
      <c r="AJ214" s="84"/>
      <c r="AK214" s="84"/>
      <c r="AL214" s="83"/>
    </row>
    <row r="215" spans="1:38">
      <c r="A215" s="84"/>
      <c r="B215" s="84"/>
      <c r="C215" s="84"/>
      <c r="D215" s="84"/>
      <c r="E215" s="84"/>
      <c r="F215" s="84"/>
      <c r="G215" s="84"/>
      <c r="H215" s="84"/>
      <c r="I215" s="84"/>
      <c r="J215" s="84"/>
      <c r="K215" s="84"/>
      <c r="L215" s="84"/>
      <c r="M215" s="84"/>
      <c r="N215" s="84"/>
      <c r="O215" s="84"/>
      <c r="P215" s="84"/>
      <c r="Q215" s="84"/>
      <c r="R215" s="84"/>
      <c r="S215" s="84"/>
      <c r="T215" s="84"/>
      <c r="U215" s="84"/>
      <c r="V215" s="84"/>
      <c r="W215" s="84"/>
      <c r="X215" s="84"/>
      <c r="Y215" s="84"/>
      <c r="Z215" s="84"/>
      <c r="AA215" s="84"/>
      <c r="AB215" s="84"/>
      <c r="AC215" s="84"/>
      <c r="AD215" s="84"/>
      <c r="AE215" s="84"/>
      <c r="AF215" s="84"/>
      <c r="AG215" s="84"/>
      <c r="AH215" s="84"/>
      <c r="AI215" s="84"/>
      <c r="AJ215" s="84"/>
      <c r="AK215" s="84"/>
      <c r="AL215" s="83"/>
    </row>
    <row r="216" spans="1:38">
      <c r="A216" s="84"/>
      <c r="B216" s="84"/>
      <c r="C216" s="84"/>
      <c r="D216" s="84"/>
      <c r="E216" s="84"/>
      <c r="F216" s="84"/>
      <c r="G216" s="84"/>
      <c r="H216" s="84"/>
      <c r="I216" s="84"/>
      <c r="J216" s="84"/>
      <c r="K216" s="84"/>
      <c r="L216" s="84"/>
      <c r="M216" s="84"/>
      <c r="N216" s="84"/>
      <c r="O216" s="84"/>
      <c r="P216" s="84"/>
      <c r="Q216" s="84"/>
      <c r="R216" s="84"/>
      <c r="S216" s="84"/>
      <c r="T216" s="84"/>
      <c r="U216" s="84"/>
      <c r="V216" s="84"/>
      <c r="W216" s="84"/>
      <c r="X216" s="84"/>
      <c r="Y216" s="84"/>
      <c r="Z216" s="84"/>
      <c r="AA216" s="84"/>
      <c r="AB216" s="84"/>
      <c r="AC216" s="84"/>
      <c r="AD216" s="84"/>
      <c r="AE216" s="84"/>
      <c r="AF216" s="84"/>
      <c r="AG216" s="84"/>
      <c r="AH216" s="84"/>
      <c r="AI216" s="84"/>
      <c r="AJ216" s="84"/>
      <c r="AK216" s="84"/>
      <c r="AL216" s="83"/>
    </row>
    <row r="217" spans="1:38">
      <c r="A217" s="84"/>
      <c r="B217" s="84"/>
      <c r="C217" s="84"/>
      <c r="D217" s="84"/>
      <c r="E217" s="84"/>
      <c r="F217" s="84"/>
      <c r="G217" s="84"/>
      <c r="H217" s="84"/>
      <c r="I217" s="84"/>
      <c r="J217" s="84"/>
      <c r="K217" s="84"/>
      <c r="L217" s="84"/>
      <c r="M217" s="84"/>
      <c r="N217" s="84"/>
      <c r="O217" s="84"/>
      <c r="P217" s="84"/>
      <c r="Q217" s="84"/>
      <c r="R217" s="84"/>
      <c r="S217" s="84"/>
      <c r="T217" s="84"/>
      <c r="U217" s="84"/>
      <c r="V217" s="84"/>
      <c r="W217" s="84"/>
      <c r="X217" s="84"/>
      <c r="Y217" s="84"/>
      <c r="Z217" s="84"/>
      <c r="AA217" s="84"/>
      <c r="AB217" s="84"/>
      <c r="AC217" s="84"/>
      <c r="AD217" s="84"/>
      <c r="AE217" s="84"/>
      <c r="AF217" s="84"/>
      <c r="AG217" s="84"/>
      <c r="AH217" s="84"/>
      <c r="AI217" s="84"/>
      <c r="AJ217" s="84"/>
      <c r="AK217" s="84"/>
      <c r="AL217" s="83"/>
    </row>
    <row r="218" spans="1:38">
      <c r="A218" s="84"/>
      <c r="B218" s="84"/>
      <c r="C218" s="84"/>
      <c r="D218" s="84"/>
      <c r="E218" s="84"/>
      <c r="F218" s="84"/>
      <c r="G218" s="84"/>
      <c r="H218" s="84"/>
      <c r="I218" s="84"/>
      <c r="J218" s="84"/>
      <c r="K218" s="84"/>
      <c r="L218" s="84"/>
      <c r="M218" s="84"/>
      <c r="N218" s="84"/>
      <c r="O218" s="84"/>
      <c r="P218" s="84"/>
      <c r="Q218" s="84"/>
      <c r="R218" s="84"/>
      <c r="S218" s="84"/>
      <c r="T218" s="84"/>
      <c r="U218" s="84"/>
      <c r="V218" s="84"/>
      <c r="W218" s="84"/>
      <c r="X218" s="84"/>
      <c r="Y218" s="84"/>
      <c r="Z218" s="84"/>
      <c r="AA218" s="84"/>
      <c r="AB218" s="84"/>
      <c r="AC218" s="84"/>
      <c r="AD218" s="84"/>
      <c r="AE218" s="84"/>
      <c r="AF218" s="84"/>
      <c r="AG218" s="84"/>
      <c r="AH218" s="84"/>
      <c r="AI218" s="84"/>
      <c r="AJ218" s="84"/>
      <c r="AK218" s="84"/>
      <c r="AL218" s="83"/>
    </row>
    <row r="219" spans="1:38">
      <c r="A219" s="84"/>
      <c r="B219" s="84"/>
      <c r="C219" s="84"/>
      <c r="D219" s="84"/>
      <c r="E219" s="84"/>
      <c r="F219" s="84"/>
      <c r="G219" s="84"/>
      <c r="H219" s="84"/>
      <c r="I219" s="84"/>
      <c r="J219" s="84"/>
      <c r="K219" s="84"/>
      <c r="L219" s="84"/>
      <c r="M219" s="84"/>
      <c r="N219" s="84"/>
      <c r="O219" s="84"/>
      <c r="P219" s="84"/>
      <c r="Q219" s="84"/>
      <c r="R219" s="84"/>
      <c r="S219" s="84"/>
      <c r="T219" s="84"/>
      <c r="U219" s="84"/>
      <c r="V219" s="84"/>
      <c r="W219" s="84"/>
      <c r="X219" s="84"/>
      <c r="Y219" s="84"/>
      <c r="Z219" s="84"/>
      <c r="AA219" s="84"/>
      <c r="AB219" s="84"/>
      <c r="AC219" s="84"/>
      <c r="AD219" s="84"/>
      <c r="AE219" s="84"/>
      <c r="AF219" s="84"/>
      <c r="AG219" s="84"/>
      <c r="AH219" s="84"/>
      <c r="AI219" s="84"/>
      <c r="AJ219" s="84"/>
      <c r="AK219" s="84"/>
      <c r="AL219" s="83"/>
    </row>
    <row r="220" spans="1:38">
      <c r="A220" s="84"/>
      <c r="B220" s="84"/>
      <c r="C220" s="84"/>
      <c r="D220" s="84"/>
      <c r="E220" s="84"/>
      <c r="F220" s="84"/>
      <c r="G220" s="84"/>
      <c r="H220" s="84"/>
      <c r="I220" s="84"/>
      <c r="J220" s="84"/>
      <c r="K220" s="84"/>
      <c r="L220" s="84"/>
      <c r="M220" s="84"/>
      <c r="N220" s="84"/>
      <c r="O220" s="84"/>
      <c r="P220" s="84"/>
      <c r="Q220" s="84"/>
      <c r="R220" s="84"/>
      <c r="S220" s="84"/>
      <c r="T220" s="84"/>
      <c r="U220" s="84"/>
      <c r="V220" s="84"/>
      <c r="W220" s="84"/>
      <c r="X220" s="84"/>
      <c r="Y220" s="84"/>
      <c r="Z220" s="84"/>
      <c r="AA220" s="84"/>
      <c r="AB220" s="84"/>
      <c r="AC220" s="84"/>
      <c r="AD220" s="84"/>
      <c r="AE220" s="84"/>
      <c r="AF220" s="84"/>
      <c r="AG220" s="84"/>
      <c r="AH220" s="84"/>
      <c r="AI220" s="84"/>
      <c r="AJ220" s="84"/>
      <c r="AK220" s="84"/>
      <c r="AL220" s="83"/>
    </row>
    <row r="221" spans="1:38">
      <c r="A221" s="84"/>
      <c r="B221" s="84"/>
      <c r="C221" s="84"/>
      <c r="D221" s="84"/>
      <c r="E221" s="84"/>
      <c r="F221" s="84"/>
      <c r="G221" s="84"/>
      <c r="H221" s="84"/>
      <c r="I221" s="84"/>
      <c r="J221" s="84"/>
      <c r="K221" s="84"/>
      <c r="L221" s="84"/>
      <c r="M221" s="84"/>
      <c r="N221" s="84"/>
      <c r="O221" s="84"/>
      <c r="P221" s="84"/>
      <c r="Q221" s="84"/>
      <c r="R221" s="84"/>
      <c r="S221" s="84"/>
      <c r="T221" s="84"/>
      <c r="U221" s="84"/>
      <c r="V221" s="84"/>
      <c r="W221" s="84"/>
      <c r="X221" s="84"/>
      <c r="Y221" s="84"/>
      <c r="Z221" s="84"/>
      <c r="AA221" s="84"/>
      <c r="AB221" s="84"/>
      <c r="AC221" s="84"/>
      <c r="AD221" s="84"/>
      <c r="AE221" s="84"/>
      <c r="AF221" s="84"/>
      <c r="AG221" s="84"/>
      <c r="AH221" s="84"/>
      <c r="AI221" s="84"/>
      <c r="AJ221" s="84"/>
      <c r="AK221" s="84"/>
      <c r="AL221" s="83"/>
    </row>
    <row r="222" spans="1:38">
      <c r="A222" s="84"/>
      <c r="B222" s="84"/>
      <c r="C222" s="84"/>
      <c r="D222" s="84"/>
      <c r="E222" s="84"/>
      <c r="F222" s="84"/>
      <c r="G222" s="84"/>
      <c r="H222" s="84"/>
      <c r="I222" s="84"/>
      <c r="J222" s="84"/>
      <c r="K222" s="84"/>
      <c r="L222" s="84"/>
      <c r="M222" s="84"/>
      <c r="N222" s="84"/>
      <c r="O222" s="84"/>
      <c r="P222" s="84"/>
      <c r="Q222" s="84"/>
      <c r="R222" s="84"/>
      <c r="S222" s="84"/>
      <c r="T222" s="84"/>
      <c r="U222" s="84"/>
      <c r="V222" s="84"/>
      <c r="W222" s="84"/>
      <c r="X222" s="84"/>
      <c r="Y222" s="84"/>
      <c r="Z222" s="84"/>
      <c r="AA222" s="84"/>
      <c r="AB222" s="84"/>
      <c r="AC222" s="84"/>
      <c r="AD222" s="84"/>
      <c r="AE222" s="84"/>
      <c r="AF222" s="84"/>
      <c r="AG222" s="84"/>
      <c r="AH222" s="84"/>
      <c r="AI222" s="84"/>
      <c r="AJ222" s="84"/>
      <c r="AK222" s="84"/>
      <c r="AL222" s="83"/>
    </row>
    <row r="223" spans="1:38">
      <c r="A223" s="84"/>
      <c r="B223" s="84"/>
      <c r="C223" s="84"/>
      <c r="D223" s="84"/>
      <c r="E223" s="84"/>
      <c r="F223" s="84"/>
      <c r="G223" s="84"/>
      <c r="H223" s="84"/>
      <c r="I223" s="84"/>
      <c r="J223" s="84"/>
      <c r="K223" s="84"/>
      <c r="L223" s="84"/>
      <c r="M223" s="84"/>
      <c r="N223" s="84"/>
      <c r="O223" s="84"/>
      <c r="P223" s="84"/>
      <c r="Q223" s="84"/>
      <c r="R223" s="84"/>
      <c r="S223" s="84"/>
      <c r="T223" s="84"/>
      <c r="U223" s="84"/>
      <c r="V223" s="84"/>
      <c r="W223" s="84"/>
      <c r="X223" s="84"/>
      <c r="Y223" s="84"/>
      <c r="Z223" s="84"/>
      <c r="AA223" s="84"/>
      <c r="AB223" s="84"/>
      <c r="AC223" s="84"/>
      <c r="AD223" s="84"/>
      <c r="AE223" s="84"/>
      <c r="AF223" s="84"/>
      <c r="AG223" s="84"/>
      <c r="AH223" s="84"/>
      <c r="AI223" s="84"/>
      <c r="AJ223" s="84"/>
      <c r="AK223" s="84"/>
      <c r="AL223" s="83"/>
    </row>
    <row r="224" spans="1:38">
      <c r="A224" s="84"/>
      <c r="B224" s="84"/>
      <c r="C224" s="84"/>
      <c r="D224" s="84"/>
      <c r="E224" s="84"/>
      <c r="F224" s="84"/>
      <c r="G224" s="84"/>
      <c r="H224" s="84"/>
      <c r="I224" s="84"/>
      <c r="J224" s="84"/>
      <c r="K224" s="84"/>
      <c r="L224" s="84"/>
      <c r="M224" s="84"/>
      <c r="N224" s="84"/>
      <c r="O224" s="84"/>
      <c r="P224" s="84"/>
      <c r="Q224" s="84"/>
      <c r="R224" s="84"/>
      <c r="S224" s="84"/>
      <c r="T224" s="84"/>
      <c r="U224" s="84"/>
      <c r="V224" s="84"/>
      <c r="W224" s="84"/>
      <c r="X224" s="84"/>
      <c r="Y224" s="84"/>
      <c r="Z224" s="84"/>
      <c r="AA224" s="84"/>
      <c r="AB224" s="84"/>
      <c r="AC224" s="84"/>
      <c r="AD224" s="84"/>
      <c r="AE224" s="84"/>
      <c r="AF224" s="84"/>
      <c r="AG224" s="84"/>
      <c r="AH224" s="84"/>
      <c r="AI224" s="84"/>
      <c r="AJ224" s="84"/>
      <c r="AK224" s="84"/>
      <c r="AL224" s="83"/>
    </row>
    <row r="225" spans="1:38">
      <c r="A225" s="84"/>
      <c r="B225" s="84"/>
      <c r="C225" s="84"/>
      <c r="D225" s="84"/>
      <c r="E225" s="84"/>
      <c r="F225" s="84"/>
      <c r="G225" s="84"/>
      <c r="H225" s="84"/>
      <c r="I225" s="84"/>
      <c r="J225" s="84"/>
      <c r="K225" s="84"/>
      <c r="L225" s="84"/>
      <c r="M225" s="84"/>
      <c r="N225" s="84"/>
      <c r="O225" s="84"/>
      <c r="P225" s="84"/>
      <c r="Q225" s="84"/>
      <c r="R225" s="84"/>
      <c r="S225" s="84"/>
      <c r="T225" s="84"/>
      <c r="U225" s="84"/>
      <c r="V225" s="84"/>
      <c r="W225" s="84"/>
      <c r="X225" s="84"/>
      <c r="Y225" s="84"/>
      <c r="Z225" s="84"/>
      <c r="AA225" s="84"/>
      <c r="AB225" s="84"/>
      <c r="AC225" s="84"/>
      <c r="AD225" s="84"/>
      <c r="AE225" s="84"/>
      <c r="AF225" s="84"/>
      <c r="AG225" s="84"/>
      <c r="AH225" s="84"/>
      <c r="AI225" s="84"/>
      <c r="AJ225" s="84"/>
      <c r="AK225" s="84"/>
      <c r="AL225" s="83"/>
    </row>
    <row r="226" spans="1:38">
      <c r="A226" s="84"/>
      <c r="B226" s="84"/>
      <c r="C226" s="84"/>
      <c r="D226" s="84"/>
      <c r="E226" s="84"/>
      <c r="F226" s="84"/>
      <c r="G226" s="84"/>
      <c r="H226" s="84"/>
      <c r="I226" s="84"/>
      <c r="J226" s="84"/>
      <c r="K226" s="84"/>
      <c r="L226" s="84"/>
      <c r="M226" s="84"/>
      <c r="N226" s="84"/>
      <c r="O226" s="84"/>
      <c r="P226" s="84"/>
      <c r="Q226" s="84"/>
      <c r="R226" s="84"/>
      <c r="S226" s="84"/>
      <c r="T226" s="84"/>
      <c r="U226" s="84"/>
      <c r="V226" s="84"/>
      <c r="W226" s="84"/>
      <c r="X226" s="84"/>
      <c r="Y226" s="84"/>
      <c r="Z226" s="84"/>
      <c r="AA226" s="84"/>
      <c r="AB226" s="84"/>
      <c r="AC226" s="84"/>
      <c r="AD226" s="84"/>
      <c r="AE226" s="84"/>
      <c r="AF226" s="84"/>
      <c r="AG226" s="84"/>
      <c r="AH226" s="84"/>
      <c r="AI226" s="84"/>
      <c r="AJ226" s="84"/>
      <c r="AK226" s="84"/>
      <c r="AL226" s="83"/>
    </row>
    <row r="227" spans="1:38">
      <c r="A227" s="84"/>
      <c r="B227" s="84"/>
      <c r="C227" s="84"/>
      <c r="D227" s="84"/>
      <c r="E227" s="84"/>
      <c r="F227" s="84"/>
      <c r="G227" s="84"/>
      <c r="H227" s="84"/>
      <c r="I227" s="84"/>
      <c r="J227" s="84"/>
      <c r="K227" s="84"/>
      <c r="L227" s="84"/>
      <c r="M227" s="84"/>
      <c r="N227" s="84"/>
      <c r="O227" s="84"/>
      <c r="P227" s="84"/>
      <c r="Q227" s="84"/>
      <c r="R227" s="84"/>
      <c r="S227" s="84"/>
      <c r="T227" s="84"/>
      <c r="U227" s="84"/>
      <c r="V227" s="84"/>
      <c r="W227" s="84"/>
      <c r="X227" s="84"/>
      <c r="Y227" s="84"/>
      <c r="Z227" s="84"/>
      <c r="AA227" s="84"/>
      <c r="AB227" s="84"/>
      <c r="AC227" s="84"/>
      <c r="AD227" s="84"/>
      <c r="AE227" s="84"/>
      <c r="AF227" s="84"/>
      <c r="AG227" s="84"/>
      <c r="AH227" s="84"/>
      <c r="AI227" s="84"/>
      <c r="AJ227" s="84"/>
      <c r="AK227" s="84"/>
      <c r="AL227" s="83"/>
    </row>
    <row r="228" spans="1:38">
      <c r="A228" s="84"/>
      <c r="B228" s="84"/>
      <c r="C228" s="84"/>
      <c r="D228" s="84"/>
      <c r="E228" s="84"/>
      <c r="F228" s="84"/>
      <c r="G228" s="84"/>
      <c r="H228" s="84"/>
      <c r="I228" s="84"/>
      <c r="J228" s="84"/>
      <c r="K228" s="84"/>
      <c r="L228" s="84"/>
      <c r="M228" s="84"/>
      <c r="N228" s="84"/>
      <c r="O228" s="84"/>
      <c r="P228" s="84"/>
      <c r="Q228" s="84"/>
      <c r="R228" s="84"/>
      <c r="S228" s="84"/>
      <c r="T228" s="84"/>
      <c r="U228" s="84"/>
      <c r="V228" s="84"/>
      <c r="W228" s="84"/>
      <c r="X228" s="84"/>
      <c r="Y228" s="84"/>
      <c r="Z228" s="84"/>
      <c r="AA228" s="84"/>
      <c r="AB228" s="84"/>
      <c r="AC228" s="84"/>
      <c r="AD228" s="84"/>
      <c r="AE228" s="84"/>
      <c r="AF228" s="84"/>
      <c r="AG228" s="84"/>
      <c r="AH228" s="84"/>
      <c r="AI228" s="84"/>
      <c r="AJ228" s="84"/>
      <c r="AK228" s="84"/>
    </row>
    <row r="229" spans="1:38">
      <c r="A229" s="84"/>
      <c r="B229" s="84"/>
      <c r="C229" s="84"/>
      <c r="D229" s="84"/>
      <c r="E229" s="84"/>
      <c r="F229" s="84"/>
      <c r="G229" s="84"/>
      <c r="H229" s="84"/>
      <c r="I229" s="84"/>
      <c r="J229" s="84"/>
      <c r="K229" s="84"/>
      <c r="L229" s="84"/>
      <c r="M229" s="84"/>
      <c r="N229" s="84"/>
      <c r="O229" s="84"/>
      <c r="P229" s="84"/>
      <c r="Q229" s="84"/>
      <c r="R229" s="84"/>
      <c r="S229" s="84"/>
      <c r="T229" s="84"/>
      <c r="U229" s="84"/>
      <c r="V229" s="84"/>
      <c r="W229" s="84"/>
      <c r="X229" s="84"/>
      <c r="Y229" s="84"/>
      <c r="Z229" s="84"/>
      <c r="AA229" s="84"/>
      <c r="AB229" s="84"/>
      <c r="AC229" s="84"/>
      <c r="AD229" s="84"/>
      <c r="AE229" s="84"/>
      <c r="AF229" s="84"/>
      <c r="AG229" s="84"/>
      <c r="AH229" s="84"/>
      <c r="AI229" s="84"/>
      <c r="AJ229" s="84"/>
      <c r="AK229" s="84"/>
    </row>
    <row r="230" spans="1:38">
      <c r="A230" s="84"/>
      <c r="B230" s="84"/>
      <c r="C230" s="84"/>
      <c r="D230" s="84"/>
      <c r="E230" s="84"/>
      <c r="F230" s="84"/>
      <c r="G230" s="84"/>
      <c r="H230" s="84"/>
      <c r="I230" s="84"/>
      <c r="J230" s="84"/>
      <c r="K230" s="84"/>
      <c r="L230" s="84"/>
      <c r="M230" s="84"/>
      <c r="N230" s="84"/>
      <c r="O230" s="84"/>
      <c r="P230" s="84"/>
      <c r="Q230" s="84"/>
      <c r="R230" s="84"/>
      <c r="S230" s="84"/>
      <c r="T230" s="84"/>
      <c r="U230" s="84"/>
      <c r="V230" s="84"/>
      <c r="W230" s="84"/>
      <c r="X230" s="84"/>
      <c r="Y230" s="84"/>
      <c r="Z230" s="84"/>
      <c r="AA230" s="84"/>
      <c r="AB230" s="84"/>
      <c r="AC230" s="84"/>
      <c r="AD230" s="84"/>
      <c r="AE230" s="84"/>
      <c r="AF230" s="84"/>
      <c r="AG230" s="84"/>
      <c r="AH230" s="84"/>
      <c r="AI230" s="84"/>
      <c r="AJ230" s="84"/>
      <c r="AK230" s="84"/>
    </row>
    <row r="231" spans="1:38">
      <c r="A231" s="84"/>
      <c r="B231" s="84"/>
      <c r="C231" s="84"/>
      <c r="D231" s="84"/>
      <c r="E231" s="84"/>
      <c r="F231" s="84"/>
      <c r="G231" s="84"/>
      <c r="H231" s="84"/>
      <c r="I231" s="84"/>
      <c r="J231" s="84"/>
      <c r="K231" s="84"/>
      <c r="L231" s="84"/>
      <c r="M231" s="84"/>
      <c r="N231" s="84"/>
      <c r="O231" s="84"/>
      <c r="P231" s="84"/>
      <c r="Q231" s="84"/>
      <c r="R231" s="84"/>
      <c r="S231" s="84"/>
      <c r="T231" s="84"/>
      <c r="U231" s="84"/>
      <c r="V231" s="84"/>
      <c r="W231" s="84"/>
      <c r="X231" s="84"/>
      <c r="Y231" s="84"/>
      <c r="Z231" s="84"/>
      <c r="AA231" s="84"/>
      <c r="AB231" s="84"/>
      <c r="AC231" s="84"/>
      <c r="AD231" s="84"/>
      <c r="AE231" s="84"/>
      <c r="AF231" s="84"/>
      <c r="AG231" s="84"/>
      <c r="AH231" s="84"/>
      <c r="AI231" s="84"/>
      <c r="AJ231" s="84"/>
      <c r="AK231" s="84"/>
    </row>
    <row r="232" spans="1:38">
      <c r="A232" s="84"/>
      <c r="B232" s="84"/>
      <c r="C232" s="84"/>
      <c r="D232" s="84"/>
      <c r="E232" s="84"/>
      <c r="F232" s="84"/>
      <c r="G232" s="84"/>
      <c r="H232" s="84"/>
      <c r="I232" s="84"/>
      <c r="J232" s="84"/>
      <c r="K232" s="84"/>
      <c r="L232" s="84"/>
      <c r="M232" s="84"/>
      <c r="N232" s="84"/>
      <c r="O232" s="84"/>
      <c r="P232" s="84"/>
      <c r="Q232" s="84"/>
      <c r="R232" s="84"/>
      <c r="S232" s="84"/>
      <c r="T232" s="84"/>
      <c r="U232" s="84"/>
      <c r="V232" s="84"/>
      <c r="W232" s="84"/>
      <c r="X232" s="84"/>
      <c r="Y232" s="84"/>
      <c r="Z232" s="84"/>
      <c r="AA232" s="84"/>
      <c r="AB232" s="84"/>
      <c r="AC232" s="84"/>
      <c r="AD232" s="84"/>
      <c r="AE232" s="84"/>
      <c r="AF232" s="84"/>
      <c r="AG232" s="84"/>
      <c r="AH232" s="84"/>
      <c r="AI232" s="84"/>
      <c r="AJ232" s="84"/>
      <c r="AK232" s="84"/>
    </row>
    <row r="233" spans="1:38">
      <c r="A233" s="84"/>
      <c r="B233" s="84"/>
      <c r="C233" s="84"/>
      <c r="D233" s="84"/>
      <c r="E233" s="84"/>
      <c r="F233" s="84"/>
      <c r="G233" s="84"/>
      <c r="H233" s="84"/>
      <c r="I233" s="84"/>
      <c r="J233" s="84"/>
      <c r="K233" s="84"/>
      <c r="L233" s="84"/>
      <c r="M233" s="84"/>
      <c r="N233" s="84"/>
      <c r="O233" s="84"/>
      <c r="P233" s="84"/>
      <c r="Q233" s="84"/>
      <c r="R233" s="84"/>
      <c r="S233" s="84"/>
      <c r="T233" s="84"/>
      <c r="U233" s="84"/>
      <c r="V233" s="84"/>
      <c r="W233" s="84"/>
      <c r="X233" s="84"/>
      <c r="Y233" s="84"/>
      <c r="Z233" s="84"/>
      <c r="AA233" s="84"/>
      <c r="AB233" s="84"/>
      <c r="AC233" s="84"/>
      <c r="AD233" s="84"/>
      <c r="AE233" s="84"/>
      <c r="AF233" s="84"/>
      <c r="AG233" s="84"/>
      <c r="AH233" s="84"/>
      <c r="AI233" s="84"/>
      <c r="AJ233" s="84"/>
      <c r="AK233" s="84"/>
    </row>
    <row r="234" spans="1:38">
      <c r="A234" s="84"/>
      <c r="B234" s="84"/>
      <c r="C234" s="84"/>
      <c r="D234" s="84"/>
      <c r="E234" s="84"/>
      <c r="F234" s="84"/>
      <c r="G234" s="84"/>
      <c r="H234" s="84"/>
      <c r="I234" s="84"/>
      <c r="J234" s="84"/>
      <c r="K234" s="84"/>
      <c r="L234" s="84"/>
      <c r="M234" s="84"/>
      <c r="N234" s="84"/>
      <c r="O234" s="84"/>
      <c r="P234" s="84"/>
      <c r="Q234" s="84"/>
      <c r="R234" s="84"/>
      <c r="S234" s="84"/>
      <c r="T234" s="84"/>
      <c r="U234" s="84"/>
      <c r="V234" s="84"/>
      <c r="W234" s="84"/>
      <c r="X234" s="84"/>
      <c r="Y234" s="84"/>
      <c r="Z234" s="84"/>
      <c r="AA234" s="84"/>
      <c r="AB234" s="84"/>
      <c r="AC234" s="84"/>
      <c r="AD234" s="84"/>
      <c r="AE234" s="84"/>
      <c r="AF234" s="84"/>
      <c r="AG234" s="84"/>
      <c r="AH234" s="84"/>
      <c r="AI234" s="84"/>
      <c r="AJ234" s="84"/>
      <c r="AK234" s="84"/>
    </row>
    <row r="235" spans="1:38">
      <c r="A235" s="84"/>
      <c r="B235" s="84"/>
      <c r="C235" s="84"/>
      <c r="D235" s="84"/>
      <c r="E235" s="84"/>
      <c r="F235" s="84"/>
      <c r="G235" s="84"/>
      <c r="H235" s="84"/>
      <c r="I235" s="84"/>
      <c r="J235" s="84"/>
      <c r="K235" s="84"/>
      <c r="L235" s="84"/>
      <c r="M235" s="84"/>
      <c r="N235" s="84"/>
      <c r="O235" s="84"/>
      <c r="P235" s="84"/>
      <c r="Q235" s="84"/>
      <c r="R235" s="84"/>
      <c r="S235" s="84"/>
      <c r="T235" s="84"/>
      <c r="U235" s="84"/>
      <c r="V235" s="84"/>
      <c r="W235" s="84"/>
      <c r="X235" s="84"/>
      <c r="Y235" s="84"/>
      <c r="Z235" s="84"/>
      <c r="AA235" s="84"/>
      <c r="AB235" s="84"/>
      <c r="AC235" s="84"/>
      <c r="AD235" s="84"/>
      <c r="AE235" s="84"/>
      <c r="AF235" s="84"/>
      <c r="AG235" s="84"/>
      <c r="AH235" s="84"/>
      <c r="AI235" s="84"/>
      <c r="AJ235" s="84"/>
      <c r="AK235" s="84"/>
    </row>
    <row r="236" spans="1:38">
      <c r="A236" s="84"/>
      <c r="B236" s="84"/>
      <c r="C236" s="84"/>
      <c r="D236" s="84"/>
      <c r="E236" s="84"/>
      <c r="F236" s="84"/>
      <c r="G236" s="84"/>
      <c r="H236" s="84"/>
      <c r="I236" s="84"/>
      <c r="J236" s="84"/>
      <c r="K236" s="84"/>
      <c r="L236" s="84"/>
      <c r="M236" s="84"/>
      <c r="N236" s="84"/>
      <c r="O236" s="84"/>
      <c r="P236" s="84"/>
      <c r="Q236" s="84"/>
      <c r="R236" s="84"/>
      <c r="S236" s="84"/>
      <c r="T236" s="84"/>
      <c r="U236" s="84"/>
      <c r="V236" s="84"/>
      <c r="W236" s="84"/>
      <c r="X236" s="84"/>
      <c r="Y236" s="84"/>
      <c r="Z236" s="84"/>
      <c r="AA236" s="84"/>
      <c r="AB236" s="84"/>
      <c r="AC236" s="84"/>
      <c r="AD236" s="84"/>
      <c r="AE236" s="84"/>
      <c r="AF236" s="84"/>
      <c r="AG236" s="84"/>
      <c r="AH236" s="84"/>
      <c r="AI236" s="84"/>
      <c r="AJ236" s="84"/>
      <c r="AK236" s="84"/>
    </row>
    <row r="237" spans="1:38">
      <c r="A237" s="84"/>
      <c r="B237" s="84"/>
      <c r="C237" s="84"/>
      <c r="D237" s="84"/>
      <c r="E237" s="84"/>
      <c r="F237" s="84"/>
      <c r="G237" s="84"/>
      <c r="H237" s="84"/>
      <c r="I237" s="84"/>
      <c r="J237" s="84"/>
      <c r="K237" s="84"/>
      <c r="L237" s="84"/>
      <c r="M237" s="84"/>
      <c r="N237" s="84"/>
      <c r="O237" s="84"/>
      <c r="P237" s="84"/>
      <c r="Q237" s="84"/>
      <c r="R237" s="84"/>
      <c r="S237" s="84"/>
      <c r="T237" s="84"/>
      <c r="U237" s="84"/>
      <c r="V237" s="84"/>
      <c r="W237" s="84"/>
      <c r="X237" s="84"/>
      <c r="Y237" s="84"/>
      <c r="Z237" s="84"/>
      <c r="AA237" s="84"/>
      <c r="AB237" s="84"/>
      <c r="AC237" s="84"/>
      <c r="AD237" s="84"/>
      <c r="AE237" s="84"/>
      <c r="AF237" s="84"/>
      <c r="AG237" s="84"/>
      <c r="AH237" s="84"/>
      <c r="AI237" s="84"/>
      <c r="AJ237" s="84"/>
      <c r="AK237" s="84"/>
    </row>
    <row r="238" spans="1:38">
      <c r="A238" s="84"/>
      <c r="B238" s="84"/>
      <c r="C238" s="84"/>
      <c r="D238" s="84"/>
      <c r="E238" s="84"/>
      <c r="F238" s="84"/>
      <c r="G238" s="84"/>
      <c r="H238" s="84"/>
      <c r="I238" s="84"/>
      <c r="J238" s="84"/>
      <c r="K238" s="84"/>
      <c r="L238" s="84"/>
      <c r="M238" s="84"/>
      <c r="N238" s="84"/>
      <c r="O238" s="84"/>
      <c r="P238" s="84"/>
      <c r="Q238" s="84"/>
      <c r="R238" s="84"/>
      <c r="S238" s="84"/>
      <c r="T238" s="84"/>
      <c r="U238" s="84"/>
      <c r="V238" s="84"/>
      <c r="W238" s="84"/>
      <c r="X238" s="84"/>
      <c r="Y238" s="84"/>
      <c r="Z238" s="84"/>
      <c r="AA238" s="84"/>
      <c r="AB238" s="84"/>
      <c r="AC238" s="84"/>
      <c r="AD238" s="84"/>
      <c r="AE238" s="84"/>
      <c r="AF238" s="84"/>
      <c r="AG238" s="84"/>
      <c r="AH238" s="84"/>
      <c r="AI238" s="84"/>
      <c r="AJ238" s="84"/>
      <c r="AK238" s="84"/>
    </row>
    <row r="239" spans="1:38">
      <c r="A239" s="84"/>
      <c r="B239" s="84"/>
      <c r="C239" s="84"/>
      <c r="D239" s="84"/>
      <c r="E239" s="84"/>
      <c r="F239" s="84"/>
      <c r="G239" s="84"/>
      <c r="H239" s="84"/>
      <c r="I239" s="84"/>
      <c r="J239" s="84"/>
      <c r="K239" s="84"/>
      <c r="L239" s="84"/>
      <c r="M239" s="84"/>
      <c r="N239" s="84"/>
      <c r="O239" s="84"/>
      <c r="P239" s="84"/>
      <c r="Q239" s="84"/>
      <c r="R239" s="84"/>
      <c r="S239" s="84"/>
      <c r="T239" s="84"/>
      <c r="U239" s="84"/>
      <c r="V239" s="84"/>
      <c r="W239" s="84"/>
      <c r="X239" s="84"/>
      <c r="Y239" s="84"/>
      <c r="Z239" s="84"/>
      <c r="AA239" s="84"/>
      <c r="AB239" s="84"/>
      <c r="AC239" s="84"/>
      <c r="AD239" s="84"/>
      <c r="AE239" s="84"/>
      <c r="AF239" s="84"/>
      <c r="AG239" s="84"/>
      <c r="AH239" s="84"/>
      <c r="AI239" s="84"/>
      <c r="AJ239" s="84"/>
      <c r="AK239" s="84"/>
    </row>
    <row r="240" spans="1:38">
      <c r="A240" s="84"/>
      <c r="B240" s="84"/>
      <c r="C240" s="84"/>
      <c r="D240" s="84"/>
      <c r="E240" s="84"/>
      <c r="F240" s="84"/>
      <c r="G240" s="84"/>
      <c r="H240" s="84"/>
      <c r="I240" s="84"/>
      <c r="J240" s="84"/>
      <c r="K240" s="84"/>
      <c r="L240" s="84"/>
      <c r="M240" s="84"/>
      <c r="N240" s="84"/>
      <c r="O240" s="84"/>
      <c r="P240" s="84"/>
      <c r="Q240" s="84"/>
      <c r="R240" s="84"/>
      <c r="S240" s="84"/>
      <c r="T240" s="84"/>
      <c r="U240" s="84"/>
      <c r="V240" s="84"/>
      <c r="W240" s="84"/>
      <c r="X240" s="84"/>
      <c r="Y240" s="84"/>
      <c r="Z240" s="84"/>
      <c r="AA240" s="84"/>
      <c r="AB240" s="84"/>
      <c r="AC240" s="84"/>
      <c r="AD240" s="84"/>
      <c r="AE240" s="84"/>
      <c r="AF240" s="84"/>
      <c r="AG240" s="84"/>
      <c r="AH240" s="84"/>
      <c r="AI240" s="84"/>
      <c r="AJ240" s="84"/>
      <c r="AK240" s="84"/>
    </row>
    <row r="241" spans="1:37">
      <c r="A241" s="84"/>
      <c r="B241" s="84"/>
      <c r="C241" s="84"/>
      <c r="D241" s="84"/>
      <c r="E241" s="84"/>
      <c r="F241" s="84"/>
      <c r="G241" s="84"/>
      <c r="H241" s="84"/>
      <c r="I241" s="84"/>
      <c r="J241" s="84"/>
      <c r="K241" s="84"/>
      <c r="L241" s="84"/>
      <c r="M241" s="84"/>
      <c r="N241" s="84"/>
      <c r="O241" s="84"/>
      <c r="P241" s="84"/>
      <c r="Q241" s="84"/>
      <c r="R241" s="84"/>
      <c r="S241" s="84"/>
      <c r="T241" s="84"/>
      <c r="U241" s="84"/>
      <c r="V241" s="84"/>
      <c r="W241" s="84"/>
      <c r="X241" s="84"/>
      <c r="Y241" s="84"/>
      <c r="Z241" s="84"/>
      <c r="AA241" s="84"/>
      <c r="AB241" s="84"/>
      <c r="AC241" s="84"/>
      <c r="AD241" s="84"/>
      <c r="AE241" s="84"/>
      <c r="AF241" s="84"/>
      <c r="AG241" s="84"/>
      <c r="AH241" s="84"/>
      <c r="AI241" s="84"/>
      <c r="AJ241" s="84"/>
      <c r="AK241" s="84"/>
    </row>
    <row r="242" spans="1:37">
      <c r="A242" s="84"/>
      <c r="B242" s="84"/>
      <c r="C242" s="84"/>
      <c r="D242" s="84"/>
      <c r="E242" s="84"/>
      <c r="F242" s="84"/>
      <c r="G242" s="84"/>
      <c r="H242" s="84"/>
      <c r="I242" s="84"/>
      <c r="J242" s="84"/>
      <c r="K242" s="84"/>
      <c r="L242" s="84"/>
      <c r="M242" s="84"/>
      <c r="N242" s="84"/>
      <c r="O242" s="84"/>
      <c r="P242" s="84"/>
      <c r="Q242" s="84"/>
      <c r="R242" s="84"/>
      <c r="S242" s="84"/>
      <c r="T242" s="84"/>
      <c r="U242" s="84"/>
      <c r="V242" s="84"/>
      <c r="W242" s="84"/>
      <c r="X242" s="84"/>
      <c r="Y242" s="84"/>
      <c r="Z242" s="84"/>
      <c r="AA242" s="84"/>
      <c r="AB242" s="84"/>
      <c r="AC242" s="84"/>
      <c r="AD242" s="84"/>
      <c r="AE242" s="84"/>
      <c r="AF242" s="84"/>
      <c r="AG242" s="84"/>
      <c r="AH242" s="84"/>
      <c r="AI242" s="84"/>
      <c r="AJ242" s="84"/>
      <c r="AK242" s="84"/>
    </row>
    <row r="243" spans="1:37">
      <c r="A243" s="84"/>
      <c r="B243" s="84"/>
      <c r="C243" s="84"/>
      <c r="D243" s="84"/>
      <c r="E243" s="84"/>
      <c r="F243" s="84"/>
      <c r="G243" s="84"/>
      <c r="H243" s="84"/>
      <c r="I243" s="84"/>
      <c r="J243" s="84"/>
      <c r="K243" s="84"/>
      <c r="L243" s="84"/>
      <c r="M243" s="84"/>
      <c r="N243" s="84"/>
      <c r="O243" s="84"/>
      <c r="P243" s="84"/>
      <c r="Q243" s="84"/>
      <c r="R243" s="84"/>
      <c r="S243" s="84"/>
      <c r="T243" s="84"/>
      <c r="U243" s="84"/>
      <c r="V243" s="84"/>
      <c r="W243" s="84"/>
      <c r="X243" s="84"/>
      <c r="Y243" s="84"/>
      <c r="Z243" s="84"/>
      <c r="AA243" s="84"/>
      <c r="AB243" s="84"/>
      <c r="AC243" s="84"/>
      <c r="AD243" s="84"/>
      <c r="AE243" s="84"/>
      <c r="AF243" s="84"/>
      <c r="AG243" s="84"/>
      <c r="AH243" s="84"/>
      <c r="AI243" s="84"/>
      <c r="AJ243" s="84"/>
      <c r="AK243" s="84"/>
    </row>
    <row r="244" spans="1:37">
      <c r="A244" s="84"/>
      <c r="B244" s="84"/>
      <c r="C244" s="84"/>
      <c r="D244" s="84"/>
      <c r="E244" s="84"/>
      <c r="F244" s="84"/>
      <c r="G244" s="84"/>
      <c r="H244" s="84"/>
      <c r="I244" s="84"/>
      <c r="J244" s="84"/>
      <c r="K244" s="84"/>
      <c r="L244" s="84"/>
      <c r="M244" s="84"/>
      <c r="N244" s="84"/>
      <c r="O244" s="84"/>
      <c r="P244" s="84"/>
      <c r="Q244" s="84"/>
      <c r="R244" s="84"/>
      <c r="S244" s="84"/>
      <c r="T244" s="84"/>
      <c r="U244" s="84"/>
      <c r="V244" s="84"/>
      <c r="W244" s="84"/>
      <c r="X244" s="84"/>
      <c r="Y244" s="84"/>
      <c r="Z244" s="84"/>
      <c r="AA244" s="84"/>
      <c r="AB244" s="84"/>
      <c r="AC244" s="84"/>
      <c r="AD244" s="84"/>
      <c r="AE244" s="84"/>
      <c r="AF244" s="84"/>
      <c r="AG244" s="84"/>
      <c r="AH244" s="84"/>
      <c r="AI244" s="84"/>
      <c r="AJ244" s="84"/>
      <c r="AK244" s="84"/>
    </row>
    <row r="245" spans="1:37">
      <c r="A245" s="84"/>
      <c r="B245" s="84"/>
      <c r="C245" s="84"/>
      <c r="D245" s="84"/>
      <c r="E245" s="84"/>
      <c r="F245" s="84"/>
      <c r="G245" s="84"/>
      <c r="H245" s="84"/>
      <c r="I245" s="84"/>
      <c r="J245" s="84"/>
      <c r="K245" s="84"/>
      <c r="L245" s="84"/>
      <c r="M245" s="84"/>
      <c r="N245" s="84"/>
      <c r="O245" s="84"/>
      <c r="P245" s="84"/>
      <c r="Q245" s="84"/>
      <c r="R245" s="84"/>
      <c r="S245" s="84"/>
      <c r="T245" s="84"/>
      <c r="U245" s="84"/>
      <c r="V245" s="84"/>
      <c r="W245" s="84"/>
      <c r="X245" s="84"/>
      <c r="Y245" s="84"/>
      <c r="Z245" s="84"/>
      <c r="AA245" s="84"/>
      <c r="AB245" s="84"/>
      <c r="AC245" s="84"/>
      <c r="AD245" s="84"/>
      <c r="AE245" s="84"/>
      <c r="AF245" s="84"/>
      <c r="AG245" s="84"/>
      <c r="AH245" s="84"/>
      <c r="AI245" s="84"/>
      <c r="AJ245" s="84"/>
      <c r="AK245" s="84"/>
    </row>
    <row r="246" spans="1:37">
      <c r="A246" s="84"/>
      <c r="B246" s="84"/>
      <c r="C246" s="84"/>
      <c r="D246" s="84"/>
      <c r="E246" s="84"/>
      <c r="F246" s="84"/>
      <c r="G246" s="84"/>
      <c r="H246" s="84"/>
      <c r="I246" s="84"/>
      <c r="J246" s="84"/>
      <c r="K246" s="84"/>
      <c r="L246" s="84"/>
      <c r="M246" s="84"/>
      <c r="N246" s="84"/>
      <c r="O246" s="84"/>
      <c r="P246" s="84"/>
      <c r="Q246" s="84"/>
      <c r="R246" s="84"/>
      <c r="S246" s="84"/>
      <c r="T246" s="84"/>
      <c r="U246" s="84"/>
      <c r="V246" s="84"/>
      <c r="W246" s="84"/>
      <c r="X246" s="84"/>
      <c r="Y246" s="84"/>
      <c r="Z246" s="84"/>
      <c r="AA246" s="84"/>
      <c r="AB246" s="84"/>
      <c r="AC246" s="84"/>
      <c r="AD246" s="84"/>
      <c r="AE246" s="84"/>
      <c r="AF246" s="84"/>
      <c r="AG246" s="84"/>
      <c r="AH246" s="84"/>
      <c r="AI246" s="84"/>
      <c r="AJ246" s="84"/>
      <c r="AK246" s="84"/>
    </row>
    <row r="247" spans="1:37">
      <c r="A247" s="84"/>
      <c r="B247" s="84"/>
      <c r="C247" s="84"/>
      <c r="D247" s="84"/>
      <c r="E247" s="84"/>
      <c r="F247" s="84"/>
      <c r="G247" s="84"/>
      <c r="H247" s="84"/>
      <c r="I247" s="84"/>
      <c r="J247" s="84"/>
      <c r="K247" s="84"/>
      <c r="L247" s="84"/>
      <c r="M247" s="84"/>
      <c r="N247" s="84"/>
      <c r="O247" s="84"/>
      <c r="P247" s="84"/>
      <c r="Q247" s="84"/>
      <c r="R247" s="84"/>
      <c r="S247" s="84"/>
      <c r="T247" s="84"/>
      <c r="U247" s="84"/>
      <c r="V247" s="84"/>
      <c r="W247" s="84"/>
      <c r="X247" s="84"/>
      <c r="Y247" s="84"/>
      <c r="Z247" s="84"/>
      <c r="AA247" s="84"/>
      <c r="AB247" s="84"/>
      <c r="AC247" s="84"/>
      <c r="AD247" s="84"/>
      <c r="AE247" s="84"/>
      <c r="AF247" s="84"/>
      <c r="AG247" s="84"/>
      <c r="AH247" s="84"/>
      <c r="AI247" s="84"/>
      <c r="AJ247" s="84"/>
      <c r="AK247" s="84"/>
    </row>
    <row r="248" spans="1:37">
      <c r="A248" s="84"/>
      <c r="B248" s="84"/>
      <c r="C248" s="84"/>
      <c r="D248" s="84"/>
      <c r="E248" s="84"/>
      <c r="F248" s="84"/>
      <c r="G248" s="84"/>
      <c r="H248" s="84"/>
      <c r="I248" s="84"/>
      <c r="J248" s="84"/>
      <c r="K248" s="84"/>
      <c r="L248" s="84"/>
      <c r="M248" s="84"/>
      <c r="N248" s="84"/>
      <c r="O248" s="84"/>
      <c r="P248" s="84"/>
      <c r="Q248" s="84"/>
      <c r="R248" s="84"/>
      <c r="S248" s="84"/>
      <c r="T248" s="84"/>
      <c r="U248" s="84"/>
      <c r="V248" s="84"/>
      <c r="W248" s="84"/>
      <c r="X248" s="84"/>
      <c r="Y248" s="84"/>
      <c r="Z248" s="84"/>
      <c r="AA248" s="84"/>
      <c r="AB248" s="84"/>
      <c r="AC248" s="84"/>
      <c r="AD248" s="84"/>
      <c r="AE248" s="84"/>
      <c r="AF248" s="84"/>
      <c r="AG248" s="84"/>
      <c r="AH248" s="84"/>
      <c r="AI248" s="84"/>
      <c r="AJ248" s="84"/>
      <c r="AK248" s="84"/>
    </row>
    <row r="249" spans="1:37">
      <c r="A249" s="84"/>
      <c r="B249" s="84"/>
      <c r="C249" s="84"/>
      <c r="D249" s="84"/>
      <c r="E249" s="84"/>
      <c r="F249" s="84"/>
      <c r="G249" s="84"/>
      <c r="H249" s="84"/>
      <c r="I249" s="84"/>
      <c r="J249" s="84"/>
      <c r="K249" s="84"/>
      <c r="L249" s="84"/>
      <c r="M249" s="84"/>
      <c r="N249" s="84"/>
      <c r="O249" s="84"/>
      <c r="P249" s="84"/>
      <c r="Q249" s="84"/>
      <c r="R249" s="84"/>
      <c r="S249" s="84"/>
      <c r="T249" s="84"/>
      <c r="U249" s="84"/>
      <c r="V249" s="84"/>
      <c r="W249" s="84"/>
      <c r="X249" s="84"/>
      <c r="Y249" s="84"/>
      <c r="Z249" s="84"/>
      <c r="AA249" s="84"/>
      <c r="AB249" s="84"/>
      <c r="AC249" s="84"/>
      <c r="AD249" s="84"/>
      <c r="AE249" s="84"/>
      <c r="AF249" s="84"/>
      <c r="AG249" s="84"/>
      <c r="AH249" s="84"/>
      <c r="AI249" s="84"/>
      <c r="AJ249" s="84"/>
      <c r="AK249" s="84"/>
    </row>
    <row r="250" spans="1:37">
      <c r="A250" s="84"/>
      <c r="B250" s="84"/>
      <c r="C250" s="84"/>
      <c r="D250" s="84"/>
      <c r="E250" s="84"/>
      <c r="F250" s="84"/>
      <c r="G250" s="84"/>
      <c r="H250" s="84"/>
      <c r="I250" s="84"/>
      <c r="J250" s="84"/>
      <c r="K250" s="84"/>
      <c r="L250" s="84"/>
      <c r="M250" s="84"/>
      <c r="N250" s="84"/>
      <c r="O250" s="84"/>
      <c r="P250" s="84"/>
      <c r="Q250" s="84"/>
      <c r="R250" s="84"/>
      <c r="S250" s="84"/>
      <c r="T250" s="84"/>
      <c r="U250" s="84"/>
      <c r="V250" s="84"/>
      <c r="W250" s="84"/>
      <c r="X250" s="84"/>
      <c r="Y250" s="84"/>
      <c r="Z250" s="84"/>
      <c r="AA250" s="84"/>
      <c r="AB250" s="84"/>
      <c r="AC250" s="84"/>
      <c r="AD250" s="84"/>
      <c r="AE250" s="84"/>
      <c r="AF250" s="84"/>
      <c r="AG250" s="84"/>
      <c r="AH250" s="84"/>
      <c r="AI250" s="84"/>
      <c r="AJ250" s="84"/>
      <c r="AK250" s="84"/>
    </row>
    <row r="251" spans="1:37">
      <c r="A251" s="84"/>
      <c r="B251" s="84"/>
      <c r="C251" s="84"/>
      <c r="D251" s="84"/>
      <c r="E251" s="84"/>
      <c r="F251" s="84"/>
      <c r="G251" s="84"/>
      <c r="H251" s="84"/>
      <c r="I251" s="84"/>
      <c r="J251" s="84"/>
      <c r="K251" s="84"/>
      <c r="L251" s="84"/>
      <c r="M251" s="84"/>
      <c r="N251" s="84"/>
      <c r="O251" s="84"/>
      <c r="P251" s="84"/>
      <c r="Q251" s="84"/>
      <c r="R251" s="84"/>
      <c r="S251" s="84"/>
      <c r="T251" s="84"/>
      <c r="U251" s="84"/>
      <c r="V251" s="84"/>
      <c r="W251" s="84"/>
      <c r="X251" s="84"/>
      <c r="Y251" s="84"/>
      <c r="Z251" s="84"/>
      <c r="AA251" s="84"/>
      <c r="AB251" s="84"/>
      <c r="AC251" s="84"/>
      <c r="AD251" s="84"/>
      <c r="AE251" s="84"/>
      <c r="AF251" s="84"/>
      <c r="AG251" s="84"/>
      <c r="AH251" s="84"/>
      <c r="AI251" s="84"/>
      <c r="AJ251" s="84"/>
      <c r="AK251" s="84"/>
    </row>
    <row r="252" spans="1:37">
      <c r="A252" s="84"/>
      <c r="B252" s="84"/>
      <c r="C252" s="84"/>
      <c r="D252" s="84"/>
      <c r="E252" s="84"/>
      <c r="F252" s="84"/>
      <c r="G252" s="84"/>
      <c r="H252" s="84"/>
      <c r="I252" s="84"/>
      <c r="J252" s="84"/>
      <c r="K252" s="84"/>
      <c r="L252" s="84"/>
      <c r="M252" s="84"/>
      <c r="N252" s="84"/>
      <c r="O252" s="84"/>
      <c r="P252" s="84"/>
      <c r="Q252" s="84"/>
      <c r="R252" s="84"/>
      <c r="S252" s="84"/>
      <c r="T252" s="84"/>
      <c r="U252" s="84"/>
      <c r="V252" s="84"/>
      <c r="W252" s="84"/>
      <c r="X252" s="84"/>
      <c r="Y252" s="84"/>
      <c r="Z252" s="84"/>
      <c r="AA252" s="84"/>
      <c r="AB252" s="84"/>
      <c r="AC252" s="84"/>
      <c r="AD252" s="84"/>
      <c r="AE252" s="84"/>
      <c r="AF252" s="84"/>
      <c r="AG252" s="84"/>
      <c r="AH252" s="84"/>
      <c r="AI252" s="84"/>
      <c r="AJ252" s="84"/>
      <c r="AK252" s="84"/>
    </row>
    <row r="253" spans="1:37">
      <c r="A253" s="84"/>
      <c r="B253" s="84"/>
      <c r="C253" s="84"/>
      <c r="D253" s="84"/>
      <c r="E253" s="84"/>
      <c r="F253" s="84"/>
      <c r="G253" s="84"/>
      <c r="H253" s="84"/>
      <c r="I253" s="84"/>
      <c r="J253" s="84"/>
      <c r="K253" s="84"/>
      <c r="L253" s="84"/>
      <c r="M253" s="84"/>
      <c r="N253" s="84"/>
      <c r="O253" s="84"/>
      <c r="P253" s="84"/>
      <c r="Q253" s="84"/>
      <c r="R253" s="84"/>
      <c r="S253" s="84"/>
      <c r="T253" s="84"/>
      <c r="U253" s="84"/>
      <c r="V253" s="84"/>
      <c r="W253" s="84"/>
      <c r="X253" s="84"/>
      <c r="Y253" s="84"/>
      <c r="Z253" s="84"/>
      <c r="AA253" s="84"/>
      <c r="AB253" s="84"/>
      <c r="AC253" s="84"/>
      <c r="AD253" s="84"/>
      <c r="AE253" s="84"/>
      <c r="AF253" s="84"/>
      <c r="AG253" s="84"/>
      <c r="AH253" s="84"/>
      <c r="AI253" s="84"/>
      <c r="AJ253" s="84"/>
      <c r="AK253" s="84"/>
    </row>
    <row r="254" spans="1:37">
      <c r="A254" s="84"/>
      <c r="B254" s="84"/>
      <c r="C254" s="84"/>
      <c r="D254" s="84"/>
      <c r="E254" s="84"/>
      <c r="F254" s="84"/>
      <c r="G254" s="84"/>
      <c r="H254" s="84"/>
      <c r="I254" s="84"/>
      <c r="J254" s="84"/>
      <c r="K254" s="84"/>
      <c r="L254" s="84"/>
      <c r="M254" s="84"/>
      <c r="N254" s="84"/>
      <c r="O254" s="84"/>
      <c r="P254" s="84"/>
      <c r="Q254" s="84"/>
      <c r="R254" s="84"/>
      <c r="S254" s="84"/>
      <c r="T254" s="84"/>
      <c r="U254" s="84"/>
      <c r="V254" s="84"/>
      <c r="W254" s="84"/>
      <c r="X254" s="84"/>
      <c r="Y254" s="84"/>
      <c r="Z254" s="84"/>
      <c r="AA254" s="84"/>
      <c r="AB254" s="84"/>
      <c r="AC254" s="84"/>
      <c r="AD254" s="84"/>
      <c r="AE254" s="84"/>
      <c r="AF254" s="84"/>
      <c r="AG254" s="84"/>
      <c r="AH254" s="84"/>
      <c r="AI254" s="84"/>
      <c r="AJ254" s="84"/>
      <c r="AK254" s="84"/>
    </row>
    <row r="255" spans="1:37">
      <c r="A255" s="84"/>
      <c r="B255" s="84"/>
      <c r="C255" s="84"/>
      <c r="D255" s="84"/>
      <c r="E255" s="84"/>
      <c r="F255" s="84"/>
      <c r="G255" s="84"/>
      <c r="H255" s="84"/>
      <c r="I255" s="84"/>
      <c r="J255" s="84"/>
      <c r="K255" s="84"/>
      <c r="L255" s="84"/>
      <c r="M255" s="84"/>
      <c r="N255" s="84"/>
      <c r="O255" s="84"/>
      <c r="P255" s="84"/>
      <c r="Q255" s="84"/>
      <c r="R255" s="84"/>
      <c r="S255" s="84"/>
      <c r="T255" s="84"/>
      <c r="U255" s="84"/>
      <c r="V255" s="84"/>
      <c r="W255" s="84"/>
      <c r="X255" s="84"/>
      <c r="Y255" s="84"/>
      <c r="Z255" s="84"/>
      <c r="AA255" s="84"/>
      <c r="AB255" s="84"/>
      <c r="AC255" s="84"/>
      <c r="AD255" s="84"/>
      <c r="AE255" s="84"/>
      <c r="AF255" s="84"/>
      <c r="AG255" s="84"/>
      <c r="AH255" s="84"/>
      <c r="AI255" s="84"/>
      <c r="AJ255" s="84"/>
      <c r="AK255" s="84"/>
    </row>
    <row r="256" spans="1:37">
      <c r="A256" s="84"/>
      <c r="B256" s="84"/>
      <c r="C256" s="84"/>
      <c r="D256" s="84"/>
      <c r="E256" s="84"/>
      <c r="F256" s="84"/>
      <c r="G256" s="84"/>
      <c r="H256" s="84"/>
      <c r="I256" s="84"/>
      <c r="J256" s="84"/>
      <c r="K256" s="84"/>
      <c r="L256" s="84"/>
      <c r="M256" s="84"/>
      <c r="N256" s="84"/>
      <c r="O256" s="84"/>
      <c r="P256" s="84"/>
      <c r="Q256" s="84"/>
      <c r="R256" s="84"/>
      <c r="S256" s="84"/>
      <c r="T256" s="84"/>
      <c r="U256" s="84"/>
      <c r="V256" s="84"/>
      <c r="W256" s="84"/>
      <c r="X256" s="84"/>
      <c r="Y256" s="84"/>
      <c r="Z256" s="84"/>
      <c r="AA256" s="84"/>
      <c r="AB256" s="84"/>
      <c r="AC256" s="84"/>
      <c r="AD256" s="84"/>
      <c r="AE256" s="84"/>
      <c r="AF256" s="84"/>
      <c r="AG256" s="84"/>
      <c r="AH256" s="84"/>
      <c r="AI256" s="84"/>
      <c r="AJ256" s="84"/>
      <c r="AK256" s="84"/>
    </row>
    <row r="257" spans="1:37">
      <c r="A257" s="84"/>
      <c r="B257" s="84"/>
      <c r="C257" s="84"/>
      <c r="D257" s="84"/>
      <c r="E257" s="84"/>
      <c r="F257" s="84"/>
      <c r="G257" s="84"/>
      <c r="H257" s="84"/>
      <c r="I257" s="84"/>
      <c r="J257" s="84"/>
      <c r="K257" s="84"/>
      <c r="L257" s="84"/>
      <c r="M257" s="84"/>
      <c r="N257" s="84"/>
      <c r="O257" s="84"/>
      <c r="P257" s="84"/>
      <c r="Q257" s="84"/>
      <c r="R257" s="84"/>
      <c r="S257" s="84"/>
      <c r="T257" s="84"/>
      <c r="U257" s="84"/>
      <c r="V257" s="84"/>
      <c r="W257" s="84"/>
      <c r="X257" s="84"/>
      <c r="Y257" s="84"/>
      <c r="Z257" s="84"/>
      <c r="AA257" s="84"/>
      <c r="AB257" s="84"/>
      <c r="AC257" s="84"/>
      <c r="AD257" s="84"/>
      <c r="AE257" s="84"/>
      <c r="AF257" s="84"/>
      <c r="AG257" s="84"/>
      <c r="AH257" s="84"/>
      <c r="AI257" s="84"/>
      <c r="AJ257" s="84"/>
      <c r="AK257" s="84"/>
    </row>
    <row r="258" spans="1:37">
      <c r="A258" s="84"/>
      <c r="B258" s="84"/>
      <c r="C258" s="84"/>
      <c r="D258" s="84"/>
      <c r="E258" s="84"/>
      <c r="F258" s="84"/>
      <c r="G258" s="84"/>
      <c r="H258" s="84"/>
      <c r="I258" s="84"/>
      <c r="J258" s="84"/>
      <c r="K258" s="84"/>
      <c r="L258" s="84"/>
      <c r="M258" s="84"/>
      <c r="N258" s="84"/>
      <c r="O258" s="84"/>
      <c r="P258" s="84"/>
      <c r="Q258" s="84"/>
      <c r="R258" s="84"/>
      <c r="S258" s="84"/>
      <c r="T258" s="84"/>
      <c r="U258" s="84"/>
      <c r="V258" s="84"/>
      <c r="W258" s="84"/>
      <c r="X258" s="84"/>
      <c r="Y258" s="84"/>
      <c r="Z258" s="84"/>
      <c r="AA258" s="84"/>
      <c r="AB258" s="84"/>
      <c r="AC258" s="84"/>
      <c r="AD258" s="84"/>
      <c r="AE258" s="84"/>
      <c r="AF258" s="84"/>
      <c r="AG258" s="84"/>
      <c r="AH258" s="84"/>
      <c r="AI258" s="84"/>
      <c r="AJ258" s="84"/>
      <c r="AK258" s="84"/>
    </row>
    <row r="259" spans="1:37">
      <c r="A259" s="84"/>
      <c r="B259" s="84"/>
      <c r="C259" s="84"/>
      <c r="D259" s="84"/>
      <c r="E259" s="84"/>
      <c r="F259" s="84"/>
      <c r="G259" s="84"/>
      <c r="H259" s="84"/>
      <c r="I259" s="84"/>
      <c r="J259" s="84"/>
      <c r="K259" s="84"/>
      <c r="L259" s="84"/>
      <c r="M259" s="84"/>
      <c r="N259" s="84"/>
      <c r="O259" s="84"/>
      <c r="P259" s="84"/>
      <c r="Q259" s="84"/>
      <c r="R259" s="84"/>
      <c r="S259" s="84"/>
      <c r="T259" s="84"/>
      <c r="U259" s="84"/>
      <c r="V259" s="84"/>
      <c r="W259" s="84"/>
      <c r="X259" s="84"/>
      <c r="Y259" s="84"/>
      <c r="Z259" s="84"/>
      <c r="AA259" s="84"/>
      <c r="AB259" s="84"/>
      <c r="AC259" s="84"/>
      <c r="AD259" s="84"/>
      <c r="AE259" s="84"/>
      <c r="AF259" s="84"/>
      <c r="AG259" s="84"/>
      <c r="AH259" s="84"/>
      <c r="AI259" s="84"/>
      <c r="AJ259" s="84"/>
      <c r="AK259" s="84"/>
    </row>
    <row r="260" spans="1:37">
      <c r="A260" s="84"/>
      <c r="B260" s="84"/>
      <c r="C260" s="84"/>
      <c r="D260" s="84"/>
      <c r="E260" s="84"/>
      <c r="F260" s="84"/>
      <c r="G260" s="84"/>
      <c r="H260" s="84"/>
      <c r="I260" s="84"/>
      <c r="J260" s="84"/>
      <c r="K260" s="84"/>
      <c r="L260" s="84"/>
      <c r="M260" s="84"/>
      <c r="N260" s="84"/>
      <c r="O260" s="84"/>
      <c r="P260" s="84"/>
      <c r="Q260" s="84"/>
      <c r="R260" s="84"/>
      <c r="S260" s="84"/>
      <c r="T260" s="84"/>
      <c r="U260" s="84"/>
      <c r="V260" s="84"/>
      <c r="W260" s="84"/>
      <c r="X260" s="84"/>
      <c r="Y260" s="84"/>
      <c r="Z260" s="84"/>
      <c r="AA260" s="84"/>
      <c r="AB260" s="84"/>
      <c r="AC260" s="84"/>
      <c r="AD260" s="84"/>
      <c r="AE260" s="84"/>
      <c r="AF260" s="84"/>
      <c r="AG260" s="84"/>
      <c r="AH260" s="84"/>
      <c r="AI260" s="84"/>
      <c r="AJ260" s="84"/>
      <c r="AK260" s="84"/>
    </row>
    <row r="261" spans="1:37">
      <c r="A261" s="84"/>
      <c r="B261" s="84"/>
      <c r="C261" s="84"/>
      <c r="D261" s="84"/>
      <c r="E261" s="84"/>
      <c r="F261" s="84"/>
      <c r="G261" s="84"/>
      <c r="H261" s="84"/>
      <c r="I261" s="84"/>
      <c r="J261" s="84"/>
      <c r="K261" s="84"/>
      <c r="L261" s="84"/>
      <c r="M261" s="84"/>
      <c r="N261" s="84"/>
      <c r="O261" s="84"/>
      <c r="P261" s="84"/>
      <c r="Q261" s="84"/>
      <c r="R261" s="84"/>
      <c r="S261" s="84"/>
      <c r="T261" s="84"/>
      <c r="U261" s="84"/>
      <c r="V261" s="84"/>
      <c r="W261" s="84"/>
      <c r="X261" s="84"/>
      <c r="Y261" s="84"/>
      <c r="Z261" s="84"/>
      <c r="AA261" s="84"/>
      <c r="AB261" s="84"/>
      <c r="AC261" s="84"/>
      <c r="AD261" s="84"/>
      <c r="AE261" s="84"/>
      <c r="AF261" s="84"/>
      <c r="AG261" s="84"/>
      <c r="AH261" s="84"/>
      <c r="AI261" s="84"/>
      <c r="AJ261" s="84"/>
      <c r="AK261" s="84"/>
    </row>
    <row r="262" spans="1:37">
      <c r="A262" s="84"/>
      <c r="B262" s="84"/>
      <c r="C262" s="84"/>
      <c r="D262" s="84"/>
      <c r="E262" s="84"/>
      <c r="F262" s="84"/>
      <c r="G262" s="84"/>
      <c r="H262" s="84"/>
      <c r="I262" s="84"/>
      <c r="J262" s="84"/>
      <c r="K262" s="84"/>
      <c r="L262" s="84"/>
      <c r="M262" s="84"/>
      <c r="N262" s="84"/>
      <c r="O262" s="84"/>
      <c r="P262" s="84"/>
      <c r="Q262" s="84"/>
      <c r="R262" s="84"/>
      <c r="S262" s="84"/>
      <c r="T262" s="84"/>
      <c r="U262" s="84"/>
      <c r="V262" s="84"/>
      <c r="W262" s="84"/>
      <c r="X262" s="84"/>
      <c r="Y262" s="84"/>
      <c r="Z262" s="84"/>
      <c r="AA262" s="84"/>
      <c r="AB262" s="84"/>
      <c r="AC262" s="84"/>
      <c r="AD262" s="84"/>
      <c r="AE262" s="84"/>
      <c r="AF262" s="84"/>
      <c r="AG262" s="84"/>
      <c r="AH262" s="84"/>
      <c r="AI262" s="84"/>
      <c r="AJ262" s="84"/>
      <c r="AK262" s="84"/>
    </row>
    <row r="263" spans="1:37">
      <c r="A263" s="84"/>
      <c r="B263" s="84"/>
      <c r="C263" s="84"/>
      <c r="D263" s="84"/>
      <c r="E263" s="84"/>
      <c r="F263" s="84"/>
      <c r="G263" s="84"/>
      <c r="H263" s="84"/>
      <c r="I263" s="84"/>
      <c r="J263" s="84"/>
      <c r="K263" s="84"/>
      <c r="L263" s="84"/>
      <c r="M263" s="84"/>
      <c r="N263" s="84"/>
      <c r="O263" s="84"/>
      <c r="P263" s="84"/>
      <c r="Q263" s="84"/>
      <c r="R263" s="84"/>
      <c r="S263" s="84"/>
      <c r="T263" s="84"/>
      <c r="U263" s="84"/>
      <c r="V263" s="84"/>
      <c r="W263" s="84"/>
      <c r="X263" s="84"/>
      <c r="Y263" s="84"/>
      <c r="Z263" s="84"/>
      <c r="AA263" s="84"/>
      <c r="AB263" s="84"/>
      <c r="AC263" s="84"/>
      <c r="AD263" s="84"/>
      <c r="AE263" s="84"/>
      <c r="AF263" s="84"/>
      <c r="AG263" s="84"/>
      <c r="AH263" s="84"/>
      <c r="AI263" s="84"/>
      <c r="AJ263" s="84"/>
      <c r="AK263" s="84"/>
    </row>
    <row r="264" spans="1:37">
      <c r="A264" s="84"/>
      <c r="B264" s="84"/>
      <c r="C264" s="84"/>
      <c r="D264" s="84"/>
      <c r="E264" s="84"/>
      <c r="F264" s="84"/>
      <c r="G264" s="84"/>
      <c r="H264" s="84"/>
      <c r="I264" s="84"/>
      <c r="J264" s="84"/>
      <c r="K264" s="84"/>
      <c r="L264" s="84"/>
      <c r="M264" s="84"/>
      <c r="N264" s="84"/>
      <c r="O264" s="84"/>
      <c r="P264" s="84"/>
      <c r="Q264" s="84"/>
      <c r="R264" s="84"/>
      <c r="S264" s="84"/>
      <c r="T264" s="84"/>
      <c r="U264" s="84"/>
      <c r="V264" s="84"/>
      <c r="W264" s="84"/>
      <c r="X264" s="84"/>
      <c r="Y264" s="84"/>
      <c r="Z264" s="84"/>
      <c r="AA264" s="84"/>
      <c r="AB264" s="84"/>
      <c r="AC264" s="84"/>
      <c r="AD264" s="84"/>
      <c r="AE264" s="84"/>
      <c r="AF264" s="84"/>
      <c r="AG264" s="84"/>
      <c r="AH264" s="84"/>
      <c r="AI264" s="84"/>
      <c r="AJ264" s="84"/>
      <c r="AK264" s="84"/>
    </row>
    <row r="265" spans="1:37">
      <c r="A265" s="84"/>
      <c r="B265" s="84"/>
      <c r="C265" s="84"/>
      <c r="D265" s="84"/>
      <c r="E265" s="84"/>
      <c r="F265" s="84"/>
      <c r="G265" s="84"/>
      <c r="H265" s="84"/>
      <c r="I265" s="84"/>
      <c r="J265" s="84"/>
      <c r="K265" s="84"/>
      <c r="L265" s="84"/>
      <c r="M265" s="84"/>
      <c r="N265" s="84"/>
      <c r="O265" s="84"/>
      <c r="P265" s="84"/>
      <c r="Q265" s="84"/>
      <c r="R265" s="84"/>
      <c r="S265" s="84"/>
      <c r="T265" s="84"/>
      <c r="U265" s="84"/>
      <c r="V265" s="84"/>
      <c r="W265" s="84"/>
      <c r="X265" s="84"/>
      <c r="Y265" s="84"/>
      <c r="Z265" s="84"/>
      <c r="AA265" s="84"/>
      <c r="AB265" s="84"/>
      <c r="AC265" s="84"/>
      <c r="AD265" s="84"/>
      <c r="AE265" s="84"/>
      <c r="AF265" s="84"/>
      <c r="AG265" s="84"/>
      <c r="AH265" s="84"/>
      <c r="AI265" s="84"/>
      <c r="AJ265" s="84"/>
      <c r="AK265" s="84"/>
    </row>
    <row r="266" spans="1:37">
      <c r="A266" s="84"/>
      <c r="B266" s="84"/>
      <c r="C266" s="84"/>
      <c r="D266" s="84"/>
      <c r="E266" s="84"/>
      <c r="F266" s="84"/>
      <c r="G266" s="84"/>
      <c r="H266" s="84"/>
      <c r="I266" s="84"/>
      <c r="J266" s="84"/>
      <c r="K266" s="84"/>
      <c r="L266" s="84"/>
      <c r="M266" s="84"/>
      <c r="N266" s="84"/>
      <c r="O266" s="84"/>
      <c r="P266" s="84"/>
      <c r="Q266" s="84"/>
      <c r="R266" s="84"/>
      <c r="S266" s="84"/>
      <c r="T266" s="84"/>
      <c r="U266" s="84"/>
      <c r="V266" s="84"/>
      <c r="W266" s="84"/>
      <c r="X266" s="84"/>
      <c r="Y266" s="84"/>
      <c r="Z266" s="84"/>
      <c r="AA266" s="84"/>
      <c r="AB266" s="84"/>
      <c r="AC266" s="84"/>
      <c r="AD266" s="84"/>
      <c r="AE266" s="84"/>
      <c r="AF266" s="84"/>
      <c r="AG266" s="84"/>
      <c r="AH266" s="84"/>
      <c r="AI266" s="84"/>
      <c r="AJ266" s="84"/>
      <c r="AK266" s="84"/>
    </row>
    <row r="267" spans="1:37">
      <c r="A267" s="84"/>
      <c r="B267" s="84"/>
      <c r="C267" s="84"/>
      <c r="D267" s="84"/>
      <c r="E267" s="84"/>
      <c r="F267" s="84"/>
      <c r="G267" s="84"/>
      <c r="H267" s="84"/>
      <c r="I267" s="84"/>
      <c r="J267" s="84"/>
      <c r="K267" s="84"/>
      <c r="L267" s="84"/>
      <c r="M267" s="84"/>
      <c r="N267" s="84"/>
      <c r="O267" s="84"/>
      <c r="P267" s="84"/>
      <c r="Q267" s="84"/>
      <c r="R267" s="84"/>
      <c r="S267" s="84"/>
      <c r="T267" s="84"/>
      <c r="U267" s="84"/>
      <c r="V267" s="84"/>
      <c r="W267" s="84"/>
      <c r="X267" s="84"/>
      <c r="Y267" s="84"/>
      <c r="Z267" s="84"/>
      <c r="AA267" s="84"/>
      <c r="AB267" s="84"/>
      <c r="AC267" s="84"/>
      <c r="AD267" s="84"/>
      <c r="AE267" s="84"/>
      <c r="AF267" s="84"/>
      <c r="AG267" s="84"/>
      <c r="AH267" s="84"/>
      <c r="AI267" s="84"/>
      <c r="AJ267" s="84"/>
      <c r="AK267" s="84"/>
    </row>
    <row r="268" spans="1:37">
      <c r="A268" s="84"/>
      <c r="B268" s="84"/>
      <c r="C268" s="84"/>
      <c r="D268" s="84"/>
      <c r="E268" s="84"/>
      <c r="F268" s="84"/>
      <c r="G268" s="84"/>
      <c r="H268" s="84"/>
      <c r="I268" s="84"/>
      <c r="J268" s="84"/>
      <c r="K268" s="84"/>
      <c r="L268" s="84"/>
      <c r="M268" s="84"/>
      <c r="N268" s="84"/>
      <c r="O268" s="84"/>
      <c r="P268" s="84"/>
      <c r="Q268" s="84"/>
      <c r="R268" s="84"/>
      <c r="S268" s="84"/>
      <c r="T268" s="84"/>
      <c r="U268" s="84"/>
      <c r="V268" s="84"/>
      <c r="W268" s="84"/>
      <c r="X268" s="84"/>
      <c r="Y268" s="84"/>
      <c r="Z268" s="84"/>
      <c r="AA268" s="84"/>
      <c r="AB268" s="84"/>
      <c r="AC268" s="84"/>
      <c r="AD268" s="84"/>
      <c r="AE268" s="84"/>
      <c r="AF268" s="84"/>
      <c r="AG268" s="84"/>
      <c r="AH268" s="84"/>
      <c r="AI268" s="84"/>
      <c r="AJ268" s="84"/>
      <c r="AK268" s="84"/>
    </row>
    <row r="269" spans="1:37">
      <c r="A269" s="84"/>
      <c r="B269" s="84"/>
      <c r="C269" s="84"/>
      <c r="D269" s="84"/>
      <c r="E269" s="84"/>
      <c r="F269" s="84"/>
      <c r="G269" s="84"/>
      <c r="H269" s="84"/>
      <c r="I269" s="84"/>
      <c r="J269" s="84"/>
      <c r="K269" s="84"/>
      <c r="L269" s="84"/>
      <c r="M269" s="84"/>
      <c r="N269" s="84"/>
      <c r="O269" s="84"/>
      <c r="P269" s="84"/>
      <c r="Q269" s="84"/>
      <c r="R269" s="84"/>
      <c r="S269" s="84"/>
      <c r="T269" s="84"/>
      <c r="U269" s="84"/>
      <c r="V269" s="84"/>
      <c r="W269" s="84"/>
      <c r="X269" s="84"/>
      <c r="Y269" s="84"/>
      <c r="Z269" s="84"/>
      <c r="AA269" s="84"/>
      <c r="AB269" s="84"/>
      <c r="AC269" s="84"/>
      <c r="AD269" s="84"/>
      <c r="AE269" s="84"/>
      <c r="AF269" s="84"/>
      <c r="AG269" s="84"/>
      <c r="AH269" s="84"/>
      <c r="AI269" s="84"/>
      <c r="AJ269" s="84"/>
      <c r="AK269" s="84"/>
    </row>
    <row r="270" spans="1:37">
      <c r="A270" s="84"/>
    </row>
  </sheetData>
  <mergeCells count="28">
    <mergeCell ref="F32:G32"/>
    <mergeCell ref="F33:G33"/>
    <mergeCell ref="F34:G34"/>
    <mergeCell ref="B8:G8"/>
    <mergeCell ref="H13:I13"/>
    <mergeCell ref="H15:I15"/>
    <mergeCell ref="H17:I17"/>
    <mergeCell ref="D13:E13"/>
    <mergeCell ref="D20:G21"/>
    <mergeCell ref="D25:E25"/>
    <mergeCell ref="B27:G27"/>
    <mergeCell ref="F30:G30"/>
    <mergeCell ref="F31:G31"/>
    <mergeCell ref="F61:G61"/>
    <mergeCell ref="F62:G62"/>
    <mergeCell ref="F64:G64"/>
    <mergeCell ref="F70:G70"/>
    <mergeCell ref="F35:G35"/>
    <mergeCell ref="F36:G36"/>
    <mergeCell ref="F63:G63"/>
    <mergeCell ref="E78:F78"/>
    <mergeCell ref="E79:F79"/>
    <mergeCell ref="F72:G72"/>
    <mergeCell ref="F69:G69"/>
    <mergeCell ref="E75:F75"/>
    <mergeCell ref="E76:F76"/>
    <mergeCell ref="E77:F77"/>
    <mergeCell ref="F71:G71"/>
  </mergeCells>
  <dataValidations count="8">
    <dataValidation type="custom" allowBlank="1" showInputMessage="1" showErrorMessage="1" sqref="B43 B50" xr:uid="{00000000-0002-0000-0B00-000000000000}">
      <formula1>LEN(B43)&lt;=20</formula1>
    </dataValidation>
    <dataValidation type="textLength" operator="lessThanOrEqual" allowBlank="1" showInputMessage="1" showErrorMessage="1" sqref="D31" xr:uid="{00000000-0002-0000-0B00-000001000000}">
      <formula1>10</formula1>
    </dataValidation>
    <dataValidation type="textLength" operator="lessThanOrEqual" allowBlank="1" showInputMessage="1" showErrorMessage="1" prompt="Maximum limit of 40 characters_x000a_" sqref="B76:B79 B72 B40:B42 B54:B57 B47:B49 B31:B34 B64" xr:uid="{00000000-0002-0000-0B00-000002000000}">
      <formula1>40</formula1>
    </dataValidation>
    <dataValidation type="textLength" operator="lessThanOrEqual" allowBlank="1" showInputMessage="1" showErrorMessage="1" prompt="Maximum limit of 10 characters" sqref="D76:D79 D72 D54:D57 D40:D42 D47:D49 D32:D34 D64" xr:uid="{00000000-0002-0000-0B00-000003000000}">
      <formula1>10</formula1>
    </dataValidation>
    <dataValidation type="list" allowBlank="1" showInputMessage="1" showErrorMessage="1" sqref="C32:C34" xr:uid="{00000000-0002-0000-0B00-000004000000}">
      <formula1>ddECC</formula1>
    </dataValidation>
    <dataValidation type="list" allowBlank="1" showInputMessage="1" showErrorMessage="1" sqref="D13:E13" xr:uid="{00000000-0002-0000-0B00-000005000000}">
      <formula1>"Cost Center, Profit Center, GL Accounts, Cost Elements "</formula1>
    </dataValidation>
    <dataValidation type="list" allowBlank="1" showInputMessage="1" showErrorMessage="1" sqref="C31 C40:C43 C35:C36" xr:uid="{00000000-0002-0000-0B00-000006000000}">
      <formula1>"ECC6, BCS"</formula1>
    </dataValidation>
    <dataValidation type="list" allowBlank="1" showInputMessage="1" showErrorMessage="1" sqref="C47:C50 C54:C57 C61:C64 C69:C72 C76:C79" xr:uid="{00000000-0002-0000-0B00-000007000000}">
      <formula1>"ECC6, BCS, Both"</formula1>
    </dataValidation>
  </dataValidations>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7" tint="0.39997558519241921"/>
  </sheetPr>
  <dimension ref="A1"/>
  <sheetViews>
    <sheetView workbookViewId="0">
      <selection activeCell="G16" sqref="G16"/>
    </sheetView>
  </sheetViews>
  <sheetFormatPr defaultRowHeight="14.4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W17"/>
  <sheetViews>
    <sheetView topLeftCell="A4" zoomScale="70" zoomScaleNormal="70" workbookViewId="0">
      <selection activeCell="D35" sqref="D35"/>
    </sheetView>
  </sheetViews>
  <sheetFormatPr defaultRowHeight="14.45"/>
  <cols>
    <col min="1" max="1" width="19" customWidth="1"/>
    <col min="2" max="2" width="24.85546875" customWidth="1"/>
    <col min="3" max="3" width="43.5703125" customWidth="1"/>
    <col min="4" max="4" width="29.85546875" customWidth="1"/>
    <col min="5" max="5" width="24" customWidth="1"/>
    <col min="6" max="6" width="27.140625" customWidth="1"/>
    <col min="8" max="8" width="13.5703125" customWidth="1"/>
    <col min="9" max="9" width="15.42578125" customWidth="1"/>
    <col min="10" max="10" width="27.42578125" customWidth="1"/>
    <col min="11" max="11" width="33.85546875" customWidth="1"/>
    <col min="14" max="14" width="12.140625" customWidth="1"/>
    <col min="17" max="17" width="11.5703125" customWidth="1"/>
    <col min="18" max="18" width="15.5703125" customWidth="1"/>
    <col min="19" max="19" width="14.42578125" customWidth="1"/>
    <col min="20" max="20" width="13.42578125" customWidth="1"/>
    <col min="21" max="21" width="14" customWidth="1"/>
    <col min="22" max="23" width="14.140625" customWidth="1"/>
  </cols>
  <sheetData>
    <row r="1" spans="1:23" ht="63.95" thickBot="1">
      <c r="A1" s="287" t="s">
        <v>910</v>
      </c>
      <c r="B1" s="288" t="s">
        <v>315</v>
      </c>
      <c r="C1" s="289" t="s">
        <v>911</v>
      </c>
      <c r="D1" s="289" t="s">
        <v>912</v>
      </c>
      <c r="E1" s="289" t="s">
        <v>913</v>
      </c>
      <c r="F1" s="289" t="s">
        <v>914</v>
      </c>
      <c r="G1" s="296" t="s">
        <v>915</v>
      </c>
      <c r="H1" s="296" t="s">
        <v>916</v>
      </c>
      <c r="I1" s="288" t="s">
        <v>917</v>
      </c>
      <c r="J1" s="289" t="s">
        <v>918</v>
      </c>
      <c r="K1" s="289" t="s">
        <v>919</v>
      </c>
      <c r="L1" s="289" t="s">
        <v>920</v>
      </c>
      <c r="M1" s="289" t="s">
        <v>921</v>
      </c>
      <c r="N1" s="289" t="s">
        <v>309</v>
      </c>
      <c r="O1" s="289" t="s">
        <v>922</v>
      </c>
      <c r="P1" s="295" t="s">
        <v>923</v>
      </c>
      <c r="Q1" s="302" t="s">
        <v>924</v>
      </c>
      <c r="R1" s="296" t="s">
        <v>925</v>
      </c>
      <c r="S1" s="296" t="s">
        <v>926</v>
      </c>
      <c r="T1" s="296" t="s">
        <v>927</v>
      </c>
      <c r="U1" s="296" t="s">
        <v>928</v>
      </c>
      <c r="V1" s="296" t="s">
        <v>929</v>
      </c>
      <c r="W1" s="295" t="s">
        <v>930</v>
      </c>
    </row>
    <row r="2" spans="1:23" ht="47.45" customHeight="1" thickTop="1">
      <c r="A2" s="292">
        <v>0</v>
      </c>
      <c r="B2" s="293">
        <v>1000</v>
      </c>
      <c r="C2" s="291">
        <v>0</v>
      </c>
      <c r="D2" s="291" t="s">
        <v>931</v>
      </c>
      <c r="E2" s="294">
        <v>0</v>
      </c>
      <c r="F2" s="294">
        <v>0</v>
      </c>
      <c r="G2" s="294">
        <v>0</v>
      </c>
      <c r="H2" s="298" t="s">
        <v>932</v>
      </c>
      <c r="I2" s="297" t="s">
        <v>933</v>
      </c>
      <c r="J2" s="290">
        <v>0</v>
      </c>
      <c r="K2" s="299">
        <v>0</v>
      </c>
      <c r="L2" s="299">
        <v>0</v>
      </c>
      <c r="M2" s="299">
        <v>0</v>
      </c>
      <c r="N2" s="290"/>
      <c r="O2" s="300">
        <v>0</v>
      </c>
      <c r="P2" s="301">
        <v>0</v>
      </c>
      <c r="Q2" s="303">
        <v>0</v>
      </c>
      <c r="R2" s="304">
        <v>0</v>
      </c>
      <c r="S2" s="304">
        <v>0</v>
      </c>
      <c r="T2" s="304">
        <v>0</v>
      </c>
      <c r="U2" s="304">
        <v>0</v>
      </c>
      <c r="V2" s="304">
        <v>0</v>
      </c>
      <c r="W2" s="301">
        <v>0</v>
      </c>
    </row>
    <row r="4" spans="1:23" ht="15" thickBot="1">
      <c r="A4" s="13" t="s">
        <v>934</v>
      </c>
    </row>
    <row r="5" spans="1:23" ht="15" thickBot="1">
      <c r="A5" s="718" t="s">
        <v>935</v>
      </c>
      <c r="B5" s="719"/>
      <c r="C5" s="719"/>
      <c r="D5" s="719"/>
      <c r="E5" s="719"/>
      <c r="F5" s="719"/>
      <c r="G5" s="719"/>
      <c r="H5" s="719"/>
      <c r="I5" s="719"/>
      <c r="J5" s="719"/>
      <c r="K5" s="720"/>
    </row>
    <row r="6" spans="1:23" ht="45" customHeight="1" thickBot="1">
      <c r="A6" s="287" t="s">
        <v>910</v>
      </c>
      <c r="B6" s="288" t="s">
        <v>315</v>
      </c>
      <c r="C6" s="289" t="s">
        <v>911</v>
      </c>
      <c r="D6" s="289" t="s">
        <v>912</v>
      </c>
      <c r="E6" s="289" t="s">
        <v>913</v>
      </c>
      <c r="F6" s="289" t="s">
        <v>914</v>
      </c>
      <c r="G6" s="296" t="s">
        <v>915</v>
      </c>
      <c r="H6" s="289" t="s">
        <v>918</v>
      </c>
      <c r="I6" s="289" t="s">
        <v>309</v>
      </c>
      <c r="J6" s="296" t="s">
        <v>916</v>
      </c>
      <c r="K6" s="288" t="s">
        <v>917</v>
      </c>
    </row>
    <row r="7" spans="1:23" ht="16.350000000000001" customHeight="1" thickTop="1">
      <c r="A7" s="319" t="s">
        <v>118</v>
      </c>
      <c r="B7" s="319" t="s">
        <v>118</v>
      </c>
      <c r="C7" s="319" t="s">
        <v>118</v>
      </c>
      <c r="D7" s="319" t="s">
        <v>118</v>
      </c>
      <c r="E7" s="319" t="s">
        <v>118</v>
      </c>
      <c r="F7" s="319" t="s">
        <v>118</v>
      </c>
      <c r="G7" s="319" t="s">
        <v>118</v>
      </c>
      <c r="H7" s="319" t="s">
        <v>118</v>
      </c>
      <c r="I7" s="319" t="s">
        <v>936</v>
      </c>
      <c r="J7" s="298" t="s">
        <v>932</v>
      </c>
      <c r="K7" s="297" t="s">
        <v>933</v>
      </c>
    </row>
    <row r="9" spans="1:23" ht="15" thickBot="1">
      <c r="A9" s="13" t="s">
        <v>937</v>
      </c>
    </row>
    <row r="10" spans="1:23" ht="15" thickBot="1">
      <c r="A10" s="718" t="s">
        <v>938</v>
      </c>
      <c r="B10" s="719"/>
      <c r="C10" s="720"/>
    </row>
    <row r="11" spans="1:23" ht="38.450000000000003" customHeight="1" thickBot="1">
      <c r="A11" s="287" t="s">
        <v>910</v>
      </c>
      <c r="B11" s="289" t="s">
        <v>913</v>
      </c>
      <c r="C11" s="289" t="s">
        <v>914</v>
      </c>
    </row>
    <row r="12" spans="1:23" ht="15" thickTop="1">
      <c r="A12" s="319" t="s">
        <v>118</v>
      </c>
      <c r="B12" s="319" t="s">
        <v>118</v>
      </c>
      <c r="C12" s="319" t="s">
        <v>118</v>
      </c>
    </row>
    <row r="14" spans="1:23" ht="17.100000000000001" customHeight="1" thickBot="1">
      <c r="A14" s="13" t="s">
        <v>939</v>
      </c>
    </row>
    <row r="15" spans="1:23" ht="15" customHeight="1" thickBot="1">
      <c r="A15" s="718" t="s">
        <v>853</v>
      </c>
      <c r="B15" s="719"/>
      <c r="C15" s="719"/>
      <c r="D15" s="719"/>
      <c r="E15" s="720"/>
    </row>
    <row r="16" spans="1:23" ht="39.6" customHeight="1" thickBot="1">
      <c r="A16" s="287" t="s">
        <v>910</v>
      </c>
      <c r="B16" s="289" t="s">
        <v>912</v>
      </c>
      <c r="C16" s="289" t="s">
        <v>913</v>
      </c>
      <c r="D16" s="289" t="s">
        <v>914</v>
      </c>
      <c r="E16" s="289" t="s">
        <v>309</v>
      </c>
    </row>
    <row r="17" spans="1:5" ht="23.1" customHeight="1" thickTop="1">
      <c r="A17" s="319" t="s">
        <v>118</v>
      </c>
      <c r="B17" s="319" t="s">
        <v>118</v>
      </c>
      <c r="C17" s="319" t="s">
        <v>139</v>
      </c>
      <c r="D17" s="319" t="s">
        <v>139</v>
      </c>
      <c r="E17" s="319" t="s">
        <v>936</v>
      </c>
    </row>
  </sheetData>
  <mergeCells count="3">
    <mergeCell ref="A10:C10"/>
    <mergeCell ref="A15:E15"/>
    <mergeCell ref="A5:K5"/>
  </mergeCells>
  <dataValidations count="1">
    <dataValidation type="list" allowBlank="1" showInputMessage="1" showErrorMessage="1" sqref="I7 E17" xr:uid="{00000000-0002-0000-0D00-000000000000}">
      <formula1>"Unlocked, Locked"</formula1>
    </dataValidation>
  </dataValidation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87FB8A11048E4EBD62242F9892B7D2" ma:contentTypeVersion="3" ma:contentTypeDescription="Create a new document." ma:contentTypeScope="" ma:versionID="394d1f17ab50b167fd1c9bdf83a70e96">
  <xsd:schema xmlns:xsd="http://www.w3.org/2001/XMLSchema" xmlns:xs="http://www.w3.org/2001/XMLSchema" xmlns:p="http://schemas.microsoft.com/office/2006/metadata/properties" xmlns:ns2="1f68a0f6-12ba-43bc-af29-28e621509147" targetNamespace="http://schemas.microsoft.com/office/2006/metadata/properties" ma:root="true" ma:fieldsID="e30850b013ddcf4a47f8c418a9d2d3ec" ns2:_="">
    <xsd:import namespace="1f68a0f6-12ba-43bc-af29-28e621509147"/>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f68a0f6-12ba-43bc-af29-28e62150914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459AB04-74F2-4F1E-B153-D9F6F2C9DE56}"/>
</file>

<file path=customXml/itemProps2.xml><?xml version="1.0" encoding="utf-8"?>
<ds:datastoreItem xmlns:ds="http://schemas.openxmlformats.org/officeDocument/2006/customXml" ds:itemID="{B761B9C3-FD72-4A72-9C3B-AF74FAE3DB23}"/>
</file>

<file path=customXml/itemProps3.xml><?xml version="1.0" encoding="utf-8"?>
<ds:datastoreItem xmlns:ds="http://schemas.openxmlformats.org/officeDocument/2006/customXml" ds:itemID="{BD7B41B3-55C2-4C53-9719-5D4545A8425A}"/>
</file>

<file path=docProps/app.xml><?xml version="1.0" encoding="utf-8"?>
<Properties xmlns="http://schemas.openxmlformats.org/officeDocument/2006/extended-properties" xmlns:vt="http://schemas.openxmlformats.org/officeDocument/2006/docPropsVTypes">
  <Application>Microsoft Excel Online</Application>
  <Manager/>
  <Company>Suncor Energy Inc.</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Frey, Stephen</dc:creator>
  <cp:keywords/>
  <dc:description/>
  <cp:lastModifiedBy>Muddeti Krishna Moorthy Kesava</cp:lastModifiedBy>
  <cp:revision/>
  <dcterms:created xsi:type="dcterms:W3CDTF">2020-01-06T14:44:04Z</dcterms:created>
  <dcterms:modified xsi:type="dcterms:W3CDTF">2025-12-17T06:14:56Z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0x010100AF87FB8A11048E4EBD62242F9892B7D2</vt:lpwstr>
  </property>
</Properties>
</file>